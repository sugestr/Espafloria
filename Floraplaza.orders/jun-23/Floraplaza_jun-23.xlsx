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огист" sheetId="1" state="visible" r:id="rId1"/>
    <sheet xmlns:r="http://schemas.openxmlformats.org/officeDocument/2006/relationships" name="Plaza" sheetId="2" state="visible" r:id="rId2"/>
    <sheet xmlns:r="http://schemas.openxmlformats.org/officeDocument/2006/relationships" name="Gloria" sheetId="3" state="visible" r:id="rId3"/>
    <sheet xmlns:r="http://schemas.openxmlformats.org/officeDocument/2006/relationships" name="Blau" sheetId="4" state="visible" r:id="rId4"/>
  </sheets>
  <definedNames>
    <definedName name="_xlnm._FilterDatabase" localSheetId="0" hidden="1">'Логист'!$A$1:$Q$1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4B5"/>
        <bgColor rgb="00FFE4B5"/>
      </patternFill>
    </fill>
    <fill>
      <patternFill patternType="solid">
        <fgColor rgb="00FFF9DC"/>
        <bgColor rgb="00FFF9DC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ont>
        <name val="Calibri"/>
        <b val="1"/>
        <color rgb="00FFFFFF"/>
        <sz val="11"/>
      </font>
      <fill>
        <patternFill patternType="solid">
          <fgColor rgb="00FF9800"/>
          <bgColor rgb="00FF98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7" customWidth="1" min="6" max="6"/>
    <col width="20" customWidth="1" min="7" max="7"/>
    <col width="7" customWidth="1" min="8" max="8"/>
    <col width="22" customWidth="1" min="9" max="9"/>
    <col width="8" customWidth="1" min="10" max="10"/>
    <col width="10" customWidth="1" min="11" max="11"/>
    <col width="10" customWidth="1" min="12" max="12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36" customHeight="1">
      <c r="A1" s="1" t="inlineStr">
        <is>
          <t>Order #</t>
        </is>
      </c>
      <c r="B1" s="1" t="inlineStr">
        <is>
          <t>VBN</t>
        </is>
      </c>
      <c r="C1" s="1" t="inlineStr">
        <is>
          <t>Артикул</t>
        </is>
      </c>
      <c r="D1" s="1" t="inlineStr">
        <is>
          <t>Цвет</t>
        </is>
      </c>
      <c r="E1" s="1" t="inlineStr">
        <is>
          <t>Высота</t>
        </is>
      </c>
      <c r="F1" s="1" t="inlineStr">
        <is>
          <t>Длина</t>
        </is>
      </c>
      <c r="G1" s="1" t="inlineStr">
        <is>
          <t>Productor</t>
        </is>
      </c>
      <c r="H1" s="1" t="inlineStr">
        <is>
          <t>Origin</t>
        </is>
      </c>
      <c r="I1" s="1" t="inlineStr">
        <is>
          <t>Фото</t>
        </is>
      </c>
      <c r="J1" s="1" t="inlineStr">
        <is>
          <t>Связок</t>
        </is>
      </c>
      <c r="K1" s="1" t="inlineStr">
        <is>
          <t>шт./связке</t>
        </is>
      </c>
      <c r="L1" s="1" t="inlineStr">
        <is>
          <t>Всего шт.</t>
        </is>
      </c>
      <c r="M1" s="1" t="inlineStr">
        <is>
          <t>Подсказка</t>
        </is>
      </c>
      <c r="N1" s="1" t="inlineStr">
        <is>
          <t>→ Plaza</t>
        </is>
      </c>
      <c r="O1" s="1" t="inlineStr">
        <is>
          <t>→ Gloria</t>
        </is>
      </c>
      <c r="P1" s="1" t="inlineStr">
        <is>
          <t>→ Blau</t>
        </is>
      </c>
      <c r="Q1" s="1" t="inlineStr">
        <is>
          <t>Остаток</t>
        </is>
      </c>
    </row>
    <row r="2" ht="26" customHeight="1">
      <c r="A2" s="2" t="inlineStr">
        <is>
          <t>📦 Order #1  ·  23-06-2026  ·  Order_15121446.xlsx  ·  11 позиций</t>
        </is>
      </c>
    </row>
    <row r="3" ht="110" customHeight="1">
      <c r="A3" s="3" t="inlineStr">
        <is>
          <t>1</t>
        </is>
      </c>
      <c r="B3" s="3" t="n">
        <v>132948</v>
      </c>
      <c r="C3" s="4" t="inlineStr">
        <is>
          <t>Alstroemeria fashionista couture</t>
        </is>
      </c>
      <c r="D3" s="3" t="inlineStr">
        <is>
          <t>GE</t>
        </is>
      </c>
      <c r="E3" s="3" t="inlineStr">
        <is>
          <t>60</t>
        </is>
      </c>
      <c r="F3" s="3" t="inlineStr">
        <is>
          <t>30</t>
        </is>
      </c>
      <c r="G3" s="4" t="inlineStr"/>
      <c r="H3" s="3" t="inlineStr">
        <is>
          <t>NL</t>
        </is>
      </c>
      <c r="I3" s="3">
        <f>IMAGE("https://img.ozexport.nl/artikelfotos/LIVE_fotos/0x55075BF3C91CAE323F1DCEF3E3EB64FF506BC3A7.jpg")</f>
        <v/>
      </c>
      <c r="J3" s="3" t="n">
        <v>1</v>
      </c>
      <c r="K3" s="3" t="n">
        <v>60</v>
      </c>
      <c r="L3" s="3" t="n">
        <v>60</v>
      </c>
      <c r="M3" s="4" t="inlineStr">
        <is>
          <t>1 связок × 60 шт = 60 шт</t>
        </is>
      </c>
      <c r="N3" s="5" t="n"/>
      <c r="O3" s="5" t="n"/>
      <c r="P3" s="5" t="n"/>
      <c r="Q3" s="3">
        <f>L3-N3-O3-P3</f>
        <v/>
      </c>
    </row>
    <row r="4" ht="110" customHeight="1">
      <c r="A4" s="3" t="inlineStr">
        <is>
          <t>1</t>
        </is>
      </c>
      <c r="B4" s="3" t="n">
        <v>103567</v>
      </c>
      <c r="C4" s="4" t="inlineStr">
        <is>
          <t>Alstroemeria mix in bucket</t>
        </is>
      </c>
      <c r="D4" s="3" t="inlineStr">
        <is>
          <t>MIX</t>
        </is>
      </c>
      <c r="E4" s="3" t="inlineStr">
        <is>
          <t>60</t>
        </is>
      </c>
      <c r="F4" s="3" t="inlineStr">
        <is>
          <t>40</t>
        </is>
      </c>
      <c r="G4" s="4" t="inlineStr"/>
      <c r="H4" s="3" t="inlineStr">
        <is>
          <t>NL</t>
        </is>
      </c>
      <c r="I4" s="3">
        <f>IMAGE("https://img.ozexport.nl/artikelfotos/LIVE_fotos/0xB52E2FA51A819CDB598A089B2ABCAC2E9539BA2F.jpg")</f>
        <v/>
      </c>
      <c r="J4" s="3" t="n">
        <v>1</v>
      </c>
      <c r="K4" s="3" t="n">
        <v>60</v>
      </c>
      <c r="L4" s="3" t="n">
        <v>60</v>
      </c>
      <c r="M4" s="4" t="inlineStr">
        <is>
          <t>1 связок × 60 шт = 60 шт</t>
        </is>
      </c>
      <c r="N4" s="5" t="n"/>
      <c r="O4" s="5" t="n"/>
      <c r="P4" s="5" t="n"/>
      <c r="Q4" s="3">
        <f>L4-N4-O4-P4</f>
        <v/>
      </c>
    </row>
    <row r="5" ht="110" customHeight="1">
      <c r="A5" s="3" t="inlineStr">
        <is>
          <t>1</t>
        </is>
      </c>
      <c r="B5" s="3" t="n">
        <v>130148</v>
      </c>
      <c r="C5" s="4" t="inlineStr">
        <is>
          <t>Alstroemeria si sofiena</t>
        </is>
      </c>
      <c r="D5" s="3" t="inlineStr">
        <is>
          <t>RS</t>
        </is>
      </c>
      <c r="E5" s="3" t="inlineStr">
        <is>
          <t>60</t>
        </is>
      </c>
      <c r="F5" s="3" t="inlineStr">
        <is>
          <t>40</t>
        </is>
      </c>
      <c r="G5" s="4" t="inlineStr"/>
      <c r="H5" s="3" t="inlineStr">
        <is>
          <t>NL</t>
        </is>
      </c>
      <c r="I5" s="3">
        <f>IMAGE("https://img.ozexport.nl/artikelfotos/LIVE_fotos/0x197A3D8323E1A9381065120BAB7EB6EF157273C2.jpg")</f>
        <v/>
      </c>
      <c r="J5" s="3" t="n">
        <v>1</v>
      </c>
      <c r="K5" s="3" t="n">
        <v>50</v>
      </c>
      <c r="L5" s="3" t="n">
        <v>50</v>
      </c>
      <c r="M5" s="4" t="inlineStr">
        <is>
          <t>1 связок × 50 шт = 50 шт</t>
        </is>
      </c>
      <c r="N5" s="5" t="n"/>
      <c r="O5" s="5" t="n"/>
      <c r="P5" s="5" t="n"/>
      <c r="Q5" s="3">
        <f>L5-N5-O5-P5</f>
        <v/>
      </c>
    </row>
    <row r="6" ht="110" customHeight="1">
      <c r="A6" s="3" t="inlineStr">
        <is>
          <t>1</t>
        </is>
      </c>
      <c r="B6" s="3" t="n">
        <v>122220</v>
      </c>
      <c r="C6" s="4" t="inlineStr">
        <is>
          <t>Dianthus st ipanema</t>
        </is>
      </c>
      <c r="D6" s="3" t="inlineStr">
        <is>
          <t>RS</t>
        </is>
      </c>
      <c r="E6" s="3" t="inlineStr">
        <is>
          <t>65</t>
        </is>
      </c>
      <c r="F6" s="3" t="n"/>
      <c r="G6" s="4" t="inlineStr"/>
      <c r="H6" s="3" t="inlineStr">
        <is>
          <t>ET</t>
        </is>
      </c>
      <c r="I6" s="3">
        <f>IMAGE("https://img.ozexport.nl/artikelfotos/LIVE_fotos/0xE6A3FF4772A6675F7640227B01509B809157C8FE.jpg")</f>
        <v/>
      </c>
      <c r="J6" s="3" t="n">
        <v>1</v>
      </c>
      <c r="K6" s="3" t="n">
        <v>80</v>
      </c>
      <c r="L6" s="3" t="n">
        <v>80</v>
      </c>
      <c r="M6" s="4" t="inlineStr">
        <is>
          <t>1 связок × 80 шт = 80 шт</t>
        </is>
      </c>
      <c r="N6" s="5" t="n"/>
      <c r="O6" s="5" t="n"/>
      <c r="P6" s="5" t="n"/>
      <c r="Q6" s="3">
        <f>L6-N6-O6-P6</f>
        <v/>
      </c>
    </row>
    <row r="7" ht="110" customHeight="1">
      <c r="A7" s="3" t="inlineStr">
        <is>
          <t>1</t>
        </is>
      </c>
      <c r="B7" s="3" t="n">
        <v>117394</v>
      </c>
      <c r="C7" s="4" t="inlineStr">
        <is>
          <t>Dianthus st jodie</t>
        </is>
      </c>
      <c r="D7" s="3" t="inlineStr">
        <is>
          <t>RS</t>
        </is>
      </c>
      <c r="E7" s="3" t="inlineStr">
        <is>
          <t>65</t>
        </is>
      </c>
      <c r="F7" s="3" t="n"/>
      <c r="G7" s="4" t="inlineStr"/>
      <c r="H7" s="3" t="inlineStr">
        <is>
          <t>ET</t>
        </is>
      </c>
      <c r="I7" s="3">
        <f>IMAGE("https://img.ozexport.nl/artikelfotos/LIVE_fotos/0x90703FB551B6459457384D466795797D6DF054A5.jpg")</f>
        <v/>
      </c>
      <c r="J7" s="3" t="n">
        <v>1</v>
      </c>
      <c r="K7" s="3" t="n">
        <v>80</v>
      </c>
      <c r="L7" s="3" t="n">
        <v>80</v>
      </c>
      <c r="M7" s="4" t="inlineStr">
        <is>
          <t>1 связок × 80 шт = 80 шт</t>
        </is>
      </c>
      <c r="N7" s="5" t="n"/>
      <c r="O7" s="5" t="n"/>
      <c r="P7" s="5" t="n"/>
      <c r="Q7" s="3">
        <f>L7-N7-O7-P7</f>
        <v/>
      </c>
    </row>
    <row r="8" ht="110" customHeight="1">
      <c r="A8" s="3" t="inlineStr">
        <is>
          <t>1</t>
        </is>
      </c>
      <c r="B8" s="3" t="n">
        <v>489</v>
      </c>
      <c r="C8" s="4" t="inlineStr">
        <is>
          <t>Dianthus st mix minami</t>
        </is>
      </c>
      <c r="D8" s="3" t="inlineStr">
        <is>
          <t>MX</t>
        </is>
      </c>
      <c r="E8" s="3" t="inlineStr">
        <is>
          <t>60</t>
        </is>
      </c>
      <c r="F8" s="3" t="n"/>
      <c r="G8" s="4" t="inlineStr"/>
      <c r="H8" s="3" t="inlineStr">
        <is>
          <t>EC</t>
        </is>
      </c>
      <c r="I8" s="3">
        <f>IMAGE("https://img.ozexport.nl/artikelfotos/LIVE_fotos/0xDBCC430EE8781B055B170D345BB76EB699B8155D.jpg")</f>
        <v/>
      </c>
      <c r="J8" s="3" t="n">
        <v>1</v>
      </c>
      <c r="K8" s="3" t="n">
        <v>80</v>
      </c>
      <c r="L8" s="3" t="n">
        <v>80</v>
      </c>
      <c r="M8" s="4" t="inlineStr">
        <is>
          <t>1 связок × 80 шт = 80 шт</t>
        </is>
      </c>
      <c r="N8" s="5" t="n"/>
      <c r="O8" s="5" t="n"/>
      <c r="P8" s="5" t="n"/>
      <c r="Q8" s="3">
        <f>L8-N8-O8-P8</f>
        <v/>
      </c>
    </row>
    <row r="9" ht="110" customHeight="1">
      <c r="A9" s="3" t="inlineStr">
        <is>
          <t>1</t>
        </is>
      </c>
      <c r="B9" s="3" t="n">
        <v>1189</v>
      </c>
      <c r="C9" s="4" t="inlineStr">
        <is>
          <t>Gerbera mix lilac</t>
        </is>
      </c>
      <c r="D9" s="3" t="inlineStr">
        <is>
          <t>MX</t>
        </is>
      </c>
      <c r="E9" s="3" t="inlineStr">
        <is>
          <t>45</t>
        </is>
      </c>
      <c r="F9" s="3" t="n"/>
      <c r="G9" s="4" t="inlineStr"/>
      <c r="H9" s="3" t="inlineStr">
        <is>
          <t>NL</t>
        </is>
      </c>
      <c r="I9" s="3">
        <f>IMAGE("https://img.ozexport.nl/artikelfotos/LIVE_fotos/0x527B9EA37ABB9181B3C95137DD58F37A8E45A06A.jpg")</f>
        <v/>
      </c>
      <c r="J9" s="3" t="n">
        <v>1</v>
      </c>
      <c r="K9" s="3" t="n">
        <v>50</v>
      </c>
      <c r="L9" s="3" t="n">
        <v>50</v>
      </c>
      <c r="M9" s="4" t="inlineStr">
        <is>
          <t>1 связок × 50 шт = 50 шт</t>
        </is>
      </c>
      <c r="N9" s="5" t="n"/>
      <c r="O9" s="5" t="n"/>
      <c r="P9" s="5" t="n"/>
      <c r="Q9" s="3">
        <f>L9-N9-O9-P9</f>
        <v/>
      </c>
    </row>
    <row r="10" ht="110" customHeight="1">
      <c r="A10" s="3" t="inlineStr">
        <is>
          <t>1</t>
        </is>
      </c>
      <c r="B10" s="3" t="n">
        <v>116199</v>
      </c>
      <c r="C10" s="4" t="inlineStr">
        <is>
          <t>Gerbera pasta mix</t>
        </is>
      </c>
      <c r="D10" s="3" t="inlineStr">
        <is>
          <t>MX</t>
        </is>
      </c>
      <c r="E10" s="3" t="inlineStr">
        <is>
          <t>45</t>
        </is>
      </c>
      <c r="F10" s="3" t="n"/>
      <c r="G10" s="4" t="inlineStr"/>
      <c r="H10" s="3" t="inlineStr">
        <is>
          <t>NL</t>
        </is>
      </c>
      <c r="I10" s="3">
        <f>IMAGE("https://img.ozexport.nl/artikelfotos/LIVE_fotos/0xEBC541F0BB718DFFB4A03076AC65B8D083367D1C.jpg")</f>
        <v/>
      </c>
      <c r="J10" s="3" t="n">
        <v>1</v>
      </c>
      <c r="K10" s="3" t="n">
        <v>50</v>
      </c>
      <c r="L10" s="3" t="n">
        <v>50</v>
      </c>
      <c r="M10" s="4" t="inlineStr">
        <is>
          <t>1 связок × 50 шт = 50 шт</t>
        </is>
      </c>
      <c r="N10" s="5" t="n"/>
      <c r="O10" s="5" t="n"/>
      <c r="P10" s="5" t="n"/>
      <c r="Q10" s="3">
        <f>L10-N10-O10-P10</f>
        <v/>
      </c>
    </row>
    <row r="11" ht="110" customHeight="1">
      <c r="A11" s="3" t="inlineStr">
        <is>
          <t>1</t>
        </is>
      </c>
      <c r="B11" s="3" t="n">
        <v>28168</v>
      </c>
      <c r="C11" s="4" t="inlineStr">
        <is>
          <t>Hydrangea mix in bucket</t>
        </is>
      </c>
      <c r="D11" s="3" t="inlineStr">
        <is>
          <t>MX</t>
        </is>
      </c>
      <c r="E11" s="3" t="inlineStr">
        <is>
          <t>50</t>
        </is>
      </c>
      <c r="F11" s="3" t="inlineStr">
        <is>
          <t>15</t>
        </is>
      </c>
      <c r="G11" s="4" t="inlineStr"/>
      <c r="H11" s="3" t="inlineStr">
        <is>
          <t>NL</t>
        </is>
      </c>
      <c r="I11" s="3">
        <f>IMAGE("https://img.ozexport.nl/artikelfotos/LIVE_fotos/0x426E7033E4AF55752B10921881EC931EA05C3601.jpg")</f>
        <v/>
      </c>
      <c r="J11" s="3" t="n">
        <v>2</v>
      </c>
      <c r="K11" s="3" t="n">
        <v>10</v>
      </c>
      <c r="L11" s="3" t="n">
        <v>20</v>
      </c>
      <c r="M11" s="4" t="inlineStr">
        <is>
          <t>2 связок × 10 шт = 20 шт</t>
        </is>
      </c>
      <c r="N11" s="5" t="n"/>
      <c r="O11" s="5" t="n"/>
      <c r="P11" s="5" t="n"/>
      <c r="Q11" s="3">
        <f>L11-N11-O11-P11</f>
        <v/>
      </c>
    </row>
    <row r="12" ht="110" customHeight="1">
      <c r="A12" s="3" t="inlineStr">
        <is>
          <t>1</t>
        </is>
      </c>
      <c r="B12" s="3" t="n">
        <v>103391</v>
      </c>
      <c r="C12" s="4" t="inlineStr">
        <is>
          <t>Hydrangea rodeo red</t>
        </is>
      </c>
      <c r="D12" s="3" t="inlineStr">
        <is>
          <t>RO</t>
        </is>
      </c>
      <c r="E12" s="3" t="inlineStr">
        <is>
          <t>60</t>
        </is>
      </c>
      <c r="F12" s="3" t="inlineStr">
        <is>
          <t>14</t>
        </is>
      </c>
      <c r="G12" s="4" t="inlineStr"/>
      <c r="H12" s="3" t="inlineStr">
        <is>
          <t>NL</t>
        </is>
      </c>
      <c r="I12" s="3">
        <f>IMAGE("https://img.ozexport.nl/artikelfotos/LIVE_fotos/0x44A6C772CA8E143E02BA4D058D78F77FBE4FBCB3.jpg")</f>
        <v/>
      </c>
      <c r="J12" s="3" t="n">
        <v>2</v>
      </c>
      <c r="K12" s="3" t="n">
        <v>10</v>
      </c>
      <c r="L12" s="3" t="n">
        <v>20</v>
      </c>
      <c r="M12" s="4" t="inlineStr">
        <is>
          <t>2 связок × 10 шт = 20 шт</t>
        </is>
      </c>
      <c r="N12" s="5" t="n"/>
      <c r="O12" s="5" t="n"/>
      <c r="P12" s="5" t="n"/>
      <c r="Q12" s="3">
        <f>L12-N12-O12-P12</f>
        <v/>
      </c>
    </row>
    <row r="13" ht="110" customHeight="1">
      <c r="A13" s="3" t="inlineStr">
        <is>
          <t>1</t>
        </is>
      </c>
      <c r="B13" s="3" t="n">
        <v>27918</v>
      </c>
      <c r="C13" s="4" t="inlineStr">
        <is>
          <t>Hydrangea verena</t>
        </is>
      </c>
      <c r="D13" s="3" t="inlineStr">
        <is>
          <t>RS</t>
        </is>
      </c>
      <c r="E13" s="3" t="inlineStr">
        <is>
          <t>50</t>
        </is>
      </c>
      <c r="F13" s="3" t="inlineStr">
        <is>
          <t>18</t>
        </is>
      </c>
      <c r="G13" s="4" t="inlineStr"/>
      <c r="H13" s="3" t="inlineStr">
        <is>
          <t>NL</t>
        </is>
      </c>
      <c r="I13" s="3">
        <f>IMAGE("https://img.ozexport.nl/artikelfotos/LIVE_fotos/0x29201F165892A018985DB9BBDBA9F1F7D9FC292A.jpg")</f>
        <v/>
      </c>
      <c r="J13" s="3" t="n">
        <v>3</v>
      </c>
      <c r="K13" s="3" t="n">
        <v>10</v>
      </c>
      <c r="L13" s="3" t="n">
        <v>30</v>
      </c>
      <c r="M13" s="4" t="inlineStr">
        <is>
          <t>3 связок × 10 шт = 30 шт</t>
        </is>
      </c>
      <c r="N13" s="5" t="n"/>
      <c r="O13" s="5" t="n"/>
      <c r="P13" s="5" t="n"/>
      <c r="Q13" s="3">
        <f>L13-N13-O13-P13</f>
        <v/>
      </c>
    </row>
    <row r="14" ht="26" customHeight="1">
      <c r="A14" s="2" t="inlineStr">
        <is>
          <t>📦 Order #5  ·  23-06-2026  ·  Order_15121858.xlsx  ·  6 позиций</t>
        </is>
      </c>
    </row>
    <row r="15" ht="110" customHeight="1">
      <c r="A15" s="3" t="inlineStr">
        <is>
          <t>5</t>
        </is>
      </c>
      <c r="B15" s="3" t="n">
        <v>20453</v>
      </c>
      <c r="C15" s="4" t="inlineStr">
        <is>
          <t>Aglaonema cleopatra</t>
        </is>
      </c>
      <c r="D15" s="3" t="inlineStr">
        <is>
          <t>NT</t>
        </is>
      </c>
      <c r="E15" s="3" t="inlineStr">
        <is>
          <t>17</t>
        </is>
      </c>
      <c r="F15" s="3" t="inlineStr">
        <is>
          <t>75</t>
        </is>
      </c>
      <c r="G15" s="4" t="inlineStr"/>
      <c r="H15" s="3" t="inlineStr">
        <is>
          <t>NL</t>
        </is>
      </c>
      <c r="I15" s="3">
        <f>IMAGE("https://img.ozexport.nl/artikelfotos/LIVE_fotos/0xF9432C3287EE0B0B92209A7B55891998FDF3EC32.jpg")</f>
        <v/>
      </c>
      <c r="J15" s="3" t="n">
        <v>2</v>
      </c>
      <c r="K15" s="3" t="n">
        <v>6</v>
      </c>
      <c r="L15" s="3" t="n">
        <v>12</v>
      </c>
      <c r="M15" s="4" t="inlineStr">
        <is>
          <t>2 связок × 6 шт = 12 шт</t>
        </is>
      </c>
      <c r="N15" s="5" t="n"/>
      <c r="O15" s="5" t="n"/>
      <c r="P15" s="5" t="n"/>
      <c r="Q15" s="3">
        <f>L15-N15-O15-P15</f>
        <v/>
      </c>
    </row>
    <row r="16" ht="110" customHeight="1">
      <c r="A16" s="3" t="inlineStr">
        <is>
          <t>5</t>
        </is>
      </c>
      <c r="B16" s="3" t="n">
        <v>9339</v>
      </c>
      <c r="C16" s="4" t="inlineStr">
        <is>
          <t>Dieffenbachia camilla</t>
        </is>
      </c>
      <c r="D16" s="3" t="inlineStr">
        <is>
          <t>NT</t>
        </is>
      </c>
      <c r="E16" s="3" t="inlineStr">
        <is>
          <t>12</t>
        </is>
      </c>
      <c r="F16" s="3" t="inlineStr">
        <is>
          <t>40</t>
        </is>
      </c>
      <c r="G16" s="4" t="inlineStr"/>
      <c r="H16" s="3" t="inlineStr">
        <is>
          <t>BE</t>
        </is>
      </c>
      <c r="I16" s="3">
        <f>IMAGE("https://img.ozexport.nl/artikelfotos/LIVE_fotos/0x4C48D283257876295B0B85C96E5AC159308D0FBD.jpg")</f>
        <v/>
      </c>
      <c r="J16" s="3" t="n">
        <v>2</v>
      </c>
      <c r="K16" s="3" t="n">
        <v>10</v>
      </c>
      <c r="L16" s="3" t="n">
        <v>20</v>
      </c>
      <c r="M16" s="4" t="inlineStr">
        <is>
          <t>2 связок × 10 шт = 20 шт</t>
        </is>
      </c>
      <c r="N16" s="5" t="n"/>
      <c r="O16" s="5" t="n"/>
      <c r="P16" s="5" t="n"/>
      <c r="Q16" s="3">
        <f>L16-N16-O16-P16</f>
        <v/>
      </c>
    </row>
    <row r="17" ht="110" customHeight="1">
      <c r="A17" s="3" t="inlineStr">
        <is>
          <t>5</t>
        </is>
      </c>
      <c r="B17" s="3" t="n">
        <v>9282</v>
      </c>
      <c r="C17" s="4" t="inlineStr">
        <is>
          <t>Dieffenbachia compacta</t>
        </is>
      </c>
      <c r="D17" s="3" t="inlineStr">
        <is>
          <t>NT</t>
        </is>
      </c>
      <c r="E17" s="3" t="inlineStr">
        <is>
          <t>9</t>
        </is>
      </c>
      <c r="F17" s="3" t="inlineStr">
        <is>
          <t>35</t>
        </is>
      </c>
      <c r="G17" s="4" t="inlineStr"/>
      <c r="H17" s="3" t="inlineStr">
        <is>
          <t>NL</t>
        </is>
      </c>
      <c r="I17" s="3">
        <f>IMAGE("https://img.ozexport.nl/artikelfotos/LIVE_fotos/0x9ECF9FE8F244E12CBB84ED964353524C6F31A81D.jpg")</f>
        <v/>
      </c>
      <c r="J17" s="3" t="n">
        <v>1</v>
      </c>
      <c r="K17" s="3" t="n">
        <v>18</v>
      </c>
      <c r="L17" s="3" t="n">
        <v>18</v>
      </c>
      <c r="M17" s="4" t="inlineStr">
        <is>
          <t>1 связок × 18 шт = 18 шт</t>
        </is>
      </c>
      <c r="N17" s="5" t="n"/>
      <c r="O17" s="5" t="n"/>
      <c r="P17" s="5" t="n"/>
      <c r="Q17" s="3">
        <f>L17-N17-O17-P17</f>
        <v/>
      </c>
    </row>
    <row r="18" ht="110" customHeight="1">
      <c r="A18" s="3" t="inlineStr">
        <is>
          <t>5</t>
        </is>
      </c>
      <c r="B18" s="3" t="n">
        <v>106727</v>
      </c>
      <c r="C18" s="4" t="inlineStr">
        <is>
          <t>Epiphyllum anguliger</t>
        </is>
      </c>
      <c r="D18" s="3" t="inlineStr">
        <is>
          <t>NT</t>
        </is>
      </c>
      <c r="E18" s="3" t="inlineStr">
        <is>
          <t>15</t>
        </is>
      </c>
      <c r="F18" s="3" t="inlineStr">
        <is>
          <t>50</t>
        </is>
      </c>
      <c r="G18" s="4" t="inlineStr"/>
      <c r="H18" s="3" t="inlineStr">
        <is>
          <t>NL</t>
        </is>
      </c>
      <c r="I18" s="3">
        <f>IMAGE("https://img.ozexport.nl/artikelfotos/LIVE_fotos/0x003BB65DCE61B8BE26CF6D5B1F957F76F3E99C01.jpg")</f>
        <v/>
      </c>
      <c r="J18" s="3" t="n">
        <v>2</v>
      </c>
      <c r="K18" s="3" t="n">
        <v>4</v>
      </c>
      <c r="L18" s="3" t="n">
        <v>8</v>
      </c>
      <c r="M18" s="4" t="inlineStr">
        <is>
          <t>2 связок × 4 шт = 8 шт</t>
        </is>
      </c>
      <c r="N18" s="5" t="n"/>
      <c r="O18" s="5" t="n"/>
      <c r="P18" s="5" t="n"/>
      <c r="Q18" s="3">
        <f>L18-N18-O18-P18</f>
        <v/>
      </c>
    </row>
    <row r="19" ht="110" customHeight="1">
      <c r="A19" s="3" t="inlineStr">
        <is>
          <t>5</t>
        </is>
      </c>
      <c r="B19" s="3" t="n">
        <v>8724</v>
      </c>
      <c r="C19" s="4" t="inlineStr">
        <is>
          <t>Pachira aquatica</t>
        </is>
      </c>
      <c r="D19" s="3" t="inlineStr">
        <is>
          <t>GR</t>
        </is>
      </c>
      <c r="E19" s="3" t="inlineStr">
        <is>
          <t>9</t>
        </is>
      </c>
      <c r="F19" s="3" t="inlineStr">
        <is>
          <t>32</t>
        </is>
      </c>
      <c r="G19" s="4" t="inlineStr"/>
      <c r="H19" s="3" t="inlineStr">
        <is>
          <t>NL</t>
        </is>
      </c>
      <c r="I19" s="3">
        <f>IMAGE("https://img.ozexport.nl/artikelfotos/LIVE_fotos/0xE65AD4792E9B94DD805B881EDFDAF62874FC1748.jpg")</f>
        <v/>
      </c>
      <c r="J19" s="3" t="n">
        <v>2</v>
      </c>
      <c r="K19" s="3" t="n">
        <v>6</v>
      </c>
      <c r="L19" s="3" t="n">
        <v>12</v>
      </c>
      <c r="M19" s="4" t="inlineStr">
        <is>
          <t>2 связок × 6 шт = 12 шт</t>
        </is>
      </c>
      <c r="N19" s="5" t="n"/>
      <c r="O19" s="5" t="n"/>
      <c r="P19" s="5" t="n"/>
      <c r="Q19" s="3">
        <f>L19-N19-O19-P19</f>
        <v/>
      </c>
    </row>
    <row r="20" ht="110" customHeight="1">
      <c r="A20" s="3" t="inlineStr">
        <is>
          <t>5</t>
        </is>
      </c>
      <c r="B20" s="3" t="n">
        <v>8724</v>
      </c>
      <c r="C20" s="4" t="inlineStr">
        <is>
          <t>Pachira aquatica</t>
        </is>
      </c>
      <c r="D20" s="3" t="inlineStr">
        <is>
          <t>NT</t>
        </is>
      </c>
      <c r="E20" s="3" t="inlineStr">
        <is>
          <t>35</t>
        </is>
      </c>
      <c r="F20" s="3" t="inlineStr">
        <is>
          <t>190</t>
        </is>
      </c>
      <c r="G20" s="4" t="inlineStr"/>
      <c r="H20" s="3" t="inlineStr">
        <is>
          <t>NL</t>
        </is>
      </c>
      <c r="I20" s="3">
        <f>IMAGE("https://img.ozexport.nl/artikelfotos/LIVE_fotos/0xB03B1D5FC84F18E744430A437FDB3E7EA6A33829.jpg")</f>
        <v/>
      </c>
      <c r="J20" s="3" t="n">
        <v>2</v>
      </c>
      <c r="K20" s="3" t="n">
        <v>1</v>
      </c>
      <c r="L20" s="3" t="n">
        <v>2</v>
      </c>
      <c r="M20" s="4" t="inlineStr">
        <is>
          <t>2 связок × 1 шт = 2 шт</t>
        </is>
      </c>
      <c r="N20" s="5" t="n"/>
      <c r="O20" s="5" t="n"/>
      <c r="P20" s="5" t="n"/>
      <c r="Q20" s="3">
        <f>L20-N20-O20-P20</f>
        <v/>
      </c>
    </row>
  </sheetData>
  <autoFilter ref="A1:Q1"/>
  <mergeCells count="2">
    <mergeCell ref="A14:Q14"/>
    <mergeCell ref="A2:Q2"/>
  </mergeCells>
  <conditionalFormatting sqref="Q2:Q20">
    <cfRule type="expression" priority="1" dxfId="0">
      <formula>AND(ISNUMBER(Q2), Q2&lt;&gt;0)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Plaza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ISNUMBER('Логист'!N:N)*('Логист'!N:N&gt;0)); "")</f>
        <v/>
      </c>
      <c r="B3" s="3">
        <f>IFERROR(FILTER('Логист'!B:B; ISNUMBER('Логист'!N:N)*('Логист'!N:N&gt;0)); "")</f>
        <v/>
      </c>
      <c r="C3" s="4">
        <f>IFERROR(FILTER('Логист'!C:C; ISNUMBER('Логист'!N:N)*('Логист'!N:N&gt;0)); "")</f>
        <v/>
      </c>
      <c r="D3" s="3">
        <f>IFERROR(FILTER('Логист'!D:D; ISNUMBER('Логист'!N:N)*('Логист'!N:N&gt;0)); "")</f>
        <v/>
      </c>
      <c r="E3" s="3">
        <f>IFERROR(FILTER('Логист'!E:E; ISNUMBER('Логист'!N:N)*('Логист'!N:N&gt;0)); "")</f>
        <v/>
      </c>
      <c r="F3" s="3">
        <f>IFERROR(FILTER('Логист'!I:I; ISNUMBER('Логист'!N:N)*('Логист'!N:N&gt;0)); "")</f>
        <v/>
      </c>
      <c r="G3" s="3">
        <f>IFERROR(FILTER('Логист'!N:N; ISNUMBER('Логист'!N:N)*('Логист'!N:N&gt;0)); "")</f>
        <v/>
      </c>
      <c r="H3" s="3">
        <f>IFERROR(FILTER('Логист'!K:K; ISNUMBER('Логист'!N:N)*('Логист'!N:N&gt;0)); "")</f>
        <v/>
      </c>
      <c r="I3" s="4">
        <f>IFERROR(FILTER('Логист'!M:M; ISNUMBER('Логист'!N:N)*('Логист'!N:N&gt;0));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Gloria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ISNUMBER('Логист'!O:O)*('Логист'!O:O&gt;0)); "")</f>
        <v/>
      </c>
      <c r="B3" s="3">
        <f>IFERROR(FILTER('Логист'!B:B; ISNUMBER('Логист'!O:O)*('Логист'!O:O&gt;0)); "")</f>
        <v/>
      </c>
      <c r="C3" s="4">
        <f>IFERROR(FILTER('Логист'!C:C; ISNUMBER('Логист'!O:O)*('Логист'!O:O&gt;0)); "")</f>
        <v/>
      </c>
      <c r="D3" s="3">
        <f>IFERROR(FILTER('Логист'!D:D; ISNUMBER('Логист'!O:O)*('Логист'!O:O&gt;0)); "")</f>
        <v/>
      </c>
      <c r="E3" s="3">
        <f>IFERROR(FILTER('Логист'!E:E; ISNUMBER('Логист'!O:O)*('Логист'!O:O&gt;0)); "")</f>
        <v/>
      </c>
      <c r="F3" s="3">
        <f>IFERROR(FILTER('Логист'!I:I; ISNUMBER('Логист'!O:O)*('Логист'!O:O&gt;0)); "")</f>
        <v/>
      </c>
      <c r="G3" s="3">
        <f>IFERROR(FILTER('Логист'!O:O; ISNUMBER('Логист'!O:O)*('Логист'!O:O&gt;0)); "")</f>
        <v/>
      </c>
      <c r="H3" s="3">
        <f>IFERROR(FILTER('Логист'!K:K; ISNUMBER('Логист'!O:O)*('Логист'!O:O&gt;0)); "")</f>
        <v/>
      </c>
      <c r="I3" s="4">
        <f>IFERROR(FILTER('Логист'!M:M; ISNUMBER('Логист'!O:O)*('Логист'!O:O&gt;0));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7" customWidth="1" min="4" max="4"/>
    <col width="8" customWidth="1" min="5" max="5"/>
    <col width="22" customWidth="1" min="6" max="6"/>
    <col width="10" customWidth="1" min="7" max="7"/>
    <col width="10" customWidth="1" min="8" max="8"/>
    <col width="20" customWidth="1" min="9" max="9"/>
    <col width="11" customWidth="1" min="10" max="10"/>
    <col width="11" customWidth="1" min="11" max="11"/>
    <col width="24" customWidth="1" min="12" max="12"/>
  </cols>
  <sheetData>
    <row r="1" ht="28" customHeight="1">
      <c r="A1" s="2" t="inlineStr">
        <is>
          <t>📦  Blau — позиции из этой поставки</t>
        </is>
      </c>
    </row>
    <row r="2" ht="36" customHeight="1">
      <c r="A2" s="1" t="inlineStr">
        <is>
          <t>Order #</t>
        </is>
      </c>
      <c r="B2" s="1" t="inlineStr">
        <is>
          <t>VBN</t>
        </is>
      </c>
      <c r="C2" s="1" t="inlineStr">
        <is>
          <t>Артикул</t>
        </is>
      </c>
      <c r="D2" s="1" t="inlineStr">
        <is>
          <t>Цвет</t>
        </is>
      </c>
      <c r="E2" s="1" t="inlineStr">
        <is>
          <t>Высота</t>
        </is>
      </c>
      <c r="F2" s="1" t="inlineStr">
        <is>
          <t>Фото</t>
        </is>
      </c>
      <c r="G2" s="1" t="inlineStr">
        <is>
          <t>Едет шт.</t>
        </is>
      </c>
      <c r="H2" s="1" t="inlineStr">
        <is>
          <t>шт./связке</t>
        </is>
      </c>
      <c r="I2" s="1" t="inlineStr">
        <is>
          <t>Подсказка</t>
        </is>
      </c>
      <c r="J2" s="1" t="inlineStr">
        <is>
          <t>Принято
связок</t>
        </is>
      </c>
      <c r="K2" s="1" t="inlineStr">
        <is>
          <t>Принято
штук</t>
        </is>
      </c>
      <c r="L2" s="1" t="inlineStr">
        <is>
          <t>Комментарий
флориста</t>
        </is>
      </c>
    </row>
    <row r="3" ht="110" customHeight="1">
      <c r="A3" s="3">
        <f>IFERROR(FILTER('Логист'!A:A; ISNUMBER('Логист'!P:P)*('Логист'!P:P&gt;0)); "")</f>
        <v/>
      </c>
      <c r="B3" s="3">
        <f>IFERROR(FILTER('Логист'!B:B; ISNUMBER('Логист'!P:P)*('Логист'!P:P&gt;0)); "")</f>
        <v/>
      </c>
      <c r="C3" s="4">
        <f>IFERROR(FILTER('Логист'!C:C; ISNUMBER('Логист'!P:P)*('Логист'!P:P&gt;0)); "")</f>
        <v/>
      </c>
      <c r="D3" s="3">
        <f>IFERROR(FILTER('Логист'!D:D; ISNUMBER('Логист'!P:P)*('Логист'!P:P&gt;0)); "")</f>
        <v/>
      </c>
      <c r="E3" s="3">
        <f>IFERROR(FILTER('Логист'!E:E; ISNUMBER('Логист'!P:P)*('Логист'!P:P&gt;0)); "")</f>
        <v/>
      </c>
      <c r="F3" s="3">
        <f>IFERROR(FILTER('Логист'!I:I; ISNUMBER('Логист'!P:P)*('Логист'!P:P&gt;0)); "")</f>
        <v/>
      </c>
      <c r="G3" s="3">
        <f>IFERROR(FILTER('Логист'!P:P; ISNUMBER('Логист'!P:P)*('Логист'!P:P&gt;0)); "")</f>
        <v/>
      </c>
      <c r="H3" s="3">
        <f>IFERROR(FILTER('Логист'!K:K; ISNUMBER('Логист'!P:P)*('Логист'!P:P&gt;0)); "")</f>
        <v/>
      </c>
      <c r="I3" s="4">
        <f>IFERROR(FILTER('Логист'!M:M; ISNUMBER('Логист'!P:P)*('Логист'!P:P&gt;0)); "")</f>
        <v/>
      </c>
      <c r="J3" s="6" t="n"/>
      <c r="K3" s="6" t="n"/>
      <c r="L3" s="7" t="n"/>
    </row>
    <row r="4" ht="110" customHeight="1">
      <c r="A4" s="3" t="n"/>
      <c r="B4" s="3" t="n"/>
      <c r="C4" s="4" t="n"/>
      <c r="D4" s="3" t="n"/>
      <c r="E4" s="3" t="n"/>
      <c r="F4" s="3" t="n"/>
      <c r="G4" s="3" t="n"/>
      <c r="H4" s="3" t="n"/>
      <c r="I4" s="4" t="n"/>
      <c r="J4" s="6" t="n"/>
      <c r="K4" s="6" t="n"/>
      <c r="L4" s="7" t="n"/>
    </row>
    <row r="5" ht="110" customHeight="1">
      <c r="A5" s="3" t="n"/>
      <c r="B5" s="3" t="n"/>
      <c r="C5" s="4" t="n"/>
      <c r="D5" s="3" t="n"/>
      <c r="E5" s="3" t="n"/>
      <c r="F5" s="3" t="n"/>
      <c r="G5" s="3" t="n"/>
      <c r="H5" s="3" t="n"/>
      <c r="I5" s="4" t="n"/>
      <c r="J5" s="6" t="n"/>
      <c r="K5" s="6" t="n"/>
      <c r="L5" s="7" t="n"/>
    </row>
    <row r="6" ht="110" customHeight="1">
      <c r="A6" s="3" t="n"/>
      <c r="B6" s="3" t="n"/>
      <c r="C6" s="4" t="n"/>
      <c r="D6" s="3" t="n"/>
      <c r="E6" s="3" t="n"/>
      <c r="F6" s="3" t="n"/>
      <c r="G6" s="3" t="n"/>
      <c r="H6" s="3" t="n"/>
      <c r="I6" s="4" t="n"/>
      <c r="J6" s="6" t="n"/>
      <c r="K6" s="6" t="n"/>
      <c r="L6" s="7" t="n"/>
    </row>
    <row r="7" ht="110" customHeight="1">
      <c r="A7" s="3" t="n"/>
      <c r="B7" s="3" t="n"/>
      <c r="C7" s="4" t="n"/>
      <c r="D7" s="3" t="n"/>
      <c r="E7" s="3" t="n"/>
      <c r="F7" s="3" t="n"/>
      <c r="G7" s="3" t="n"/>
      <c r="H7" s="3" t="n"/>
      <c r="I7" s="4" t="n"/>
      <c r="J7" s="6" t="n"/>
      <c r="K7" s="6" t="n"/>
      <c r="L7" s="7" t="n"/>
    </row>
    <row r="8" ht="110" customHeight="1">
      <c r="A8" s="3" t="n"/>
      <c r="B8" s="3" t="n"/>
      <c r="C8" s="4" t="n"/>
      <c r="D8" s="3" t="n"/>
      <c r="E8" s="3" t="n"/>
      <c r="F8" s="3" t="n"/>
      <c r="G8" s="3" t="n"/>
      <c r="H8" s="3" t="n"/>
      <c r="I8" s="4" t="n"/>
      <c r="J8" s="6" t="n"/>
      <c r="K8" s="6" t="n"/>
      <c r="L8" s="7" t="n"/>
    </row>
    <row r="9" ht="110" customHeight="1">
      <c r="A9" s="3" t="n"/>
      <c r="B9" s="3" t="n"/>
      <c r="C9" s="4" t="n"/>
      <c r="D9" s="3" t="n"/>
      <c r="E9" s="3" t="n"/>
      <c r="F9" s="3" t="n"/>
      <c r="G9" s="3" t="n"/>
      <c r="H9" s="3" t="n"/>
      <c r="I9" s="4" t="n"/>
      <c r="J9" s="6" t="n"/>
      <c r="K9" s="6" t="n"/>
      <c r="L9" s="7" t="n"/>
    </row>
    <row r="10" ht="110" customHeight="1">
      <c r="A10" s="3" t="n"/>
      <c r="B10" s="3" t="n"/>
      <c r="C10" s="4" t="n"/>
      <c r="D10" s="3" t="n"/>
      <c r="E10" s="3" t="n"/>
      <c r="F10" s="3" t="n"/>
      <c r="G10" s="3" t="n"/>
      <c r="H10" s="3" t="n"/>
      <c r="I10" s="4" t="n"/>
      <c r="J10" s="6" t="n"/>
      <c r="K10" s="6" t="n"/>
      <c r="L10" s="7" t="n"/>
    </row>
    <row r="11" ht="110" customHeight="1">
      <c r="A11" s="3" t="n"/>
      <c r="B11" s="3" t="n"/>
      <c r="C11" s="4" t="n"/>
      <c r="D11" s="3" t="n"/>
      <c r="E11" s="3" t="n"/>
      <c r="F11" s="3" t="n"/>
      <c r="G11" s="3" t="n"/>
      <c r="H11" s="3" t="n"/>
      <c r="I11" s="4" t="n"/>
      <c r="J11" s="6" t="n"/>
      <c r="K11" s="6" t="n"/>
      <c r="L11" s="7" t="n"/>
    </row>
    <row r="12" ht="110" customHeight="1">
      <c r="A12" s="3" t="n"/>
      <c r="B12" s="3" t="n"/>
      <c r="C12" s="4" t="n"/>
      <c r="D12" s="3" t="n"/>
      <c r="E12" s="3" t="n"/>
      <c r="F12" s="3" t="n"/>
      <c r="G12" s="3" t="n"/>
      <c r="H12" s="3" t="n"/>
      <c r="I12" s="4" t="n"/>
      <c r="J12" s="6" t="n"/>
      <c r="K12" s="6" t="n"/>
      <c r="L12" s="7" t="n"/>
    </row>
    <row r="13" ht="110" customHeight="1">
      <c r="A13" s="3" t="n"/>
      <c r="B13" s="3" t="n"/>
      <c r="C13" s="4" t="n"/>
      <c r="D13" s="3" t="n"/>
      <c r="E13" s="3" t="n"/>
      <c r="F13" s="3" t="n"/>
      <c r="G13" s="3" t="n"/>
      <c r="H13" s="3" t="n"/>
      <c r="I13" s="4" t="n"/>
      <c r="J13" s="6" t="n"/>
      <c r="K13" s="6" t="n"/>
      <c r="L13" s="7" t="n"/>
    </row>
    <row r="14" ht="110" customHeight="1">
      <c r="A14" s="3" t="n"/>
      <c r="B14" s="3" t="n"/>
      <c r="C14" s="4" t="n"/>
      <c r="D14" s="3" t="n"/>
      <c r="E14" s="3" t="n"/>
      <c r="F14" s="3" t="n"/>
      <c r="G14" s="3" t="n"/>
      <c r="H14" s="3" t="n"/>
      <c r="I14" s="4" t="n"/>
      <c r="J14" s="6" t="n"/>
      <c r="K14" s="6" t="n"/>
      <c r="L14" s="7" t="n"/>
    </row>
    <row r="15" ht="110" customHeight="1">
      <c r="A15" s="3" t="n"/>
      <c r="B15" s="3" t="n"/>
      <c r="C15" s="4" t="n"/>
      <c r="D15" s="3" t="n"/>
      <c r="E15" s="3" t="n"/>
      <c r="F15" s="3" t="n"/>
      <c r="G15" s="3" t="n"/>
      <c r="H15" s="3" t="n"/>
      <c r="I15" s="4" t="n"/>
      <c r="J15" s="6" t="n"/>
      <c r="K15" s="6" t="n"/>
      <c r="L15" s="7" t="n"/>
    </row>
    <row r="16" ht="110" customHeight="1">
      <c r="A16" s="3" t="n"/>
      <c r="B16" s="3" t="n"/>
      <c r="C16" s="4" t="n"/>
      <c r="D16" s="3" t="n"/>
      <c r="E16" s="3" t="n"/>
      <c r="F16" s="3" t="n"/>
      <c r="G16" s="3" t="n"/>
      <c r="H16" s="3" t="n"/>
      <c r="I16" s="4" t="n"/>
      <c r="J16" s="6" t="n"/>
      <c r="K16" s="6" t="n"/>
      <c r="L16" s="7" t="n"/>
    </row>
    <row r="17" ht="110" customHeight="1">
      <c r="A17" s="3" t="n"/>
      <c r="B17" s="3" t="n"/>
      <c r="C17" s="4" t="n"/>
      <c r="D17" s="3" t="n"/>
      <c r="E17" s="3" t="n"/>
      <c r="F17" s="3" t="n"/>
      <c r="G17" s="3" t="n"/>
      <c r="H17" s="3" t="n"/>
      <c r="I17" s="4" t="n"/>
      <c r="J17" s="6" t="n"/>
      <c r="K17" s="6" t="n"/>
      <c r="L17" s="7" t="n"/>
    </row>
    <row r="18" ht="110" customHeight="1">
      <c r="A18" s="3" t="n"/>
      <c r="B18" s="3" t="n"/>
      <c r="C18" s="4" t="n"/>
      <c r="D18" s="3" t="n"/>
      <c r="E18" s="3" t="n"/>
      <c r="F18" s="3" t="n"/>
      <c r="G18" s="3" t="n"/>
      <c r="H18" s="3" t="n"/>
      <c r="I18" s="4" t="n"/>
      <c r="J18" s="6" t="n"/>
      <c r="K18" s="6" t="n"/>
      <c r="L18" s="7" t="n"/>
    </row>
    <row r="19" ht="110" customHeight="1">
      <c r="A19" s="3" t="n"/>
      <c r="B19" s="3" t="n"/>
      <c r="C19" s="4" t="n"/>
      <c r="D19" s="3" t="n"/>
      <c r="E19" s="3" t="n"/>
      <c r="F19" s="3" t="n"/>
      <c r="G19" s="3" t="n"/>
      <c r="H19" s="3" t="n"/>
      <c r="I19" s="4" t="n"/>
      <c r="J19" s="6" t="n"/>
      <c r="K19" s="6" t="n"/>
      <c r="L19" s="7" t="n"/>
    </row>
    <row r="20" ht="110" customHeight="1">
      <c r="A20" s="3" t="n"/>
      <c r="B20" s="3" t="n"/>
      <c r="C20" s="4" t="n"/>
      <c r="D20" s="3" t="n"/>
      <c r="E20" s="3" t="n"/>
      <c r="F20" s="3" t="n"/>
      <c r="G20" s="3" t="n"/>
      <c r="H20" s="3" t="n"/>
      <c r="I20" s="4" t="n"/>
      <c r="J20" s="6" t="n"/>
      <c r="K20" s="6" t="n"/>
      <c r="L20" s="7" t="n"/>
    </row>
    <row r="21" ht="110" customHeight="1">
      <c r="A21" s="3" t="n"/>
      <c r="B21" s="3" t="n"/>
      <c r="C21" s="4" t="n"/>
      <c r="D21" s="3" t="n"/>
      <c r="E21" s="3" t="n"/>
      <c r="F21" s="3" t="n"/>
      <c r="G21" s="3" t="n"/>
      <c r="H21" s="3" t="n"/>
      <c r="I21" s="4" t="n"/>
      <c r="J21" s="6" t="n"/>
      <c r="K21" s="6" t="n"/>
      <c r="L21" s="7" t="n"/>
    </row>
    <row r="22" ht="110" customHeight="1">
      <c r="A22" s="3" t="n"/>
      <c r="B22" s="3" t="n"/>
      <c r="C22" s="4" t="n"/>
      <c r="D22" s="3" t="n"/>
      <c r="E22" s="3" t="n"/>
      <c r="F22" s="3" t="n"/>
      <c r="G22" s="3" t="n"/>
      <c r="H22" s="3" t="n"/>
      <c r="I22" s="4" t="n"/>
      <c r="J22" s="6" t="n"/>
      <c r="K22" s="6" t="n"/>
      <c r="L22" s="7" t="n"/>
    </row>
    <row r="23" ht="110" customHeight="1">
      <c r="A23" s="3" t="n"/>
      <c r="B23" s="3" t="n"/>
      <c r="C23" s="4" t="n"/>
      <c r="D23" s="3" t="n"/>
      <c r="E23" s="3" t="n"/>
      <c r="F23" s="3" t="n"/>
      <c r="G23" s="3" t="n"/>
      <c r="H23" s="3" t="n"/>
      <c r="I23" s="4" t="n"/>
      <c r="J23" s="6" t="n"/>
      <c r="K23" s="6" t="n"/>
      <c r="L23" s="7" t="n"/>
    </row>
    <row r="24" ht="110" customHeight="1">
      <c r="A24" s="3" t="n"/>
      <c r="B24" s="3" t="n"/>
      <c r="C24" s="4" t="n"/>
      <c r="D24" s="3" t="n"/>
      <c r="E24" s="3" t="n"/>
      <c r="F24" s="3" t="n"/>
      <c r="G24" s="3" t="n"/>
      <c r="H24" s="3" t="n"/>
      <c r="I24" s="4" t="n"/>
      <c r="J24" s="6" t="n"/>
      <c r="K24" s="6" t="n"/>
      <c r="L24" s="7" t="n"/>
    </row>
    <row r="25" ht="110" customHeight="1">
      <c r="A25" s="3" t="n"/>
      <c r="B25" s="3" t="n"/>
      <c r="C25" s="4" t="n"/>
      <c r="D25" s="3" t="n"/>
      <c r="E25" s="3" t="n"/>
      <c r="F25" s="3" t="n"/>
      <c r="G25" s="3" t="n"/>
      <c r="H25" s="3" t="n"/>
      <c r="I25" s="4" t="n"/>
      <c r="J25" s="6" t="n"/>
      <c r="K25" s="6" t="n"/>
      <c r="L25" s="7" t="n"/>
    </row>
    <row r="26" ht="110" customHeight="1">
      <c r="A26" s="3" t="n"/>
      <c r="B26" s="3" t="n"/>
      <c r="C26" s="4" t="n"/>
      <c r="D26" s="3" t="n"/>
      <c r="E26" s="3" t="n"/>
      <c r="F26" s="3" t="n"/>
      <c r="G26" s="3" t="n"/>
      <c r="H26" s="3" t="n"/>
      <c r="I26" s="4" t="n"/>
      <c r="J26" s="6" t="n"/>
      <c r="K26" s="6" t="n"/>
      <c r="L26" s="7" t="n"/>
    </row>
    <row r="27" ht="110" customHeight="1">
      <c r="A27" s="3" t="n"/>
      <c r="B27" s="3" t="n"/>
      <c r="C27" s="4" t="n"/>
      <c r="D27" s="3" t="n"/>
      <c r="E27" s="3" t="n"/>
      <c r="F27" s="3" t="n"/>
      <c r="G27" s="3" t="n"/>
      <c r="H27" s="3" t="n"/>
      <c r="I27" s="4" t="n"/>
      <c r="J27" s="6" t="n"/>
      <c r="K27" s="6" t="n"/>
      <c r="L27" s="7" t="n"/>
    </row>
    <row r="28" ht="110" customHeight="1">
      <c r="A28" s="3" t="n"/>
      <c r="B28" s="3" t="n"/>
      <c r="C28" s="4" t="n"/>
      <c r="D28" s="3" t="n"/>
      <c r="E28" s="3" t="n"/>
      <c r="F28" s="3" t="n"/>
      <c r="G28" s="3" t="n"/>
      <c r="H28" s="3" t="n"/>
      <c r="I28" s="4" t="n"/>
      <c r="J28" s="6" t="n"/>
      <c r="K28" s="6" t="n"/>
      <c r="L28" s="7" t="n"/>
    </row>
    <row r="29" ht="110" customHeight="1">
      <c r="A29" s="3" t="n"/>
      <c r="B29" s="3" t="n"/>
      <c r="C29" s="4" t="n"/>
      <c r="D29" s="3" t="n"/>
      <c r="E29" s="3" t="n"/>
      <c r="F29" s="3" t="n"/>
      <c r="G29" s="3" t="n"/>
      <c r="H29" s="3" t="n"/>
      <c r="I29" s="4" t="n"/>
      <c r="J29" s="6" t="n"/>
      <c r="K29" s="6" t="n"/>
      <c r="L29" s="7" t="n"/>
    </row>
    <row r="30" ht="110" customHeight="1">
      <c r="A30" s="3" t="n"/>
      <c r="B30" s="3" t="n"/>
      <c r="C30" s="4" t="n"/>
      <c r="D30" s="3" t="n"/>
      <c r="E30" s="3" t="n"/>
      <c r="F30" s="3" t="n"/>
      <c r="G30" s="3" t="n"/>
      <c r="H30" s="3" t="n"/>
      <c r="I30" s="4" t="n"/>
      <c r="J30" s="6" t="n"/>
      <c r="K30" s="6" t="n"/>
      <c r="L30" s="7" t="n"/>
    </row>
    <row r="31" ht="110" customHeight="1">
      <c r="A31" s="3" t="n"/>
      <c r="B31" s="3" t="n"/>
      <c r="C31" s="4" t="n"/>
      <c r="D31" s="3" t="n"/>
      <c r="E31" s="3" t="n"/>
      <c r="F31" s="3" t="n"/>
      <c r="G31" s="3" t="n"/>
      <c r="H31" s="3" t="n"/>
      <c r="I31" s="4" t="n"/>
      <c r="J31" s="6" t="n"/>
      <c r="K31" s="6" t="n"/>
      <c r="L31" s="7" t="n"/>
    </row>
    <row r="32" ht="110" customHeight="1">
      <c r="A32" s="3" t="n"/>
      <c r="B32" s="3" t="n"/>
      <c r="C32" s="4" t="n"/>
      <c r="D32" s="3" t="n"/>
      <c r="E32" s="3" t="n"/>
      <c r="F32" s="3" t="n"/>
      <c r="G32" s="3" t="n"/>
      <c r="H32" s="3" t="n"/>
      <c r="I32" s="4" t="n"/>
      <c r="J32" s="6" t="n"/>
      <c r="K32" s="6" t="n"/>
      <c r="L32" s="7" t="n"/>
    </row>
    <row r="33" ht="110" customHeight="1">
      <c r="A33" s="3" t="n"/>
      <c r="B33" s="3" t="n"/>
      <c r="C33" s="4" t="n"/>
      <c r="D33" s="3" t="n"/>
      <c r="E33" s="3" t="n"/>
      <c r="F33" s="3" t="n"/>
      <c r="G33" s="3" t="n"/>
      <c r="H33" s="3" t="n"/>
      <c r="I33" s="4" t="n"/>
      <c r="J33" s="6" t="n"/>
      <c r="K33" s="6" t="n"/>
      <c r="L33" s="7" t="n"/>
    </row>
    <row r="34" ht="110" customHeight="1">
      <c r="A34" s="3" t="n"/>
      <c r="B34" s="3" t="n"/>
      <c r="C34" s="4" t="n"/>
      <c r="D34" s="3" t="n"/>
      <c r="E34" s="3" t="n"/>
      <c r="F34" s="3" t="n"/>
      <c r="G34" s="3" t="n"/>
      <c r="H34" s="3" t="n"/>
      <c r="I34" s="4" t="n"/>
      <c r="J34" s="6" t="n"/>
      <c r="K34" s="6" t="n"/>
      <c r="L34" s="7" t="n"/>
    </row>
    <row r="35" ht="110" customHeight="1">
      <c r="A35" s="3" t="n"/>
      <c r="B35" s="3" t="n"/>
      <c r="C35" s="4" t="n"/>
      <c r="D35" s="3" t="n"/>
      <c r="E35" s="3" t="n"/>
      <c r="F35" s="3" t="n"/>
      <c r="G35" s="3" t="n"/>
      <c r="H35" s="3" t="n"/>
      <c r="I35" s="4" t="n"/>
      <c r="J35" s="6" t="n"/>
      <c r="K35" s="6" t="n"/>
      <c r="L35" s="7" t="n"/>
    </row>
    <row r="36" ht="110" customHeight="1">
      <c r="A36" s="3" t="n"/>
      <c r="B36" s="3" t="n"/>
      <c r="C36" s="4" t="n"/>
      <c r="D36" s="3" t="n"/>
      <c r="E36" s="3" t="n"/>
      <c r="F36" s="3" t="n"/>
      <c r="G36" s="3" t="n"/>
      <c r="H36" s="3" t="n"/>
      <c r="I36" s="4" t="n"/>
      <c r="J36" s="6" t="n"/>
      <c r="K36" s="6" t="n"/>
      <c r="L36" s="7" t="n"/>
    </row>
    <row r="37" ht="110" customHeight="1">
      <c r="A37" s="3" t="n"/>
      <c r="B37" s="3" t="n"/>
      <c r="C37" s="4" t="n"/>
      <c r="D37" s="3" t="n"/>
      <c r="E37" s="3" t="n"/>
      <c r="F37" s="3" t="n"/>
      <c r="G37" s="3" t="n"/>
      <c r="H37" s="3" t="n"/>
      <c r="I37" s="4" t="n"/>
      <c r="J37" s="6" t="n"/>
      <c r="K37" s="6" t="n"/>
      <c r="L37" s="7" t="n"/>
    </row>
    <row r="38" ht="110" customHeight="1">
      <c r="A38" s="3" t="n"/>
      <c r="B38" s="3" t="n"/>
      <c r="C38" s="4" t="n"/>
      <c r="D38" s="3" t="n"/>
      <c r="E38" s="3" t="n"/>
      <c r="F38" s="3" t="n"/>
      <c r="G38" s="3" t="n"/>
      <c r="H38" s="3" t="n"/>
      <c r="I38" s="4" t="n"/>
      <c r="J38" s="6" t="n"/>
      <c r="K38" s="6" t="n"/>
      <c r="L38" s="7" t="n"/>
    </row>
    <row r="39" ht="110" customHeight="1">
      <c r="A39" s="3" t="n"/>
      <c r="B39" s="3" t="n"/>
      <c r="C39" s="4" t="n"/>
      <c r="D39" s="3" t="n"/>
      <c r="E39" s="3" t="n"/>
      <c r="F39" s="3" t="n"/>
      <c r="G39" s="3" t="n"/>
      <c r="H39" s="3" t="n"/>
      <c r="I39" s="4" t="n"/>
      <c r="J39" s="6" t="n"/>
      <c r="K39" s="6" t="n"/>
      <c r="L39" s="7" t="n"/>
    </row>
    <row r="40" ht="110" customHeight="1">
      <c r="A40" s="3" t="n"/>
      <c r="B40" s="3" t="n"/>
      <c r="C40" s="4" t="n"/>
      <c r="D40" s="3" t="n"/>
      <c r="E40" s="3" t="n"/>
      <c r="F40" s="3" t="n"/>
      <c r="G40" s="3" t="n"/>
      <c r="H40" s="3" t="n"/>
      <c r="I40" s="4" t="n"/>
      <c r="J40" s="6" t="n"/>
      <c r="K40" s="6" t="n"/>
      <c r="L40" s="7" t="n"/>
    </row>
    <row r="41" ht="110" customHeight="1">
      <c r="A41" s="3" t="n"/>
      <c r="B41" s="3" t="n"/>
      <c r="C41" s="4" t="n"/>
      <c r="D41" s="3" t="n"/>
      <c r="E41" s="3" t="n"/>
      <c r="F41" s="3" t="n"/>
      <c r="G41" s="3" t="n"/>
      <c r="H41" s="3" t="n"/>
      <c r="I41" s="4" t="n"/>
      <c r="J41" s="6" t="n"/>
      <c r="K41" s="6" t="n"/>
      <c r="L41" s="7" t="n"/>
    </row>
    <row r="42" ht="110" customHeight="1">
      <c r="A42" s="3" t="n"/>
      <c r="B42" s="3" t="n"/>
      <c r="C42" s="4" t="n"/>
      <c r="D42" s="3" t="n"/>
      <c r="E42" s="3" t="n"/>
      <c r="F42" s="3" t="n"/>
      <c r="G42" s="3" t="n"/>
      <c r="H42" s="3" t="n"/>
      <c r="I42" s="4" t="n"/>
      <c r="J42" s="6" t="n"/>
      <c r="K42" s="6" t="n"/>
      <c r="L42" s="7" t="n"/>
    </row>
    <row r="43" ht="110" customHeight="1">
      <c r="A43" s="3" t="n"/>
      <c r="B43" s="3" t="n"/>
      <c r="C43" s="4" t="n"/>
      <c r="D43" s="3" t="n"/>
      <c r="E43" s="3" t="n"/>
      <c r="F43" s="3" t="n"/>
      <c r="G43" s="3" t="n"/>
      <c r="H43" s="3" t="n"/>
      <c r="I43" s="4" t="n"/>
      <c r="J43" s="6" t="n"/>
      <c r="K43" s="6" t="n"/>
      <c r="L43" s="7" t="n"/>
    </row>
    <row r="44" ht="110" customHeight="1">
      <c r="A44" s="3" t="n"/>
      <c r="B44" s="3" t="n"/>
      <c r="C44" s="4" t="n"/>
      <c r="D44" s="3" t="n"/>
      <c r="E44" s="3" t="n"/>
      <c r="F44" s="3" t="n"/>
      <c r="G44" s="3" t="n"/>
      <c r="H44" s="3" t="n"/>
      <c r="I44" s="4" t="n"/>
      <c r="J44" s="6" t="n"/>
      <c r="K44" s="6" t="n"/>
      <c r="L44" s="7" t="n"/>
    </row>
    <row r="45" ht="110" customHeight="1">
      <c r="A45" s="3" t="n"/>
      <c r="B45" s="3" t="n"/>
      <c r="C45" s="4" t="n"/>
      <c r="D45" s="3" t="n"/>
      <c r="E45" s="3" t="n"/>
      <c r="F45" s="3" t="n"/>
      <c r="G45" s="3" t="n"/>
      <c r="H45" s="3" t="n"/>
      <c r="I45" s="4" t="n"/>
      <c r="J45" s="6" t="n"/>
      <c r="K45" s="6" t="n"/>
      <c r="L45" s="7" t="n"/>
    </row>
    <row r="46" ht="110" customHeight="1">
      <c r="A46" s="3" t="n"/>
      <c r="B46" s="3" t="n"/>
      <c r="C46" s="4" t="n"/>
      <c r="D46" s="3" t="n"/>
      <c r="E46" s="3" t="n"/>
      <c r="F46" s="3" t="n"/>
      <c r="G46" s="3" t="n"/>
      <c r="H46" s="3" t="n"/>
      <c r="I46" s="4" t="n"/>
      <c r="J46" s="6" t="n"/>
      <c r="K46" s="6" t="n"/>
      <c r="L46" s="7" t="n"/>
    </row>
    <row r="47" ht="110" customHeight="1">
      <c r="A47" s="3" t="n"/>
      <c r="B47" s="3" t="n"/>
      <c r="C47" s="4" t="n"/>
      <c r="D47" s="3" t="n"/>
      <c r="E47" s="3" t="n"/>
      <c r="F47" s="3" t="n"/>
      <c r="G47" s="3" t="n"/>
      <c r="H47" s="3" t="n"/>
      <c r="I47" s="4" t="n"/>
      <c r="J47" s="6" t="n"/>
      <c r="K47" s="6" t="n"/>
      <c r="L47" s="7" t="n"/>
    </row>
    <row r="48" ht="110" customHeight="1">
      <c r="A48" s="3" t="n"/>
      <c r="B48" s="3" t="n"/>
      <c r="C48" s="4" t="n"/>
      <c r="D48" s="3" t="n"/>
      <c r="E48" s="3" t="n"/>
      <c r="F48" s="3" t="n"/>
      <c r="G48" s="3" t="n"/>
      <c r="H48" s="3" t="n"/>
      <c r="I48" s="4" t="n"/>
      <c r="J48" s="6" t="n"/>
      <c r="K48" s="6" t="n"/>
      <c r="L48" s="7" t="n"/>
    </row>
    <row r="49" ht="110" customHeight="1">
      <c r="A49" s="3" t="n"/>
      <c r="B49" s="3" t="n"/>
      <c r="C49" s="4" t="n"/>
      <c r="D49" s="3" t="n"/>
      <c r="E49" s="3" t="n"/>
      <c r="F49" s="3" t="n"/>
      <c r="G49" s="3" t="n"/>
      <c r="H49" s="3" t="n"/>
      <c r="I49" s="4" t="n"/>
      <c r="J49" s="6" t="n"/>
      <c r="K49" s="6" t="n"/>
      <c r="L49" s="7" t="n"/>
    </row>
    <row r="50" ht="110" customHeight="1">
      <c r="A50" s="3" t="n"/>
      <c r="B50" s="3" t="n"/>
      <c r="C50" s="4" t="n"/>
      <c r="D50" s="3" t="n"/>
      <c r="E50" s="3" t="n"/>
      <c r="F50" s="3" t="n"/>
      <c r="G50" s="3" t="n"/>
      <c r="H50" s="3" t="n"/>
      <c r="I50" s="4" t="n"/>
      <c r="J50" s="6" t="n"/>
      <c r="K50" s="6" t="n"/>
      <c r="L50" s="7" t="n"/>
    </row>
    <row r="51" ht="110" customHeight="1">
      <c r="A51" s="3" t="n"/>
      <c r="B51" s="3" t="n"/>
      <c r="C51" s="4" t="n"/>
      <c r="D51" s="3" t="n"/>
      <c r="E51" s="3" t="n"/>
      <c r="F51" s="3" t="n"/>
      <c r="G51" s="3" t="n"/>
      <c r="H51" s="3" t="n"/>
      <c r="I51" s="4" t="n"/>
      <c r="J51" s="6" t="n"/>
      <c r="K51" s="6" t="n"/>
      <c r="L51" s="7" t="n"/>
    </row>
    <row r="52" ht="110" customHeight="1">
      <c r="A52" s="3" t="n"/>
      <c r="B52" s="3" t="n"/>
      <c r="C52" s="4" t="n"/>
      <c r="D52" s="3" t="n"/>
      <c r="E52" s="3" t="n"/>
      <c r="F52" s="3" t="n"/>
      <c r="G52" s="3" t="n"/>
      <c r="H52" s="3" t="n"/>
      <c r="I52" s="4" t="n"/>
      <c r="J52" s="6" t="n"/>
      <c r="K52" s="6" t="n"/>
      <c r="L52" s="7" t="n"/>
    </row>
    <row r="53" ht="110" customHeight="1">
      <c r="A53" s="3" t="n"/>
      <c r="B53" s="3" t="n"/>
      <c r="C53" s="4" t="n"/>
      <c r="D53" s="3" t="n"/>
      <c r="E53" s="3" t="n"/>
      <c r="F53" s="3" t="n"/>
      <c r="G53" s="3" t="n"/>
      <c r="H53" s="3" t="n"/>
      <c r="I53" s="4" t="n"/>
      <c r="J53" s="6" t="n"/>
      <c r="K53" s="6" t="n"/>
      <c r="L53" s="7" t="n"/>
    </row>
    <row r="54" ht="110" customHeight="1">
      <c r="A54" s="3" t="n"/>
      <c r="B54" s="3" t="n"/>
      <c r="C54" s="4" t="n"/>
      <c r="D54" s="3" t="n"/>
      <c r="E54" s="3" t="n"/>
      <c r="F54" s="3" t="n"/>
      <c r="G54" s="3" t="n"/>
      <c r="H54" s="3" t="n"/>
      <c r="I54" s="4" t="n"/>
      <c r="J54" s="6" t="n"/>
      <c r="K54" s="6" t="n"/>
      <c r="L54" s="7" t="n"/>
    </row>
    <row r="55" ht="110" customHeight="1">
      <c r="A55" s="3" t="n"/>
      <c r="B55" s="3" t="n"/>
      <c r="C55" s="4" t="n"/>
      <c r="D55" s="3" t="n"/>
      <c r="E55" s="3" t="n"/>
      <c r="F55" s="3" t="n"/>
      <c r="G55" s="3" t="n"/>
      <c r="H55" s="3" t="n"/>
      <c r="I55" s="4" t="n"/>
      <c r="J55" s="6" t="n"/>
      <c r="K55" s="6" t="n"/>
      <c r="L55" s="7" t="n"/>
    </row>
    <row r="56" ht="110" customHeight="1">
      <c r="A56" s="3" t="n"/>
      <c r="B56" s="3" t="n"/>
      <c r="C56" s="4" t="n"/>
      <c r="D56" s="3" t="n"/>
      <c r="E56" s="3" t="n"/>
      <c r="F56" s="3" t="n"/>
      <c r="G56" s="3" t="n"/>
      <c r="H56" s="3" t="n"/>
      <c r="I56" s="4" t="n"/>
      <c r="J56" s="6" t="n"/>
      <c r="K56" s="6" t="n"/>
      <c r="L56" s="7" t="n"/>
    </row>
    <row r="57" ht="110" customHeight="1">
      <c r="A57" s="3" t="n"/>
      <c r="B57" s="3" t="n"/>
      <c r="C57" s="4" t="n"/>
      <c r="D57" s="3" t="n"/>
      <c r="E57" s="3" t="n"/>
      <c r="F57" s="3" t="n"/>
      <c r="G57" s="3" t="n"/>
      <c r="H57" s="3" t="n"/>
      <c r="I57" s="4" t="n"/>
      <c r="J57" s="6" t="n"/>
      <c r="K57" s="6" t="n"/>
      <c r="L57" s="7" t="n"/>
    </row>
    <row r="58" ht="110" customHeight="1">
      <c r="A58" s="3" t="n"/>
      <c r="B58" s="3" t="n"/>
      <c r="C58" s="4" t="n"/>
      <c r="D58" s="3" t="n"/>
      <c r="E58" s="3" t="n"/>
      <c r="F58" s="3" t="n"/>
      <c r="G58" s="3" t="n"/>
      <c r="H58" s="3" t="n"/>
      <c r="I58" s="4" t="n"/>
      <c r="J58" s="6" t="n"/>
      <c r="K58" s="6" t="n"/>
      <c r="L58" s="7" t="n"/>
    </row>
    <row r="59" ht="110" customHeight="1">
      <c r="A59" s="3" t="n"/>
      <c r="B59" s="3" t="n"/>
      <c r="C59" s="4" t="n"/>
      <c r="D59" s="3" t="n"/>
      <c r="E59" s="3" t="n"/>
      <c r="F59" s="3" t="n"/>
      <c r="G59" s="3" t="n"/>
      <c r="H59" s="3" t="n"/>
      <c r="I59" s="4" t="n"/>
      <c r="J59" s="6" t="n"/>
      <c r="K59" s="6" t="n"/>
      <c r="L59" s="7" t="n"/>
    </row>
    <row r="60" ht="110" customHeight="1">
      <c r="A60" s="3" t="n"/>
      <c r="B60" s="3" t="n"/>
      <c r="C60" s="4" t="n"/>
      <c r="D60" s="3" t="n"/>
      <c r="E60" s="3" t="n"/>
      <c r="F60" s="3" t="n"/>
      <c r="G60" s="3" t="n"/>
      <c r="H60" s="3" t="n"/>
      <c r="I60" s="4" t="n"/>
      <c r="J60" s="6" t="n"/>
      <c r="K60" s="6" t="n"/>
      <c r="L60" s="7" t="n"/>
    </row>
    <row r="61" ht="110" customHeight="1">
      <c r="A61" s="3" t="n"/>
      <c r="B61" s="3" t="n"/>
      <c r="C61" s="4" t="n"/>
      <c r="D61" s="3" t="n"/>
      <c r="E61" s="3" t="n"/>
      <c r="F61" s="3" t="n"/>
      <c r="G61" s="3" t="n"/>
      <c r="H61" s="3" t="n"/>
      <c r="I61" s="4" t="n"/>
      <c r="J61" s="6" t="n"/>
      <c r="K61" s="6" t="n"/>
      <c r="L61" s="7" t="n"/>
    </row>
    <row r="62" ht="110" customHeight="1">
      <c r="A62" s="3" t="n"/>
      <c r="B62" s="3" t="n"/>
      <c r="C62" s="4" t="n"/>
      <c r="D62" s="3" t="n"/>
      <c r="E62" s="3" t="n"/>
      <c r="F62" s="3" t="n"/>
      <c r="G62" s="3" t="n"/>
      <c r="H62" s="3" t="n"/>
      <c r="I62" s="4" t="n"/>
      <c r="J62" s="6" t="n"/>
      <c r="K62" s="6" t="n"/>
      <c r="L62" s="7" t="n"/>
    </row>
    <row r="63" ht="110" customHeight="1">
      <c r="A63" s="3" t="n"/>
      <c r="B63" s="3" t="n"/>
      <c r="C63" s="4" t="n"/>
      <c r="D63" s="3" t="n"/>
      <c r="E63" s="3" t="n"/>
      <c r="F63" s="3" t="n"/>
      <c r="G63" s="3" t="n"/>
      <c r="H63" s="3" t="n"/>
      <c r="I63" s="4" t="n"/>
      <c r="J63" s="6" t="n"/>
      <c r="K63" s="6" t="n"/>
      <c r="L63" s="7" t="n"/>
    </row>
    <row r="64" ht="110" customHeight="1">
      <c r="A64" s="3" t="n"/>
      <c r="B64" s="3" t="n"/>
      <c r="C64" s="4" t="n"/>
      <c r="D64" s="3" t="n"/>
      <c r="E64" s="3" t="n"/>
      <c r="F64" s="3" t="n"/>
      <c r="G64" s="3" t="n"/>
      <c r="H64" s="3" t="n"/>
      <c r="I64" s="4" t="n"/>
      <c r="J64" s="6" t="n"/>
      <c r="K64" s="6" t="n"/>
      <c r="L64" s="7" t="n"/>
    </row>
    <row r="65" ht="110" customHeight="1">
      <c r="A65" s="3" t="n"/>
      <c r="B65" s="3" t="n"/>
      <c r="C65" s="4" t="n"/>
      <c r="D65" s="3" t="n"/>
      <c r="E65" s="3" t="n"/>
      <c r="F65" s="3" t="n"/>
      <c r="G65" s="3" t="n"/>
      <c r="H65" s="3" t="n"/>
      <c r="I65" s="4" t="n"/>
      <c r="J65" s="6" t="n"/>
      <c r="K65" s="6" t="n"/>
      <c r="L65" s="7" t="n"/>
    </row>
    <row r="66" ht="110" customHeight="1">
      <c r="A66" s="3" t="n"/>
      <c r="B66" s="3" t="n"/>
      <c r="C66" s="4" t="n"/>
      <c r="D66" s="3" t="n"/>
      <c r="E66" s="3" t="n"/>
      <c r="F66" s="3" t="n"/>
      <c r="G66" s="3" t="n"/>
      <c r="H66" s="3" t="n"/>
      <c r="I66" s="4" t="n"/>
      <c r="J66" s="6" t="n"/>
      <c r="K66" s="6" t="n"/>
      <c r="L66" s="7" t="n"/>
    </row>
    <row r="67" ht="110" customHeight="1">
      <c r="A67" s="3" t="n"/>
      <c r="B67" s="3" t="n"/>
      <c r="C67" s="4" t="n"/>
      <c r="D67" s="3" t="n"/>
      <c r="E67" s="3" t="n"/>
      <c r="F67" s="3" t="n"/>
      <c r="G67" s="3" t="n"/>
      <c r="H67" s="3" t="n"/>
      <c r="I67" s="4" t="n"/>
      <c r="J67" s="6" t="n"/>
      <c r="K67" s="6" t="n"/>
      <c r="L67" s="7" t="n"/>
    </row>
    <row r="68" ht="110" customHeight="1">
      <c r="A68" s="3" t="n"/>
      <c r="B68" s="3" t="n"/>
      <c r="C68" s="4" t="n"/>
      <c r="D68" s="3" t="n"/>
      <c r="E68" s="3" t="n"/>
      <c r="F68" s="3" t="n"/>
      <c r="G68" s="3" t="n"/>
      <c r="H68" s="3" t="n"/>
      <c r="I68" s="4" t="n"/>
      <c r="J68" s="6" t="n"/>
      <c r="K68" s="6" t="n"/>
      <c r="L68" s="7" t="n"/>
    </row>
    <row r="69" ht="110" customHeight="1">
      <c r="A69" s="3" t="n"/>
      <c r="B69" s="3" t="n"/>
      <c r="C69" s="4" t="n"/>
      <c r="D69" s="3" t="n"/>
      <c r="E69" s="3" t="n"/>
      <c r="F69" s="3" t="n"/>
      <c r="G69" s="3" t="n"/>
      <c r="H69" s="3" t="n"/>
      <c r="I69" s="4" t="n"/>
      <c r="J69" s="6" t="n"/>
      <c r="K69" s="6" t="n"/>
      <c r="L69" s="7" t="n"/>
    </row>
    <row r="70" ht="110" customHeight="1">
      <c r="A70" s="3" t="n"/>
      <c r="B70" s="3" t="n"/>
      <c r="C70" s="4" t="n"/>
      <c r="D70" s="3" t="n"/>
      <c r="E70" s="3" t="n"/>
      <c r="F70" s="3" t="n"/>
      <c r="G70" s="3" t="n"/>
      <c r="H70" s="3" t="n"/>
      <c r="I70" s="4" t="n"/>
      <c r="J70" s="6" t="n"/>
      <c r="K70" s="6" t="n"/>
      <c r="L70" s="7" t="n"/>
    </row>
    <row r="71" ht="110" customHeight="1">
      <c r="A71" s="3" t="n"/>
      <c r="B71" s="3" t="n"/>
      <c r="C71" s="4" t="n"/>
      <c r="D71" s="3" t="n"/>
      <c r="E71" s="3" t="n"/>
      <c r="F71" s="3" t="n"/>
      <c r="G71" s="3" t="n"/>
      <c r="H71" s="3" t="n"/>
      <c r="I71" s="4" t="n"/>
      <c r="J71" s="6" t="n"/>
      <c r="K71" s="6" t="n"/>
      <c r="L71" s="7" t="n"/>
    </row>
    <row r="72" ht="110" customHeight="1">
      <c r="A72" s="3" t="n"/>
      <c r="B72" s="3" t="n"/>
      <c r="C72" s="4" t="n"/>
      <c r="D72" s="3" t="n"/>
      <c r="E72" s="3" t="n"/>
      <c r="F72" s="3" t="n"/>
      <c r="G72" s="3" t="n"/>
      <c r="H72" s="3" t="n"/>
      <c r="I72" s="4" t="n"/>
      <c r="J72" s="6" t="n"/>
      <c r="K72" s="6" t="n"/>
      <c r="L72" s="7" t="n"/>
    </row>
    <row r="73" ht="110" customHeight="1">
      <c r="A73" s="3" t="n"/>
      <c r="B73" s="3" t="n"/>
      <c r="C73" s="4" t="n"/>
      <c r="D73" s="3" t="n"/>
      <c r="E73" s="3" t="n"/>
      <c r="F73" s="3" t="n"/>
      <c r="G73" s="3" t="n"/>
      <c r="H73" s="3" t="n"/>
      <c r="I73" s="4" t="n"/>
      <c r="J73" s="6" t="n"/>
      <c r="K73" s="6" t="n"/>
      <c r="L73" s="7" t="n"/>
    </row>
    <row r="74" ht="110" customHeight="1">
      <c r="A74" s="3" t="n"/>
      <c r="B74" s="3" t="n"/>
      <c r="C74" s="4" t="n"/>
      <c r="D74" s="3" t="n"/>
      <c r="E74" s="3" t="n"/>
      <c r="F74" s="3" t="n"/>
      <c r="G74" s="3" t="n"/>
      <c r="H74" s="3" t="n"/>
      <c r="I74" s="4" t="n"/>
      <c r="J74" s="6" t="n"/>
      <c r="K74" s="6" t="n"/>
      <c r="L74" s="7" t="n"/>
    </row>
    <row r="75" ht="110" customHeight="1">
      <c r="A75" s="3" t="n"/>
      <c r="B75" s="3" t="n"/>
      <c r="C75" s="4" t="n"/>
      <c r="D75" s="3" t="n"/>
      <c r="E75" s="3" t="n"/>
      <c r="F75" s="3" t="n"/>
      <c r="G75" s="3" t="n"/>
      <c r="H75" s="3" t="n"/>
      <c r="I75" s="4" t="n"/>
      <c r="J75" s="6" t="n"/>
      <c r="K75" s="6" t="n"/>
      <c r="L75" s="7" t="n"/>
    </row>
    <row r="76" ht="110" customHeight="1">
      <c r="A76" s="3" t="n"/>
      <c r="B76" s="3" t="n"/>
      <c r="C76" s="4" t="n"/>
      <c r="D76" s="3" t="n"/>
      <c r="E76" s="3" t="n"/>
      <c r="F76" s="3" t="n"/>
      <c r="G76" s="3" t="n"/>
      <c r="H76" s="3" t="n"/>
      <c r="I76" s="4" t="n"/>
      <c r="J76" s="6" t="n"/>
      <c r="K76" s="6" t="n"/>
      <c r="L76" s="7" t="n"/>
    </row>
    <row r="77" ht="110" customHeight="1">
      <c r="A77" s="3" t="n"/>
      <c r="B77" s="3" t="n"/>
      <c r="C77" s="4" t="n"/>
      <c r="D77" s="3" t="n"/>
      <c r="E77" s="3" t="n"/>
      <c r="F77" s="3" t="n"/>
      <c r="G77" s="3" t="n"/>
      <c r="H77" s="3" t="n"/>
      <c r="I77" s="4" t="n"/>
      <c r="J77" s="6" t="n"/>
      <c r="K77" s="6" t="n"/>
      <c r="L77" s="7" t="n"/>
    </row>
    <row r="78" ht="110" customHeight="1">
      <c r="A78" s="3" t="n"/>
      <c r="B78" s="3" t="n"/>
      <c r="C78" s="4" t="n"/>
      <c r="D78" s="3" t="n"/>
      <c r="E78" s="3" t="n"/>
      <c r="F78" s="3" t="n"/>
      <c r="G78" s="3" t="n"/>
      <c r="H78" s="3" t="n"/>
      <c r="I78" s="4" t="n"/>
      <c r="J78" s="6" t="n"/>
      <c r="K78" s="6" t="n"/>
      <c r="L78" s="7" t="n"/>
    </row>
    <row r="79" ht="110" customHeight="1">
      <c r="A79" s="3" t="n"/>
      <c r="B79" s="3" t="n"/>
      <c r="C79" s="4" t="n"/>
      <c r="D79" s="3" t="n"/>
      <c r="E79" s="3" t="n"/>
      <c r="F79" s="3" t="n"/>
      <c r="G79" s="3" t="n"/>
      <c r="H79" s="3" t="n"/>
      <c r="I79" s="4" t="n"/>
      <c r="J79" s="6" t="n"/>
      <c r="K79" s="6" t="n"/>
      <c r="L79" s="7" t="n"/>
    </row>
    <row r="80" ht="110" customHeight="1">
      <c r="A80" s="3" t="n"/>
      <c r="B80" s="3" t="n"/>
      <c r="C80" s="4" t="n"/>
      <c r="D80" s="3" t="n"/>
      <c r="E80" s="3" t="n"/>
      <c r="F80" s="3" t="n"/>
      <c r="G80" s="3" t="n"/>
      <c r="H80" s="3" t="n"/>
      <c r="I80" s="4" t="n"/>
      <c r="J80" s="6" t="n"/>
      <c r="K80" s="6" t="n"/>
      <c r="L80" s="7" t="n"/>
    </row>
    <row r="81" ht="110" customHeight="1">
      <c r="A81" s="3" t="n"/>
      <c r="B81" s="3" t="n"/>
      <c r="C81" s="4" t="n"/>
      <c r="D81" s="3" t="n"/>
      <c r="E81" s="3" t="n"/>
      <c r="F81" s="3" t="n"/>
      <c r="G81" s="3" t="n"/>
      <c r="H81" s="3" t="n"/>
      <c r="I81" s="4" t="n"/>
      <c r="J81" s="6" t="n"/>
      <c r="K81" s="6" t="n"/>
      <c r="L81" s="7" t="n"/>
    </row>
    <row r="82" ht="110" customHeight="1">
      <c r="A82" s="3" t="n"/>
      <c r="B82" s="3" t="n"/>
      <c r="C82" s="4" t="n"/>
      <c r="D82" s="3" t="n"/>
      <c r="E82" s="3" t="n"/>
      <c r="F82" s="3" t="n"/>
      <c r="G82" s="3" t="n"/>
      <c r="H82" s="3" t="n"/>
      <c r="I82" s="4" t="n"/>
      <c r="J82" s="6" t="n"/>
      <c r="K82" s="6" t="n"/>
      <c r="L82" s="7" t="n"/>
    </row>
    <row r="83" ht="110" customHeight="1">
      <c r="A83" s="3" t="n"/>
      <c r="B83" s="3" t="n"/>
      <c r="C83" s="4" t="n"/>
      <c r="D83" s="3" t="n"/>
      <c r="E83" s="3" t="n"/>
      <c r="F83" s="3" t="n"/>
      <c r="G83" s="3" t="n"/>
      <c r="H83" s="3" t="n"/>
      <c r="I83" s="4" t="n"/>
      <c r="J83" s="6" t="n"/>
      <c r="K83" s="6" t="n"/>
      <c r="L83" s="7" t="n"/>
    </row>
    <row r="84" ht="110" customHeight="1">
      <c r="A84" s="3" t="n"/>
      <c r="B84" s="3" t="n"/>
      <c r="C84" s="4" t="n"/>
      <c r="D84" s="3" t="n"/>
      <c r="E84" s="3" t="n"/>
      <c r="F84" s="3" t="n"/>
      <c r="G84" s="3" t="n"/>
      <c r="H84" s="3" t="n"/>
      <c r="I84" s="4" t="n"/>
      <c r="J84" s="6" t="n"/>
      <c r="K84" s="6" t="n"/>
      <c r="L84" s="7" t="n"/>
    </row>
    <row r="85" ht="110" customHeight="1">
      <c r="A85" s="3" t="n"/>
      <c r="B85" s="3" t="n"/>
      <c r="C85" s="4" t="n"/>
      <c r="D85" s="3" t="n"/>
      <c r="E85" s="3" t="n"/>
      <c r="F85" s="3" t="n"/>
      <c r="G85" s="3" t="n"/>
      <c r="H85" s="3" t="n"/>
      <c r="I85" s="4" t="n"/>
      <c r="J85" s="6" t="n"/>
      <c r="K85" s="6" t="n"/>
      <c r="L85" s="7" t="n"/>
    </row>
    <row r="86" ht="110" customHeight="1">
      <c r="A86" s="3" t="n"/>
      <c r="B86" s="3" t="n"/>
      <c r="C86" s="4" t="n"/>
      <c r="D86" s="3" t="n"/>
      <c r="E86" s="3" t="n"/>
      <c r="F86" s="3" t="n"/>
      <c r="G86" s="3" t="n"/>
      <c r="H86" s="3" t="n"/>
      <c r="I86" s="4" t="n"/>
      <c r="J86" s="6" t="n"/>
      <c r="K86" s="6" t="n"/>
      <c r="L86" s="7" t="n"/>
    </row>
    <row r="87" ht="110" customHeight="1">
      <c r="A87" s="3" t="n"/>
      <c r="B87" s="3" t="n"/>
      <c r="C87" s="4" t="n"/>
      <c r="D87" s="3" t="n"/>
      <c r="E87" s="3" t="n"/>
      <c r="F87" s="3" t="n"/>
      <c r="G87" s="3" t="n"/>
      <c r="H87" s="3" t="n"/>
      <c r="I87" s="4" t="n"/>
      <c r="J87" s="6" t="n"/>
      <c r="K87" s="6" t="n"/>
      <c r="L87" s="7" t="n"/>
    </row>
    <row r="88" ht="110" customHeight="1">
      <c r="A88" s="3" t="n"/>
      <c r="B88" s="3" t="n"/>
      <c r="C88" s="4" t="n"/>
      <c r="D88" s="3" t="n"/>
      <c r="E88" s="3" t="n"/>
      <c r="F88" s="3" t="n"/>
      <c r="G88" s="3" t="n"/>
      <c r="H88" s="3" t="n"/>
      <c r="I88" s="4" t="n"/>
      <c r="J88" s="6" t="n"/>
      <c r="K88" s="6" t="n"/>
      <c r="L88" s="7" t="n"/>
    </row>
    <row r="89" ht="110" customHeight="1">
      <c r="A89" s="3" t="n"/>
      <c r="B89" s="3" t="n"/>
      <c r="C89" s="4" t="n"/>
      <c r="D89" s="3" t="n"/>
      <c r="E89" s="3" t="n"/>
      <c r="F89" s="3" t="n"/>
      <c r="G89" s="3" t="n"/>
      <c r="H89" s="3" t="n"/>
      <c r="I89" s="4" t="n"/>
      <c r="J89" s="6" t="n"/>
      <c r="K89" s="6" t="n"/>
      <c r="L89" s="7" t="n"/>
    </row>
    <row r="90" ht="110" customHeight="1">
      <c r="A90" s="3" t="n"/>
      <c r="B90" s="3" t="n"/>
      <c r="C90" s="4" t="n"/>
      <c r="D90" s="3" t="n"/>
      <c r="E90" s="3" t="n"/>
      <c r="F90" s="3" t="n"/>
      <c r="G90" s="3" t="n"/>
      <c r="H90" s="3" t="n"/>
      <c r="I90" s="4" t="n"/>
      <c r="J90" s="6" t="n"/>
      <c r="K90" s="6" t="n"/>
      <c r="L90" s="7" t="n"/>
    </row>
    <row r="91" ht="110" customHeight="1">
      <c r="A91" s="3" t="n"/>
      <c r="B91" s="3" t="n"/>
      <c r="C91" s="4" t="n"/>
      <c r="D91" s="3" t="n"/>
      <c r="E91" s="3" t="n"/>
      <c r="F91" s="3" t="n"/>
      <c r="G91" s="3" t="n"/>
      <c r="H91" s="3" t="n"/>
      <c r="I91" s="4" t="n"/>
      <c r="J91" s="6" t="n"/>
      <c r="K91" s="6" t="n"/>
      <c r="L91" s="7" t="n"/>
    </row>
    <row r="92" ht="110" customHeight="1">
      <c r="A92" s="3" t="n"/>
      <c r="B92" s="3" t="n"/>
      <c r="C92" s="4" t="n"/>
      <c r="D92" s="3" t="n"/>
      <c r="E92" s="3" t="n"/>
      <c r="F92" s="3" t="n"/>
      <c r="G92" s="3" t="n"/>
      <c r="H92" s="3" t="n"/>
      <c r="I92" s="4" t="n"/>
      <c r="J92" s="6" t="n"/>
      <c r="K92" s="6" t="n"/>
      <c r="L92" s="7" t="n"/>
    </row>
    <row r="93" ht="110" customHeight="1">
      <c r="A93" s="3" t="n"/>
      <c r="B93" s="3" t="n"/>
      <c r="C93" s="4" t="n"/>
      <c r="D93" s="3" t="n"/>
      <c r="E93" s="3" t="n"/>
      <c r="F93" s="3" t="n"/>
      <c r="G93" s="3" t="n"/>
      <c r="H93" s="3" t="n"/>
      <c r="I93" s="4" t="n"/>
      <c r="J93" s="6" t="n"/>
      <c r="K93" s="6" t="n"/>
      <c r="L93" s="7" t="n"/>
    </row>
    <row r="94" ht="110" customHeight="1">
      <c r="A94" s="3" t="n"/>
      <c r="B94" s="3" t="n"/>
      <c r="C94" s="4" t="n"/>
      <c r="D94" s="3" t="n"/>
      <c r="E94" s="3" t="n"/>
      <c r="F94" s="3" t="n"/>
      <c r="G94" s="3" t="n"/>
      <c r="H94" s="3" t="n"/>
      <c r="I94" s="4" t="n"/>
      <c r="J94" s="6" t="n"/>
      <c r="K94" s="6" t="n"/>
      <c r="L94" s="7" t="n"/>
    </row>
    <row r="95" ht="110" customHeight="1">
      <c r="A95" s="3" t="n"/>
      <c r="B95" s="3" t="n"/>
      <c r="C95" s="4" t="n"/>
      <c r="D95" s="3" t="n"/>
      <c r="E95" s="3" t="n"/>
      <c r="F95" s="3" t="n"/>
      <c r="G95" s="3" t="n"/>
      <c r="H95" s="3" t="n"/>
      <c r="I95" s="4" t="n"/>
      <c r="J95" s="6" t="n"/>
      <c r="K95" s="6" t="n"/>
      <c r="L95" s="7" t="n"/>
    </row>
    <row r="96" ht="110" customHeight="1">
      <c r="A96" s="3" t="n"/>
      <c r="B96" s="3" t="n"/>
      <c r="C96" s="4" t="n"/>
      <c r="D96" s="3" t="n"/>
      <c r="E96" s="3" t="n"/>
      <c r="F96" s="3" t="n"/>
      <c r="G96" s="3" t="n"/>
      <c r="H96" s="3" t="n"/>
      <c r="I96" s="4" t="n"/>
      <c r="J96" s="6" t="n"/>
      <c r="K96" s="6" t="n"/>
      <c r="L96" s="7" t="n"/>
    </row>
    <row r="97" ht="110" customHeight="1">
      <c r="A97" s="3" t="n"/>
      <c r="B97" s="3" t="n"/>
      <c r="C97" s="4" t="n"/>
      <c r="D97" s="3" t="n"/>
      <c r="E97" s="3" t="n"/>
      <c r="F97" s="3" t="n"/>
      <c r="G97" s="3" t="n"/>
      <c r="H97" s="3" t="n"/>
      <c r="I97" s="4" t="n"/>
      <c r="J97" s="6" t="n"/>
      <c r="K97" s="6" t="n"/>
      <c r="L97" s="7" t="n"/>
    </row>
    <row r="98" ht="110" customHeight="1">
      <c r="A98" s="3" t="n"/>
      <c r="B98" s="3" t="n"/>
      <c r="C98" s="4" t="n"/>
      <c r="D98" s="3" t="n"/>
      <c r="E98" s="3" t="n"/>
      <c r="F98" s="3" t="n"/>
      <c r="G98" s="3" t="n"/>
      <c r="H98" s="3" t="n"/>
      <c r="I98" s="4" t="n"/>
      <c r="J98" s="6" t="n"/>
      <c r="K98" s="6" t="n"/>
      <c r="L98" s="7" t="n"/>
    </row>
    <row r="99" ht="110" customHeight="1">
      <c r="A99" s="3" t="n"/>
      <c r="B99" s="3" t="n"/>
      <c r="C99" s="4" t="n"/>
      <c r="D99" s="3" t="n"/>
      <c r="E99" s="3" t="n"/>
      <c r="F99" s="3" t="n"/>
      <c r="G99" s="3" t="n"/>
      <c r="H99" s="3" t="n"/>
      <c r="I99" s="4" t="n"/>
      <c r="J99" s="6" t="n"/>
      <c r="K99" s="6" t="n"/>
      <c r="L99" s="7" t="n"/>
    </row>
    <row r="100" ht="110" customHeight="1">
      <c r="A100" s="3" t="n"/>
      <c r="B100" s="3" t="n"/>
      <c r="C100" s="4" t="n"/>
      <c r="D100" s="3" t="n"/>
      <c r="E100" s="3" t="n"/>
      <c r="F100" s="3" t="n"/>
      <c r="G100" s="3" t="n"/>
      <c r="H100" s="3" t="n"/>
      <c r="I100" s="4" t="n"/>
      <c r="J100" s="6" t="n"/>
      <c r="K100" s="6" t="n"/>
      <c r="L100" s="7" t="n"/>
    </row>
    <row r="101" ht="110" customHeight="1">
      <c r="A101" s="3" t="n"/>
      <c r="B101" s="3" t="n"/>
      <c r="C101" s="4" t="n"/>
      <c r="D101" s="3" t="n"/>
      <c r="E101" s="3" t="n"/>
      <c r="F101" s="3" t="n"/>
      <c r="G101" s="3" t="n"/>
      <c r="H101" s="3" t="n"/>
      <c r="I101" s="4" t="n"/>
      <c r="J101" s="6" t="n"/>
      <c r="K101" s="6" t="n"/>
      <c r="L101" s="7" t="n"/>
    </row>
    <row r="102" ht="110" customHeight="1">
      <c r="A102" s="3" t="n"/>
      <c r="B102" s="3" t="n"/>
      <c r="C102" s="4" t="n"/>
      <c r="D102" s="3" t="n"/>
      <c r="E102" s="3" t="n"/>
      <c r="F102" s="3" t="n"/>
      <c r="G102" s="3" t="n"/>
      <c r="H102" s="3" t="n"/>
      <c r="I102" s="4" t="n"/>
      <c r="J102" s="6" t="n"/>
      <c r="K102" s="6" t="n"/>
      <c r="L102" s="7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2026-06-23T10:08:04Z</dcterms:created>
  <dcterms:modified xmlns:dcterms="http://purl.org/dc/terms/" xmlns:xsi="http://www.w3.org/2001/XMLSchema-instance" xsi:type="dcterms:W3CDTF">2026-06-23T10:08:04Z</dcterms:modified>
</cp:coreProperties>
</file>