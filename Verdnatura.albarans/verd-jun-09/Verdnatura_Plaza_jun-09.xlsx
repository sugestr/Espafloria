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#12929227  ·  08-06-2026  ·  Plaza  ·  2 позиций  ·  bultos: 1</t>
        </is>
      </c>
    </row>
    <row r="3" ht="110" customHeight="1">
      <c r="A3" s="3" t="inlineStr">
        <is>
          <t>12929227</t>
        </is>
      </c>
      <c r="B3" s="3" t="inlineStr">
        <is>
          <t>08-06-2026</t>
        </is>
      </c>
      <c r="C3" s="3" t="inlineStr">
        <is>
          <t>Plaza</t>
        </is>
      </c>
      <c r="D3" s="3" t="inlineStr">
        <is>
          <t>205468</t>
        </is>
      </c>
      <c r="E3" s="4" t="inlineStr">
        <is>
          <t>PHAL 2T Geel MF</t>
        </is>
      </c>
      <c r="F3" s="4" t="inlineStr">
        <is>
          <t>Geest Potplanten</t>
        </is>
      </c>
      <c r="G3" s="4" t="inlineStr">
        <is>
          <t>COLOR Amarillo · ALTURA 50 cm · MACETA 12</t>
        </is>
      </c>
      <c r="H3" s="3" t="inlineStr"/>
      <c r="I3" s="3" t="n">
        <v>7</v>
      </c>
      <c r="J3" s="3" t="inlineStr">
        <is>
          <t>7 шт.</t>
        </is>
      </c>
      <c r="K3" s="4">
        <f>IMAGE("https://cdn.verdnatura.es/image/catalog/1600x900/205468")</f>
        <v/>
      </c>
      <c r="L3" s="5" t="n"/>
      <c r="M3" s="6" t="n"/>
      <c r="N3" s="7" t="n"/>
      <c r="O3" s="8" t="n">
        <v>2.77</v>
      </c>
      <c r="P3" s="8" t="n">
        <v>19.39</v>
      </c>
    </row>
    <row r="4" ht="110" customHeight="1">
      <c r="A4" s="3" t="inlineStr">
        <is>
          <t>12929227</t>
        </is>
      </c>
      <c r="B4" s="3" t="inlineStr">
        <is>
          <t>08-06-2026</t>
        </is>
      </c>
      <c r="C4" s="3" t="inlineStr">
        <is>
          <t>Plaza</t>
        </is>
      </c>
      <c r="D4" s="3" t="inlineStr">
        <is>
          <t>205461</t>
        </is>
      </c>
      <c r="E4" s="4" t="inlineStr">
        <is>
          <t>PHAL 3T Paars MF</t>
        </is>
      </c>
      <c r="F4" s="4" t="inlineStr">
        <is>
          <t>Geest Potplanten</t>
        </is>
      </c>
      <c r="G4" s="4" t="inlineStr">
        <is>
          <t>COLOR Fucsia · ALTURA 38 cm · MACETA 12</t>
        </is>
      </c>
      <c r="H4" s="3" t="inlineStr"/>
      <c r="I4" s="3" t="n">
        <v>5</v>
      </c>
      <c r="J4" s="3" t="inlineStr">
        <is>
          <t>5 шт.</t>
        </is>
      </c>
      <c r="K4" s="4">
        <f>IMAGE("https://cdn.verdnatura.es/image/catalog/1600x900/205461")</f>
        <v/>
      </c>
      <c r="L4" s="5" t="n"/>
      <c r="M4" s="6" t="n"/>
      <c r="N4" s="7" t="n"/>
      <c r="O4" s="8" t="n">
        <v>3.75</v>
      </c>
      <c r="P4" s="8" t="n">
        <v>18.75</v>
      </c>
    </row>
    <row r="5" ht="26" customHeight="1">
      <c r="A5" s="2" t="inlineStr">
        <is>
          <t>📦  Накладная #12930073  ·  08-06-2026  ·  Plaza  ·  4 позиций  ·  bultos: 1</t>
        </is>
      </c>
    </row>
    <row r="6" ht="110" customHeight="1">
      <c r="A6" s="3" t="inlineStr">
        <is>
          <t>12930073</t>
        </is>
      </c>
      <c r="B6" s="3" t="inlineStr">
        <is>
          <t>08-06-2026</t>
        </is>
      </c>
      <c r="C6" s="3" t="inlineStr">
        <is>
          <t>Plaza</t>
        </is>
      </c>
      <c r="D6" s="3" t="inlineStr">
        <is>
          <t>27555</t>
        </is>
      </c>
      <c r="E6" s="4" t="inlineStr">
        <is>
          <t>ASP Falcatus</t>
        </is>
      </c>
      <c r="F6" s="4" t="inlineStr"/>
      <c r="G6" s="4" t="inlineStr">
        <is>
          <t>COLOR Verde · ALTURA 40 cm</t>
        </is>
      </c>
      <c r="H6" s="3" t="inlineStr">
        <is>
          <t>Tallo</t>
        </is>
      </c>
      <c r="I6" s="3" t="n">
        <v>50</v>
      </c>
      <c r="J6" s="3" t="inlineStr">
        <is>
          <t>50 стеблей</t>
        </is>
      </c>
      <c r="K6" s="4">
        <f>IMAGE("https://cdn.verdnatura.es/image/catalog/1600x900/27555")</f>
        <v/>
      </c>
      <c r="L6" s="5" t="n"/>
      <c r="M6" s="6" t="n"/>
      <c r="N6" s="7" t="n"/>
      <c r="O6" s="8" t="n">
        <v>0.31</v>
      </c>
      <c r="P6" s="8" t="n">
        <v>15.5</v>
      </c>
    </row>
    <row r="7" ht="110" customHeight="1">
      <c r="A7" s="3" t="inlineStr">
        <is>
          <t>12930073</t>
        </is>
      </c>
      <c r="B7" s="3" t="inlineStr">
        <is>
          <t>08-06-2026</t>
        </is>
      </c>
      <c r="C7" s="3" t="inlineStr">
        <is>
          <t>Plaza</t>
        </is>
      </c>
      <c r="D7" s="3" t="inlineStr">
        <is>
          <t>151845</t>
        </is>
      </c>
      <c r="E7" s="4" t="inlineStr">
        <is>
          <t>Asp Tree Fern</t>
        </is>
      </c>
      <c r="F7" s="4" t="inlineStr">
        <is>
          <t>The Green Genie</t>
        </is>
      </c>
      <c r="G7" s="4" t="inlineStr">
        <is>
          <t>COLOR Verde · ALTURA 70 cm</t>
        </is>
      </c>
      <c r="H7" s="3" t="inlineStr">
        <is>
          <t>Paquete</t>
        </is>
      </c>
      <c r="I7" s="3" t="n">
        <v>3</v>
      </c>
      <c r="J7" s="3" t="inlineStr">
        <is>
          <t>3 пачек</t>
        </is>
      </c>
      <c r="K7" s="4">
        <f>IMAGE("https://cdn.verdnatura.es/image/catalog/1600x900/151845")</f>
        <v/>
      </c>
      <c r="L7" s="5" t="n"/>
      <c r="M7" s="6" t="n"/>
      <c r="N7" s="7" t="n"/>
      <c r="O7" s="8" t="n">
        <v>2.66</v>
      </c>
      <c r="P7" s="8" t="n">
        <v>7.98</v>
      </c>
    </row>
    <row r="8" ht="110" customHeight="1">
      <c r="A8" s="3" t="inlineStr">
        <is>
          <t>12930073</t>
        </is>
      </c>
      <c r="B8" s="3" t="inlineStr">
        <is>
          <t>08-06-2026</t>
        </is>
      </c>
      <c r="C8" s="3" t="inlineStr">
        <is>
          <t>Plaza</t>
        </is>
      </c>
      <c r="D8" s="3" t="inlineStr">
        <is>
          <t>138344</t>
        </is>
      </c>
      <c r="E8" s="4" t="inlineStr">
        <is>
          <t>Celosia C Act Mixta</t>
        </is>
      </c>
      <c r="F8" s="4" t="inlineStr"/>
      <c r="G8" s="4" t="inlineStr">
        <is>
          <t>COLOR Mixto · ALTURA 65 cm</t>
        </is>
      </c>
      <c r="H8" s="3" t="inlineStr"/>
      <c r="I8" s="3" t="n">
        <v>10</v>
      </c>
      <c r="J8" s="3" t="inlineStr">
        <is>
          <t>10 шт.</t>
        </is>
      </c>
      <c r="K8" s="4">
        <f>IMAGE("https://cdn.verdnatura.es/image/catalog/1600x900/138344")</f>
        <v/>
      </c>
      <c r="L8" s="5" t="n"/>
      <c r="M8" s="6" t="n"/>
      <c r="N8" s="7" t="n"/>
      <c r="O8" s="8" t="n">
        <v>0.83</v>
      </c>
      <c r="P8" s="8" t="n">
        <v>8.300000000000001</v>
      </c>
    </row>
    <row r="9" ht="110" customHeight="1">
      <c r="A9" s="3" t="inlineStr">
        <is>
          <t>12930073</t>
        </is>
      </c>
      <c r="B9" s="3" t="inlineStr">
        <is>
          <t>08-06-2026</t>
        </is>
      </c>
      <c r="C9" s="3" t="inlineStr">
        <is>
          <t>Plaza</t>
        </is>
      </c>
      <c r="D9" s="3" t="inlineStr">
        <is>
          <t>153783</t>
        </is>
      </c>
      <c r="E9" s="4" t="inlineStr">
        <is>
          <t>Celosia Sunday Green</t>
        </is>
      </c>
      <c r="F9" s="4" t="inlineStr"/>
      <c r="G9" s="4" t="inlineStr">
        <is>
          <t>COLOR Verde Claro · ALTURA 75 cm</t>
        </is>
      </c>
      <c r="H9" s="3" t="inlineStr"/>
      <c r="I9" s="3" t="n">
        <v>10</v>
      </c>
      <c r="J9" s="3" t="inlineStr">
        <is>
          <t>10 шт.</t>
        </is>
      </c>
      <c r="K9" s="4">
        <f>IMAGE("https://cdn.verdnatura.es/image/catalog/1600x900/153783")</f>
        <v/>
      </c>
      <c r="L9" s="5" t="n"/>
      <c r="M9" s="6" t="n"/>
      <c r="N9" s="7" t="n"/>
      <c r="O9" s="8" t="n">
        <v>1.24</v>
      </c>
      <c r="P9" s="8" t="n">
        <v>12.4</v>
      </c>
    </row>
    <row r="10" ht="26" customHeight="1">
      <c r="A10" s="2" t="inlineStr">
        <is>
          <t>📦  Накладная #12931304  ·  08-06-2026  ·  Plaza  ·  4 позиций  ·  bultos: 4</t>
        </is>
      </c>
    </row>
    <row r="11" ht="110" customHeight="1">
      <c r="A11" s="3" t="inlineStr">
        <is>
          <t>12931304</t>
        </is>
      </c>
      <c r="B11" s="3" t="inlineStr">
        <is>
          <t>08-06-2026</t>
        </is>
      </c>
      <c r="C11" s="3" t="inlineStr">
        <is>
          <t>Plaza</t>
        </is>
      </c>
      <c r="D11" s="3" t="inlineStr">
        <is>
          <t>204904</t>
        </is>
      </c>
      <c r="E11" s="4" t="inlineStr">
        <is>
          <t>Aloe Vera Cerámica</t>
        </is>
      </c>
      <c r="F11" s="4" t="inlineStr">
        <is>
          <t>Ovata BV</t>
        </is>
      </c>
      <c r="G11" s="4" t="inlineStr">
        <is>
          <t>COLOR Verde · ALTURA 25 cm · MACETA 15</t>
        </is>
      </c>
      <c r="H11" s="3" t="inlineStr"/>
      <c r="I11" s="3" t="n">
        <v>4</v>
      </c>
      <c r="J11" s="3" t="inlineStr">
        <is>
          <t>4 шт.</t>
        </is>
      </c>
      <c r="K11" s="4">
        <f>IMAGE("https://cdn.verdnatura.es/image/catalog/1600x900/204904")</f>
        <v/>
      </c>
      <c r="L11" s="5" t="n"/>
      <c r="M11" s="6" t="n"/>
      <c r="N11" s="7" t="n"/>
      <c r="O11" s="8" t="n">
        <v>5.11</v>
      </c>
      <c r="P11" s="8" t="n">
        <v>20.44</v>
      </c>
    </row>
    <row r="12" ht="110" customHeight="1">
      <c r="A12" s="3" t="inlineStr">
        <is>
          <t>12931304</t>
        </is>
      </c>
      <c r="B12" s="3" t="inlineStr">
        <is>
          <t>08-06-2026</t>
        </is>
      </c>
      <c r="C12" s="3" t="inlineStr">
        <is>
          <t>Plaza</t>
        </is>
      </c>
      <c r="D12" s="3" t="inlineStr">
        <is>
          <t>127000</t>
        </is>
      </c>
      <c r="E12" s="4" t="inlineStr">
        <is>
          <t>PHAL 2T Mini Ceramica Mix in M</t>
        </is>
      </c>
      <c r="F12" s="4" t="inlineStr">
        <is>
          <t>Riza Ter Laak Orchios</t>
        </is>
      </c>
      <c r="G12" s="4" t="inlineStr">
        <is>
          <t>COLOR Mixto · ALTURA 30 cm · MACETA 7</t>
        </is>
      </c>
      <c r="H12" s="3" t="inlineStr"/>
      <c r="I12" s="3" t="n">
        <v>11</v>
      </c>
      <c r="J12" s="3" t="inlineStr">
        <is>
          <t>11 шт.</t>
        </is>
      </c>
      <c r="K12" s="4">
        <f>IMAGE("https://cdn.verdnatura.es/image/catalog/1600x900/127000")</f>
        <v/>
      </c>
      <c r="L12" s="5" t="n"/>
      <c r="M12" s="6" t="n"/>
      <c r="N12" s="7" t="n"/>
      <c r="O12" s="8" t="n">
        <v>7.11</v>
      </c>
      <c r="P12" s="8" t="n">
        <v>78.20999999999999</v>
      </c>
    </row>
    <row r="13" ht="110" customHeight="1">
      <c r="A13" s="3" t="inlineStr">
        <is>
          <t>12931304</t>
        </is>
      </c>
      <c r="B13" s="3" t="inlineStr">
        <is>
          <t>08-06-2026</t>
        </is>
      </c>
      <c r="C13" s="3" t="inlineStr">
        <is>
          <t>Plaza</t>
        </is>
      </c>
      <c r="D13" s="3" t="inlineStr">
        <is>
          <t>205529</t>
        </is>
      </c>
      <c r="E13" s="4" t="inlineStr">
        <is>
          <t>PHAL 5T Mix</t>
        </is>
      </c>
      <c r="F13" s="4" t="inlineStr">
        <is>
          <t>Aphrodite Orchidee</t>
        </is>
      </c>
      <c r="G13" s="4" t="inlineStr">
        <is>
          <t>COLOR Mixto · ALTURA 65 cm · MACETA 12</t>
        </is>
      </c>
      <c r="H13" s="3" t="inlineStr"/>
      <c r="I13" s="3" t="n">
        <v>10</v>
      </c>
      <c r="J13" s="3" t="inlineStr">
        <is>
          <t>10 шт.</t>
        </is>
      </c>
      <c r="K13" s="4">
        <f>IMAGE("https://cdn.verdnatura.es/image/catalog/1600x900/205529")</f>
        <v/>
      </c>
      <c r="L13" s="5" t="n"/>
      <c r="M13" s="6" t="n"/>
      <c r="N13" s="7" t="n"/>
      <c r="O13" s="8" t="n">
        <v>5.91</v>
      </c>
      <c r="P13" s="8" t="n">
        <v>59.1</v>
      </c>
    </row>
    <row r="14" ht="110" customHeight="1">
      <c r="A14" s="3" t="inlineStr">
        <is>
          <t>12931304</t>
        </is>
      </c>
      <c r="B14" s="3" t="inlineStr">
        <is>
          <t>08-06-2026</t>
        </is>
      </c>
      <c r="C14" s="3" t="inlineStr">
        <is>
          <t>Plaza</t>
        </is>
      </c>
      <c r="D14" s="3" t="inlineStr">
        <is>
          <t>175250</t>
        </is>
      </c>
      <c r="E14" s="4" t="inlineStr">
        <is>
          <t>Suculentas Mix (in Brasil)</t>
        </is>
      </c>
      <c r="F14" s="4" t="inlineStr">
        <is>
          <t>Ovata BV</t>
        </is>
      </c>
      <c r="G14" s="4" t="inlineStr">
        <is>
          <t>COLOR Mixto · ALTURA 14 cm · MACETA 15</t>
        </is>
      </c>
      <c r="H14" s="3" t="inlineStr"/>
      <c r="I14" s="3" t="n">
        <v>4</v>
      </c>
      <c r="J14" s="3" t="inlineStr">
        <is>
          <t>4 шт.</t>
        </is>
      </c>
      <c r="K14" s="4">
        <f>IMAGE("https://cdn.verdnatura.es/image/catalog/1600x900/175250")</f>
        <v/>
      </c>
      <c r="L14" s="5" t="n"/>
      <c r="M14" s="6" t="n"/>
      <c r="N14" s="7" t="n"/>
      <c r="O14" s="8" t="n">
        <v>5.46</v>
      </c>
      <c r="P14" s="8" t="n">
        <v>21.84</v>
      </c>
    </row>
  </sheetData>
  <mergeCells count="3">
    <mergeCell ref="A10:P10"/>
    <mergeCell ref="A5:P5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2026-06-22T21:39:07Z</dcterms:created>
  <dcterms:modified xmlns:dcterms="http://purl.org/dc/terms/" xmlns:xsi="http://www.w3.org/2001/XMLSchema-instance" xsi:type="dcterms:W3CDTF">2026-06-22T21:39:07Z</dcterms:modified>
</cp:coreProperties>
</file>