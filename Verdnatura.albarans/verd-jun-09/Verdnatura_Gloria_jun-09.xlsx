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#12914253  ·  08-06-2026  ·  Gloria  ·  2 позиций  ·  bultos: 2</t>
        </is>
      </c>
    </row>
    <row r="3" ht="110" customHeight="1">
      <c r="A3" s="3" t="inlineStr">
        <is>
          <t>12914253</t>
        </is>
      </c>
      <c r="B3" s="3" t="inlineStr">
        <is>
          <t>08-06-2026</t>
        </is>
      </c>
      <c r="C3" s="3" t="inlineStr">
        <is>
          <t>Gloria</t>
        </is>
      </c>
      <c r="D3" s="3" t="inlineStr">
        <is>
          <t>93394</t>
        </is>
      </c>
      <c r="E3" s="4" t="inlineStr">
        <is>
          <t>Cubos Expositor Grande</t>
        </is>
      </c>
      <c r="F3" s="4" t="inlineStr"/>
      <c r="G3" s="4" t="inlineStr">
        <is>
          <t>COLOR Negro · ALTURA 41 cm</t>
        </is>
      </c>
      <c r="H3" s="3" t="inlineStr"/>
      <c r="I3" s="3" t="n">
        <v>2</v>
      </c>
      <c r="J3" s="3" t="inlineStr">
        <is>
          <t>2 шт.</t>
        </is>
      </c>
      <c r="K3" s="4">
        <f>IMAGE("https://cdn.verdnatura.es/image/catalog/1600x900/93394")</f>
        <v/>
      </c>
      <c r="L3" s="5" t="n"/>
      <c r="M3" s="6" t="n"/>
      <c r="N3" s="7" t="n"/>
      <c r="O3" s="8" t="n">
        <v>8.98</v>
      </c>
      <c r="P3" s="8" t="n">
        <v>17.96</v>
      </c>
    </row>
    <row r="4" ht="110" customHeight="1">
      <c r="A4" s="3" t="inlineStr">
        <is>
          <t>12914253</t>
        </is>
      </c>
      <c r="B4" s="3" t="inlineStr">
        <is>
          <t>08-06-2026</t>
        </is>
      </c>
      <c r="C4" s="3" t="inlineStr">
        <is>
          <t>Gloria</t>
        </is>
      </c>
      <c r="D4" s="3" t="inlineStr">
        <is>
          <t>205461</t>
        </is>
      </c>
      <c r="E4" s="4" t="inlineStr">
        <is>
          <t>PHAL 3T Paars MF</t>
        </is>
      </c>
      <c r="F4" s="4" t="inlineStr">
        <is>
          <t>Geest Potplanten</t>
        </is>
      </c>
      <c r="G4" s="4" t="inlineStr">
        <is>
          <t>COLOR Fucsia · ALTURA 38 cm · MACETA 12</t>
        </is>
      </c>
      <c r="H4" s="3" t="inlineStr"/>
      <c r="I4" s="3" t="n">
        <v>2</v>
      </c>
      <c r="J4" s="3" t="inlineStr">
        <is>
          <t>2 шт.</t>
        </is>
      </c>
      <c r="K4" s="4">
        <f>IMAGE("https://cdn.verdnatura.es/image/catalog/1600x900/205461")</f>
        <v/>
      </c>
      <c r="L4" s="5" t="n"/>
      <c r="M4" s="6" t="n"/>
      <c r="N4" s="7" t="n"/>
      <c r="O4" s="8" t="n">
        <v>3.41</v>
      </c>
      <c r="P4" s="8" t="n">
        <v>6.82</v>
      </c>
    </row>
    <row r="5" ht="26" customHeight="1">
      <c r="A5" s="2" t="inlineStr">
        <is>
          <t>📦  Накладная #12930065  ·  08-06-2026  ·  Gloria  ·  18 позиций  ·  bultos: 3</t>
        </is>
      </c>
    </row>
    <row r="6" ht="110" customHeight="1">
      <c r="A6" s="3" t="inlineStr">
        <is>
          <t>12930065</t>
        </is>
      </c>
      <c r="B6" s="3" t="inlineStr">
        <is>
          <t>08-06-2026</t>
        </is>
      </c>
      <c r="C6" s="3" t="inlineStr">
        <is>
          <t>Gloria</t>
        </is>
      </c>
      <c r="D6" s="3" t="inlineStr">
        <is>
          <t>205197</t>
        </is>
      </c>
      <c r="E6" s="4" t="inlineStr">
        <is>
          <t>Alheli Milla White</t>
        </is>
      </c>
      <c r="F6" s="4" t="inlineStr"/>
      <c r="G6" s="4" t="inlineStr">
        <is>
          <t>COLOR Blanco · ALTURA 60 cm</t>
        </is>
      </c>
      <c r="H6" s="3" t="inlineStr"/>
      <c r="I6" s="3" t="n">
        <v>20</v>
      </c>
      <c r="J6" s="3" t="inlineStr">
        <is>
          <t>20 шт.</t>
        </is>
      </c>
      <c r="K6" s="4">
        <f>IMAGE("https://cdn.verdnatura.es/image/catalog/1600x900/205197")</f>
        <v/>
      </c>
      <c r="L6" s="5" t="n"/>
      <c r="M6" s="6" t="n"/>
      <c r="N6" s="7" t="n"/>
      <c r="O6" s="8" t="n">
        <v>0.68</v>
      </c>
      <c r="P6" s="8" t="n">
        <v>13.6</v>
      </c>
    </row>
    <row r="7" ht="110" customHeight="1">
      <c r="A7" s="3" t="inlineStr">
        <is>
          <t>12930065</t>
        </is>
      </c>
      <c r="B7" s="3" t="inlineStr">
        <is>
          <t>08-06-2026</t>
        </is>
      </c>
      <c r="C7" s="3" t="inlineStr">
        <is>
          <t>Gloria</t>
        </is>
      </c>
      <c r="D7" s="3" t="inlineStr">
        <is>
          <t>41051</t>
        </is>
      </c>
      <c r="E7" s="4" t="inlineStr">
        <is>
          <t>ANT Mix x12</t>
        </is>
      </c>
      <c r="F7" s="4" t="inlineStr">
        <is>
          <t>Middendorp</t>
        </is>
      </c>
      <c r="G7" s="4" t="inlineStr">
        <is>
          <t>COLOR Mixto · ALTURA 45-55 cm · DIAMETRO 11-13 cm</t>
        </is>
      </c>
      <c r="H7" s="3" t="inlineStr"/>
      <c r="I7" s="3" t="n">
        <v>12</v>
      </c>
      <c r="J7" s="3" t="inlineStr">
        <is>
          <t>12 шт.</t>
        </is>
      </c>
      <c r="K7" s="4">
        <f>IMAGE("https://cdn.verdnatura.es/image/catalog/1600x900/41051")</f>
        <v/>
      </c>
      <c r="L7" s="5" t="n"/>
      <c r="M7" s="6" t="n"/>
      <c r="N7" s="7" t="n"/>
      <c r="O7" s="8" t="n">
        <v>1.6</v>
      </c>
      <c r="P7" s="8" t="n">
        <v>19.2</v>
      </c>
    </row>
    <row r="8" ht="110" customHeight="1">
      <c r="A8" s="3" t="inlineStr">
        <is>
          <t>12930065</t>
        </is>
      </c>
      <c r="B8" s="3" t="inlineStr">
        <is>
          <t>08-06-2026</t>
        </is>
      </c>
      <c r="C8" s="3" t="inlineStr">
        <is>
          <t>Gloria</t>
        </is>
      </c>
      <c r="D8" s="3" t="inlineStr">
        <is>
          <t>149150</t>
        </is>
      </c>
      <c r="E8" s="4" t="inlineStr">
        <is>
          <t>ANT Moments x20</t>
        </is>
      </c>
      <c r="F8" s="4" t="inlineStr"/>
      <c r="G8" s="4" t="inlineStr">
        <is>
          <t>COLOR Blanco · ALTURA 35-45 cm · DIAMETRO 8-10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IMAGE("https://cdn.verdnatura.es/image/catalog/1600x900/149150")</f>
        <v/>
      </c>
      <c r="L8" s="5" t="n"/>
      <c r="M8" s="6" t="n"/>
      <c r="N8" s="7" t="n"/>
      <c r="O8" s="8" t="n">
        <v>1.29</v>
      </c>
      <c r="P8" s="8" t="n">
        <v>25.8</v>
      </c>
    </row>
    <row r="9" ht="110" customHeight="1">
      <c r="A9" s="3" t="inlineStr">
        <is>
          <t>12930065</t>
        </is>
      </c>
      <c r="B9" s="3" t="inlineStr">
        <is>
          <t>08-06-2026</t>
        </is>
      </c>
      <c r="C9" s="3" t="inlineStr">
        <is>
          <t>Gloria</t>
        </is>
      </c>
      <c r="D9" s="3" t="inlineStr">
        <is>
          <t>204892</t>
        </is>
      </c>
      <c r="E9" s="4" t="inlineStr">
        <is>
          <t>Asclepia Incarnata Rosario</t>
        </is>
      </c>
      <c r="F9" s="4" t="inlineStr"/>
      <c r="G9" s="4" t="inlineStr">
        <is>
          <t>COLOR Rosa/Lila · ALTURA 65 cm</t>
        </is>
      </c>
      <c r="H9" s="3" t="inlineStr"/>
      <c r="I9" s="3" t="n">
        <v>20</v>
      </c>
      <c r="J9" s="3" t="inlineStr">
        <is>
          <t>20 шт.</t>
        </is>
      </c>
      <c r="K9" s="4">
        <f>IMAGE("https://cdn.verdnatura.es/image/catalog/1600x900/204892")</f>
        <v/>
      </c>
      <c r="L9" s="5" t="n"/>
      <c r="M9" s="6" t="n"/>
      <c r="N9" s="7" t="n"/>
      <c r="O9" s="8" t="n">
        <v>0.6</v>
      </c>
      <c r="P9" s="8" t="n">
        <v>12</v>
      </c>
    </row>
    <row r="10" ht="110" customHeight="1">
      <c r="A10" s="3" t="inlineStr">
        <is>
          <t>12930065</t>
        </is>
      </c>
      <c r="B10" s="3" t="inlineStr">
        <is>
          <t>08-06-2026</t>
        </is>
      </c>
      <c r="C10" s="3" t="inlineStr">
        <is>
          <t>Gloria</t>
        </is>
      </c>
      <c r="D10" s="3" t="inlineStr">
        <is>
          <t>1349</t>
        </is>
      </c>
      <c r="E10" s="4" t="inlineStr">
        <is>
          <t>Cala Capt Alma</t>
        </is>
      </c>
      <c r="F10" s="4" t="inlineStr"/>
      <c r="G10" s="4" t="inlineStr">
        <is>
          <t>COLOR Rosa Claro · ALTURA 50 cm</t>
        </is>
      </c>
      <c r="H10" s="3" t="inlineStr"/>
      <c r="I10" s="3" t="n">
        <v>20</v>
      </c>
      <c r="J10" s="3" t="inlineStr">
        <is>
          <t>20 шт.</t>
        </is>
      </c>
      <c r="K10" s="4">
        <f>IMAGE("https://cdn.verdnatura.es/image/catalog/1600x900/1349")</f>
        <v/>
      </c>
      <c r="L10" s="5" t="n"/>
      <c r="M10" s="6" t="n"/>
      <c r="N10" s="7" t="n"/>
      <c r="O10" s="8" t="n">
        <v>0.87</v>
      </c>
      <c r="P10" s="8" t="n">
        <v>17.4</v>
      </c>
    </row>
    <row r="11" ht="110" customHeight="1">
      <c r="A11" s="3" t="inlineStr">
        <is>
          <t>12930065</t>
        </is>
      </c>
      <c r="B11" s="3" t="inlineStr">
        <is>
          <t>08-06-2026</t>
        </is>
      </c>
      <c r="C11" s="3" t="inlineStr">
        <is>
          <t>Gloria</t>
        </is>
      </c>
      <c r="D11" s="3" t="inlineStr">
        <is>
          <t>8681</t>
        </is>
      </c>
      <c r="E11" s="4" t="inlineStr">
        <is>
          <t>Cala PINK Jewel</t>
        </is>
      </c>
      <c r="F11" s="4" t="inlineStr"/>
      <c r="G11" s="4" t="inlineStr">
        <is>
          <t>COLOR Fucsia · ALTURA 55 cm</t>
        </is>
      </c>
      <c r="H11" s="3" t="inlineStr"/>
      <c r="I11" s="3" t="n">
        <v>20</v>
      </c>
      <c r="J11" s="3" t="inlineStr">
        <is>
          <t>20 шт.</t>
        </is>
      </c>
      <c r="K11" s="4">
        <f>IMAGE("https://cdn.verdnatura.es/image/catalog/1600x900/8681")</f>
        <v/>
      </c>
      <c r="L11" s="5" t="n"/>
      <c r="M11" s="6" t="n"/>
      <c r="N11" s="7" t="n"/>
      <c r="O11" s="8" t="n">
        <v>0.89</v>
      </c>
      <c r="P11" s="8" t="n">
        <v>17.8</v>
      </c>
    </row>
    <row r="12" ht="110" customHeight="1">
      <c r="A12" s="3" t="inlineStr">
        <is>
          <t>12930065</t>
        </is>
      </c>
      <c r="B12" s="3" t="inlineStr">
        <is>
          <t>08-06-2026</t>
        </is>
      </c>
      <c r="C12" s="3" t="inlineStr">
        <is>
          <t>Gloria</t>
        </is>
      </c>
      <c r="D12" s="3" t="inlineStr">
        <is>
          <t>200196</t>
        </is>
      </c>
      <c r="E12" s="4" t="inlineStr">
        <is>
          <t>CR SANT Inzell</t>
        </is>
      </c>
      <c r="F12" s="4" t="inlineStr">
        <is>
          <t>Van Helvoort Company</t>
        </is>
      </c>
      <c r="G12" s="4" t="inlineStr">
        <is>
          <t>COLOR Blanco · ALTURA 55 cm · PESO/PAQUETE 1000 gr</t>
        </is>
      </c>
      <c r="H12" s="3" t="inlineStr"/>
      <c r="I12" s="3" t="n">
        <v>25</v>
      </c>
      <c r="J12" s="3" t="inlineStr">
        <is>
          <t>25 шт.</t>
        </is>
      </c>
      <c r="K12" s="4">
        <f>IMAGE("https://cdn.verdnatura.es/image/catalog/1600x900/200196")</f>
        <v/>
      </c>
      <c r="L12" s="5" t="n"/>
      <c r="M12" s="6" t="n"/>
      <c r="N12" s="7" t="n"/>
      <c r="O12" s="8" t="n">
        <v>0.41</v>
      </c>
      <c r="P12" s="8" t="n">
        <v>10.25</v>
      </c>
    </row>
    <row r="13" ht="110" customHeight="1">
      <c r="A13" s="3" t="inlineStr">
        <is>
          <t>12930065</t>
        </is>
      </c>
      <c r="B13" s="3" t="inlineStr">
        <is>
          <t>08-06-2026</t>
        </is>
      </c>
      <c r="C13" s="3" t="inlineStr">
        <is>
          <t>Gloria</t>
        </is>
      </c>
      <c r="D13" s="3" t="inlineStr">
        <is>
          <t>100681</t>
        </is>
      </c>
      <c r="E13" s="4" t="inlineStr">
        <is>
          <t>F Cera Moonlight Delight</t>
        </is>
      </c>
      <c r="F13" s="4" t="inlineStr"/>
      <c r="G13" s="4" t="inlineStr">
        <is>
          <t>COLOR Blanco · ALTURA 40 cm · PESO/TALLO 15 gr</t>
        </is>
      </c>
      <c r="H13" s="3" t="inlineStr"/>
      <c r="I13" s="3" t="n">
        <v>50</v>
      </c>
      <c r="J13" s="3" t="inlineStr">
        <is>
          <t>50 шт.</t>
        </is>
      </c>
      <c r="K13" s="4">
        <f>IMAGE("https://cdn.verdnatura.es/image/catalog/1600x900/100681")</f>
        <v/>
      </c>
      <c r="L13" s="5" t="n"/>
      <c r="M13" s="6" t="n"/>
      <c r="N13" s="7" t="n"/>
      <c r="O13" s="8" t="n">
        <v>0.41</v>
      </c>
      <c r="P13" s="8" t="n">
        <v>20.5</v>
      </c>
    </row>
    <row r="14" ht="110" customHeight="1">
      <c r="A14" s="3" t="inlineStr">
        <is>
          <t>12930065</t>
        </is>
      </c>
      <c r="B14" s="3" t="inlineStr">
        <is>
          <t>08-06-2026</t>
        </is>
      </c>
      <c r="C14" s="3" t="inlineStr">
        <is>
          <t>Gloria</t>
        </is>
      </c>
      <c r="D14" s="3" t="inlineStr">
        <is>
          <t>11930</t>
        </is>
      </c>
      <c r="E14" s="4" t="inlineStr">
        <is>
          <t>HYD Verena</t>
        </is>
      </c>
      <c r="F14" s="4" t="inlineStr"/>
      <c r="G14" s="4" t="inlineStr">
        <is>
          <t>COLOR Rosa Claro · ALTURA 60 cm · DIAMETRO 17 cm</t>
        </is>
      </c>
      <c r="H14" s="3" t="inlineStr"/>
      <c r="I14" s="3" t="n">
        <v>10</v>
      </c>
      <c r="J14" s="3" t="inlineStr">
        <is>
          <t>10 шт.</t>
        </is>
      </c>
      <c r="K14" s="4">
        <f>IMAGE("https://cdn.verdnatura.es/image/catalog/1600x900/11930")</f>
        <v/>
      </c>
      <c r="L14" s="5" t="n"/>
      <c r="M14" s="6" t="n"/>
      <c r="N14" s="7" t="n"/>
      <c r="O14" s="8" t="n">
        <v>2.2</v>
      </c>
      <c r="P14" s="8" t="n">
        <v>22</v>
      </c>
    </row>
    <row r="15" ht="110" customHeight="1">
      <c r="A15" s="3" t="inlineStr">
        <is>
          <t>12930065</t>
        </is>
      </c>
      <c r="B15" s="3" t="inlineStr">
        <is>
          <t>08-06-2026</t>
        </is>
      </c>
      <c r="C15" s="3" t="inlineStr">
        <is>
          <t>Gloria</t>
        </is>
      </c>
      <c r="D15" s="3" t="inlineStr">
        <is>
          <t>19120</t>
        </is>
      </c>
      <c r="E15" s="4" t="inlineStr">
        <is>
          <t>HYD Verena Blauw</t>
        </is>
      </c>
      <c r="F15" s="4" t="inlineStr"/>
      <c r="G15" s="4" t="inlineStr">
        <is>
          <t>COLOR Azul Claro · ALTURA 80 cm · DIÁMETRO 19 cm</t>
        </is>
      </c>
      <c r="H15" s="3" t="inlineStr"/>
      <c r="I15" s="3" t="n">
        <v>10</v>
      </c>
      <c r="J15" s="3" t="inlineStr">
        <is>
          <t>10 шт.</t>
        </is>
      </c>
      <c r="K15" s="4">
        <f>IMAGE("https://cdn.verdnatura.es/image/catalog/1600x900/19120")</f>
        <v/>
      </c>
      <c r="L15" s="5" t="n"/>
      <c r="M15" s="6" t="n"/>
      <c r="N15" s="7" t="n"/>
      <c r="O15" s="8" t="n">
        <v>3.77</v>
      </c>
      <c r="P15" s="8" t="n">
        <v>37.7</v>
      </c>
    </row>
    <row r="16" ht="110" customHeight="1">
      <c r="A16" s="3" t="inlineStr">
        <is>
          <t>12930065</t>
        </is>
      </c>
      <c r="B16" s="3" t="inlineStr">
        <is>
          <t>08-06-2026</t>
        </is>
      </c>
      <c r="C16" s="3" t="inlineStr">
        <is>
          <t>Gloria</t>
        </is>
      </c>
      <c r="D16" s="3" t="inlineStr">
        <is>
          <t>108559</t>
        </is>
      </c>
      <c r="E16" s="4" t="inlineStr">
        <is>
          <t>Lisianthus Doble Alissa Light</t>
        </is>
      </c>
      <c r="F16" s="4" t="inlineStr">
        <is>
          <t>Berglisianthus</t>
        </is>
      </c>
      <c r="G16" s="4" t="inlineStr">
        <is>
          <t>COLOR Rosa Claro · ALTURA 70 cm · Nº FLORES 5</t>
        </is>
      </c>
      <c r="H16" s="3" t="inlineStr"/>
      <c r="I16" s="3" t="n">
        <v>10</v>
      </c>
      <c r="J16" s="3" t="inlineStr">
        <is>
          <t>10 шт.</t>
        </is>
      </c>
      <c r="K16" s="4">
        <f>IMAGE("https://cdn.verdnatura.es/image/catalog/1600x900/108559")</f>
        <v/>
      </c>
      <c r="L16" s="5" t="n"/>
      <c r="M16" s="6" t="n"/>
      <c r="N16" s="7" t="n"/>
      <c r="O16" s="8" t="n">
        <v>0.96</v>
      </c>
      <c r="P16" s="8" t="n">
        <v>9.6</v>
      </c>
    </row>
    <row r="17" ht="110" customHeight="1">
      <c r="A17" s="3" t="inlineStr">
        <is>
          <t>12930065</t>
        </is>
      </c>
      <c r="B17" s="3" t="inlineStr">
        <is>
          <t>08-06-2026</t>
        </is>
      </c>
      <c r="C17" s="3" t="inlineStr">
        <is>
          <t>Gloria</t>
        </is>
      </c>
      <c r="D17" s="3" t="inlineStr">
        <is>
          <t>152750</t>
        </is>
      </c>
      <c r="E17" s="4" t="inlineStr">
        <is>
          <t>Lisianthus Doble Alissa Pure W</t>
        </is>
      </c>
      <c r="F17" s="4" t="inlineStr"/>
      <c r="G17" s="4" t="inlineStr">
        <is>
          <t>COLOR Blanco · ALTURA 70 cm · Nº FLORES 5</t>
        </is>
      </c>
      <c r="H17" s="3" t="inlineStr"/>
      <c r="I17" s="3" t="n">
        <v>10</v>
      </c>
      <c r="J17" s="3" t="inlineStr">
        <is>
          <t>10 шт.</t>
        </is>
      </c>
      <c r="K17" s="4">
        <f>IMAGE("https://cdn.verdnatura.es/image/catalog/1600x900/152750")</f>
        <v/>
      </c>
      <c r="L17" s="5" t="n"/>
      <c r="M17" s="6" t="n"/>
      <c r="N17" s="7" t="n"/>
      <c r="O17" s="8" t="n">
        <v>1.04</v>
      </c>
      <c r="P17" s="8" t="n">
        <v>10.4</v>
      </c>
    </row>
    <row r="18" ht="110" customHeight="1">
      <c r="A18" s="3" t="inlineStr">
        <is>
          <t>12930065</t>
        </is>
      </c>
      <c r="B18" s="3" t="inlineStr">
        <is>
          <t>08-06-2026</t>
        </is>
      </c>
      <c r="C18" s="3" t="inlineStr">
        <is>
          <t>Gloria</t>
        </is>
      </c>
      <c r="D18" s="3" t="inlineStr">
        <is>
          <t>163652</t>
        </is>
      </c>
      <c r="E18" s="4" t="inlineStr">
        <is>
          <t>LO Roselily Anouska 3-4</t>
        </is>
      </c>
      <c r="F18" s="4" t="inlineStr">
        <is>
          <t>Dutch Lily Masters</t>
        </is>
      </c>
      <c r="G18" s="4" t="inlineStr">
        <is>
          <t>COLOR Blanco/Rosa · ALTURA 85 cm</t>
        </is>
      </c>
      <c r="H18" s="3" t="inlineStr"/>
      <c r="I18" s="3" t="n">
        <v>10</v>
      </c>
      <c r="J18" s="3" t="inlineStr">
        <is>
          <t>10 шт.</t>
        </is>
      </c>
      <c r="K18" s="4">
        <f>IMAGE("https://cdn.verdnatura.es/image/catalog/1600x900/163652")</f>
        <v/>
      </c>
      <c r="L18" s="5" t="n"/>
      <c r="M18" s="6" t="n"/>
      <c r="N18" s="7" t="n"/>
      <c r="O18" s="8" t="n">
        <v>1.9</v>
      </c>
      <c r="P18" s="8" t="n">
        <v>19</v>
      </c>
    </row>
    <row r="19" ht="110" customHeight="1">
      <c r="A19" s="3" t="inlineStr">
        <is>
          <t>12930065</t>
        </is>
      </c>
      <c r="B19" s="3" t="inlineStr">
        <is>
          <t>08-06-2026</t>
        </is>
      </c>
      <c r="C19" s="3" t="inlineStr">
        <is>
          <t>Gloria</t>
        </is>
      </c>
      <c r="D19" s="3" t="inlineStr">
        <is>
          <t>142766</t>
        </is>
      </c>
      <c r="E19" s="4" t="inlineStr">
        <is>
          <t>LO Roselily Samantha 4-5</t>
        </is>
      </c>
      <c r="F19" s="4" t="inlineStr">
        <is>
          <t>Moerman Lilium BV</t>
        </is>
      </c>
      <c r="G19" s="4" t="inlineStr">
        <is>
          <t>COLOR Rosa · ALTURA 80 cm · TAMAÑO BOTON 6-8</t>
        </is>
      </c>
      <c r="H19" s="3" t="inlineStr"/>
      <c r="I19" s="3" t="n">
        <v>10</v>
      </c>
      <c r="J19" s="3" t="inlineStr">
        <is>
          <t>10 шт.</t>
        </is>
      </c>
      <c r="K19" s="4">
        <f>IMAGE("https://cdn.verdnatura.es/image/catalog/1600x900/142766")</f>
        <v/>
      </c>
      <c r="L19" s="5" t="n"/>
      <c r="M19" s="6" t="n"/>
      <c r="N19" s="7" t="n"/>
      <c r="O19" s="8" t="n">
        <v>2.11</v>
      </c>
      <c r="P19" s="8" t="n">
        <v>21.1</v>
      </c>
    </row>
    <row r="20" ht="110" customHeight="1">
      <c r="A20" s="3" t="inlineStr">
        <is>
          <t>12930065</t>
        </is>
      </c>
      <c r="B20" s="3" t="inlineStr">
        <is>
          <t>08-06-2026</t>
        </is>
      </c>
      <c r="C20" s="3" t="inlineStr">
        <is>
          <t>Gloria</t>
        </is>
      </c>
      <c r="D20" s="3" t="inlineStr">
        <is>
          <t>62393</t>
        </is>
      </c>
      <c r="E20" s="4" t="inlineStr">
        <is>
          <t>Peonia Angel Cheeks</t>
        </is>
      </c>
      <c r="F20" s="4" t="inlineStr">
        <is>
          <t>My-Peony</t>
        </is>
      </c>
      <c r="G20" s="4" t="inlineStr">
        <is>
          <t>COLOR Rosa Claro · ALTURA 60 cm · APERTURA 2-3</t>
        </is>
      </c>
      <c r="H20" s="3" t="inlineStr"/>
      <c r="I20" s="3" t="n">
        <v>30</v>
      </c>
      <c r="J20" s="3" t="inlineStr">
        <is>
          <t>30 шт.</t>
        </is>
      </c>
      <c r="K20" s="4">
        <f>IMAGE("https://cdn.verdnatura.es/image/catalog/1600x900/62393")</f>
        <v/>
      </c>
      <c r="L20" s="5" t="n"/>
      <c r="M20" s="6" t="n"/>
      <c r="N20" s="7" t="n"/>
      <c r="O20" s="8" t="n">
        <v>1.14</v>
      </c>
      <c r="P20" s="8" t="n">
        <v>34.2</v>
      </c>
    </row>
    <row r="21" ht="110" customHeight="1">
      <c r="A21" s="3" t="inlineStr">
        <is>
          <t>12930065</t>
        </is>
      </c>
      <c r="B21" s="3" t="inlineStr">
        <is>
          <t>08-06-2026</t>
        </is>
      </c>
      <c r="C21" s="3" t="inlineStr">
        <is>
          <t>Gloria</t>
        </is>
      </c>
      <c r="D21" s="3" t="inlineStr">
        <is>
          <t>33590</t>
        </is>
      </c>
      <c r="E21" s="4" t="inlineStr">
        <is>
          <t>Peonia Gardenia</t>
        </is>
      </c>
      <c r="F21" s="4" t="inlineStr">
        <is>
          <t>My-Peony</t>
        </is>
      </c>
      <c r="G21" s="4" t="inlineStr">
        <is>
          <t>COLOR Blanco/Rosa · ALTURA 50 cm</t>
        </is>
      </c>
      <c r="H21" s="3" t="inlineStr"/>
      <c r="I21" s="3" t="n">
        <v>100</v>
      </c>
      <c r="J21" s="3" t="inlineStr">
        <is>
          <t>100 шт.</t>
        </is>
      </c>
      <c r="K21" s="4">
        <f>IMAGE("https://cdn.verdnatura.es/image/catalog/1600x900/33590")</f>
        <v/>
      </c>
      <c r="L21" s="5" t="n"/>
      <c r="M21" s="6" t="n"/>
      <c r="N21" s="7" t="n"/>
      <c r="O21" s="8" t="n">
        <v>0.6899999999999999</v>
      </c>
      <c r="P21" s="8" t="n">
        <v>69</v>
      </c>
    </row>
    <row r="22" ht="110" customHeight="1">
      <c r="A22" s="3" t="inlineStr">
        <is>
          <t>12930065</t>
        </is>
      </c>
      <c r="B22" s="3" t="inlineStr">
        <is>
          <t>08-06-2026</t>
        </is>
      </c>
      <c r="C22" s="3" t="inlineStr">
        <is>
          <t>Gloria</t>
        </is>
      </c>
      <c r="D22" s="3" t="inlineStr">
        <is>
          <t>38839</t>
        </is>
      </c>
      <c r="E22" s="4" t="inlineStr">
        <is>
          <t>TUL Columbus Double</t>
        </is>
      </c>
      <c r="F22" s="4" t="inlineStr"/>
      <c r="G22" s="4" t="inlineStr">
        <is>
          <t>COLOR Rosa · ALTURA 40 cm · PESO/TALLO 36 gr</t>
        </is>
      </c>
      <c r="H22" s="3" t="inlineStr"/>
      <c r="I22" s="3" t="n">
        <v>50</v>
      </c>
      <c r="J22" s="3" t="inlineStr">
        <is>
          <t>50 шт.</t>
        </is>
      </c>
      <c r="K22" s="4">
        <f>IMAGE("https://cdn.verdnatura.es/image/catalog/1600x900/38839")</f>
        <v/>
      </c>
      <c r="L22" s="5" t="n"/>
      <c r="M22" s="6" t="n"/>
      <c r="N22" s="7" t="n"/>
      <c r="O22" s="8" t="n">
        <v>0.38</v>
      </c>
      <c r="P22" s="8" t="n">
        <v>19</v>
      </c>
    </row>
    <row r="23" ht="110" customHeight="1">
      <c r="A23" s="3" t="inlineStr">
        <is>
          <t>12930065</t>
        </is>
      </c>
      <c r="B23" s="3" t="inlineStr">
        <is>
          <t>08-06-2026</t>
        </is>
      </c>
      <c r="C23" s="3" t="inlineStr">
        <is>
          <t>Gloria</t>
        </is>
      </c>
      <c r="D23" s="3" t="inlineStr">
        <is>
          <t>33652</t>
        </is>
      </c>
      <c r="E23" s="4" t="inlineStr">
        <is>
          <t>TUL Ille De France</t>
        </is>
      </c>
      <c r="F23" s="4" t="inlineStr"/>
      <c r="G23" s="4" t="inlineStr">
        <is>
          <t>COLOR Rojo · ALTURA 39 cm · PESO/TALLO 38 gr</t>
        </is>
      </c>
      <c r="H23" s="3" t="inlineStr"/>
      <c r="I23" s="3" t="n">
        <v>50</v>
      </c>
      <c r="J23" s="3" t="inlineStr">
        <is>
          <t>50 шт.</t>
        </is>
      </c>
      <c r="K23" s="4">
        <f>IMAGE("https://cdn.verdnatura.es/image/catalog/1600x900/33652")</f>
        <v/>
      </c>
      <c r="L23" s="5" t="n"/>
      <c r="M23" s="6" t="n"/>
      <c r="N23" s="7" t="n"/>
      <c r="O23" s="8" t="n">
        <v>0.43</v>
      </c>
      <c r="P23" s="8" t="n">
        <v>21.5</v>
      </c>
    </row>
    <row r="24" ht="26" customHeight="1">
      <c r="A24" s="2" t="inlineStr">
        <is>
          <t>📦  Накладная #12931091  ·  08-06-2026  ·  Gloria  ·  4 позиций  ·  bultos: 1</t>
        </is>
      </c>
    </row>
    <row r="25" ht="110" customHeight="1">
      <c r="A25" s="3" t="inlineStr">
        <is>
          <t>12931091</t>
        </is>
      </c>
      <c r="B25" s="3" t="inlineStr">
        <is>
          <t>08-06-2026</t>
        </is>
      </c>
      <c r="C25" s="3" t="inlineStr">
        <is>
          <t>Gloria</t>
        </is>
      </c>
      <c r="D25" s="3" t="inlineStr">
        <is>
          <t>203938</t>
        </is>
      </c>
      <c r="E25" s="4" t="inlineStr">
        <is>
          <t>CL MIN Nobbio Palette SEL</t>
        </is>
      </c>
      <c r="F25" s="4" t="inlineStr">
        <is>
          <t>Geoflora</t>
        </is>
      </c>
      <c r="G25" s="4" t="inlineStr">
        <is>
          <t>COLOR Burgundy/Rosa · ALTURA 70 cm · Nº TALLOS 20</t>
        </is>
      </c>
      <c r="H25" s="3" t="inlineStr"/>
      <c r="I25" s="3" t="n">
        <v>40</v>
      </c>
      <c r="J25" s="3" t="inlineStr">
        <is>
          <t>40 шт.</t>
        </is>
      </c>
      <c r="K25" s="4">
        <f>IMAGE("https://cdn.verdnatura.es/image/catalog/1600x900/203938")</f>
        <v/>
      </c>
      <c r="L25" s="5" t="n"/>
      <c r="M25" s="6" t="n"/>
      <c r="N25" s="7" t="n"/>
      <c r="O25" s="8" t="n">
        <v>0.29</v>
      </c>
      <c r="P25" s="8" t="n">
        <v>11.6</v>
      </c>
    </row>
    <row r="26" ht="110" customHeight="1">
      <c r="A26" s="3" t="inlineStr">
        <is>
          <t>12931091</t>
        </is>
      </c>
      <c r="B26" s="3" t="inlineStr">
        <is>
          <t>08-06-2026</t>
        </is>
      </c>
      <c r="C26" s="3" t="inlineStr">
        <is>
          <t>Gloria</t>
        </is>
      </c>
      <c r="D26" s="3" t="inlineStr">
        <is>
          <t>13022</t>
        </is>
      </c>
      <c r="E26" s="4" t="inlineStr">
        <is>
          <t>HYD Green MI</t>
        </is>
      </c>
      <c r="F26" s="4" t="inlineStr">
        <is>
          <t>ETZ Kainos</t>
        </is>
      </c>
      <c r="G26" s="4" t="inlineStr">
        <is>
          <t>COLOR Verde Claro · ALTURA 50 cm · DIAMETRO 8 cm</t>
        </is>
      </c>
      <c r="H26" s="3" t="inlineStr"/>
      <c r="I26" s="3" t="n">
        <v>25</v>
      </c>
      <c r="J26" s="3" t="inlineStr">
        <is>
          <t>25 шт.</t>
        </is>
      </c>
      <c r="K26" s="4">
        <f>IMAGE("https://cdn.verdnatura.es/image/catalog/1600x900/13022")</f>
        <v/>
      </c>
      <c r="L26" s="5" t="n"/>
      <c r="M26" s="6" t="n"/>
      <c r="N26" s="7" t="n"/>
      <c r="O26" s="8" t="n">
        <v>0.59</v>
      </c>
      <c r="P26" s="8" t="n">
        <v>14.75</v>
      </c>
    </row>
    <row r="27" ht="110" customHeight="1">
      <c r="A27" s="3" t="inlineStr">
        <is>
          <t>12931091</t>
        </is>
      </c>
      <c r="B27" s="3" t="inlineStr">
        <is>
          <t>08-06-2026</t>
        </is>
      </c>
      <c r="C27" s="3" t="inlineStr">
        <is>
          <t>Gloria</t>
        </is>
      </c>
      <c r="D27" s="3" t="inlineStr">
        <is>
          <t>177160</t>
        </is>
      </c>
      <c r="E27" s="4" t="inlineStr">
        <is>
          <t>RS Mondial SEL</t>
        </is>
      </c>
      <c r="F27" s="4" t="inlineStr">
        <is>
          <t>Ecuador</t>
        </is>
      </c>
      <c r="G27" s="4" t="inlineStr">
        <is>
          <t>COLOR Blanco · ALTURA 60 cm · BOTÓN MINIMO 6 cm</t>
        </is>
      </c>
      <c r="H27" s="3" t="inlineStr"/>
      <c r="I27" s="3" t="n">
        <v>25</v>
      </c>
      <c r="J27" s="3" t="inlineStr">
        <is>
          <t>25 шт.</t>
        </is>
      </c>
      <c r="K27" s="4">
        <f>IMAGE("https://cdn.verdnatura.es/image/catalog/1600x900/177160")</f>
        <v/>
      </c>
      <c r="L27" s="5" t="n"/>
      <c r="M27" s="6" t="n"/>
      <c r="N27" s="7" t="n"/>
      <c r="O27" s="8" t="n">
        <v>0.67</v>
      </c>
      <c r="P27" s="8" t="n">
        <v>16.75</v>
      </c>
    </row>
    <row r="28" ht="110" customHeight="1">
      <c r="A28" s="3" t="inlineStr">
        <is>
          <t>12931091</t>
        </is>
      </c>
      <c r="B28" s="3" t="inlineStr">
        <is>
          <t>08-06-2026</t>
        </is>
      </c>
      <c r="C28" s="3" t="inlineStr">
        <is>
          <t>Gloria</t>
        </is>
      </c>
      <c r="D28" s="3" t="inlineStr">
        <is>
          <t>186072</t>
        </is>
      </c>
      <c r="E28" s="4" t="inlineStr">
        <is>
          <t>RS Red Panther SEL</t>
        </is>
      </c>
      <c r="F28" s="4" t="inlineStr">
        <is>
          <t>Ecuador</t>
        </is>
      </c>
      <c r="G28" s="4" t="inlineStr">
        <is>
          <t>COLOR Rojo/Rosa · ALTURA 60 cm · BOTÓN MINIMO 6.5 cm</t>
        </is>
      </c>
      <c r="H28" s="3" t="inlineStr"/>
      <c r="I28" s="3" t="n">
        <v>25</v>
      </c>
      <c r="J28" s="3" t="inlineStr">
        <is>
          <t>25 шт.</t>
        </is>
      </c>
      <c r="K28" s="4">
        <f>IMAGE("https://cdn.verdnatura.es/image/catalog/1600x900/186072")</f>
        <v/>
      </c>
      <c r="L28" s="5" t="n"/>
      <c r="M28" s="6" t="n"/>
      <c r="N28" s="7" t="n"/>
      <c r="O28" s="8" t="n">
        <v>0.73</v>
      </c>
      <c r="P28" s="8" t="n">
        <v>18.25</v>
      </c>
    </row>
    <row r="29" ht="26" customHeight="1">
      <c r="A29" s="2" t="inlineStr">
        <is>
          <t>📦  Накладная #12931298  ·  08-06-2026  ·  Gloria  ·  2 позиций  ·  bultos: 3</t>
        </is>
      </c>
    </row>
    <row r="30" ht="110" customHeight="1">
      <c r="A30" s="3" t="inlineStr">
        <is>
          <t>12931298</t>
        </is>
      </c>
      <c r="B30" s="3" t="inlineStr">
        <is>
          <t>08-06-2026</t>
        </is>
      </c>
      <c r="C30" s="3" t="inlineStr">
        <is>
          <t>Gloria</t>
        </is>
      </c>
      <c r="D30" s="3" t="inlineStr">
        <is>
          <t>129134</t>
        </is>
      </c>
      <c r="E30" s="4" t="inlineStr">
        <is>
          <t>Aeonium arboreum Velours</t>
        </is>
      </c>
      <c r="F30" s="4" t="inlineStr">
        <is>
          <t>Kwekerij Bevermeer</t>
        </is>
      </c>
      <c r="G30" s="4" t="inlineStr">
        <is>
          <t>COLOR Verde/Negro · ALTURA 25 cm · MACETA 15</t>
        </is>
      </c>
      <c r="H30" s="3" t="inlineStr"/>
      <c r="I30" s="3" t="n">
        <v>8</v>
      </c>
      <c r="J30" s="3" t="inlineStr">
        <is>
          <t>8 шт.</t>
        </is>
      </c>
      <c r="K30" s="4">
        <f>IMAGE("https://cdn.verdnatura.es/image/catalog/1600x900/129134")</f>
        <v/>
      </c>
      <c r="L30" s="5" t="n"/>
      <c r="M30" s="6" t="n"/>
      <c r="N30" s="7" t="n"/>
      <c r="O30" s="8" t="n">
        <v>2.21</v>
      </c>
      <c r="P30" s="8" t="n">
        <v>17.68</v>
      </c>
    </row>
    <row r="31" ht="110" customHeight="1">
      <c r="A31" s="3" t="inlineStr">
        <is>
          <t>12931298</t>
        </is>
      </c>
      <c r="B31" s="3" t="inlineStr">
        <is>
          <t>08-06-2026</t>
        </is>
      </c>
      <c r="C31" s="3" t="inlineStr">
        <is>
          <t>Gloria</t>
        </is>
      </c>
      <c r="D31" s="3" t="inlineStr">
        <is>
          <t>136385</t>
        </is>
      </c>
      <c r="E31" s="4" t="inlineStr">
        <is>
          <t>PHAL 5T Anthura Inverness</t>
        </is>
      </c>
      <c r="F31" s="4" t="inlineStr">
        <is>
          <t>VW Orchids BV</t>
        </is>
      </c>
      <c r="G31" s="4" t="inlineStr">
        <is>
          <t>COLOR Blanco · ALTURA 50 cm · MACETA 12</t>
        </is>
      </c>
      <c r="H31" s="3" t="inlineStr"/>
      <c r="I31" s="3" t="n">
        <v>6</v>
      </c>
      <c r="J31" s="3" t="inlineStr">
        <is>
          <t>6 шт.</t>
        </is>
      </c>
      <c r="K31" s="4">
        <f>IMAGE("https://cdn.verdnatura.es/image/catalog/1600x900/136385")</f>
        <v/>
      </c>
      <c r="L31" s="5" t="n"/>
      <c r="M31" s="6" t="n"/>
      <c r="N31" s="7" t="n"/>
      <c r="O31" s="8" t="n">
        <v>6.55</v>
      </c>
      <c r="P31" s="8" t="n">
        <v>39.3</v>
      </c>
    </row>
  </sheetData>
  <mergeCells count="4">
    <mergeCell ref="A29:P29"/>
    <mergeCell ref="A5:P5"/>
    <mergeCell ref="A24:P2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2026-06-22T21:39:07Z</dcterms:created>
  <dcterms:modified xmlns:dcterms="http://purl.org/dc/terms/" xmlns:xsi="http://www.w3.org/2001/XMLSchema-instance" xsi:type="dcterms:W3CDTF">2026-06-22T21:39:07Z</dcterms:modified>
</cp:coreProperties>
</file>