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#12699725  ·  27-04-2026  ·  Blau  ·  35 позиций  ·  bultos: 6</t>
        </is>
      </c>
    </row>
    <row r="3" ht="110" customHeight="1">
      <c r="A3" s="3" t="inlineStr">
        <is>
          <t>12699725</t>
        </is>
      </c>
      <c r="B3" s="3" t="inlineStr">
        <is>
          <t>27-04-2026</t>
        </is>
      </c>
      <c r="C3" s="3" t="inlineStr">
        <is>
          <t>Blau</t>
        </is>
      </c>
      <c r="D3" s="3" t="inlineStr">
        <is>
          <t>179204</t>
        </is>
      </c>
      <c r="E3" s="4" t="inlineStr">
        <is>
          <t>+ Peonia Odile</t>
        </is>
      </c>
      <c r="F3" s="4" t="inlineStr">
        <is>
          <t>My-Peony</t>
        </is>
      </c>
      <c r="G3" s="4" t="inlineStr">
        <is>
          <t>COLOR Crema · ALTURA 50 cm · APERTURA 2-3</t>
        </is>
      </c>
      <c r="H3" s="3" t="inlineStr"/>
      <c r="I3" s="3" t="n">
        <v>60</v>
      </c>
      <c r="J3" s="3" t="inlineStr">
        <is>
          <t>60 шт.</t>
        </is>
      </c>
      <c r="K3" s="4">
        <f>IMAGE("https://cdn.verdnatura.es/image/catalog/1600x900/179204")</f>
        <v/>
      </c>
      <c r="L3" s="5" t="n"/>
      <c r="M3" s="6" t="n"/>
      <c r="N3" s="7" t="n"/>
      <c r="O3" s="8" t="n">
        <v>1.56</v>
      </c>
      <c r="P3" s="8" t="n">
        <v>93.59999999999999</v>
      </c>
    </row>
    <row r="4" ht="110" customHeight="1">
      <c r="A4" s="3" t="inlineStr">
        <is>
          <t>12699725</t>
        </is>
      </c>
      <c r="B4" s="3" t="inlineStr">
        <is>
          <t>27-04-2026</t>
        </is>
      </c>
      <c r="C4" s="3" t="inlineStr">
        <is>
          <t>Blau</t>
        </is>
      </c>
      <c r="D4" s="3" t="inlineStr">
        <is>
          <t>149147</t>
        </is>
      </c>
      <c r="E4" s="4" t="inlineStr">
        <is>
          <t>ANT Royal x20</t>
        </is>
      </c>
      <c r="F4" s="4" t="inlineStr"/>
      <c r="G4" s="4" t="inlineStr">
        <is>
          <t>COLOR Rosa Claro · ALTURA 35-45 cm · DIAMETRO 8-10 cm</t>
        </is>
      </c>
      <c r="H4" s="3" t="inlineStr"/>
      <c r="I4" s="3" t="n">
        <v>20</v>
      </c>
      <c r="J4" s="3" t="inlineStr">
        <is>
          <t>20 шт.</t>
        </is>
      </c>
      <c r="K4" s="4">
        <f>IMAGE("https://cdn.verdnatura.es/image/catalog/1600x900/149147")</f>
        <v/>
      </c>
      <c r="L4" s="5" t="n"/>
      <c r="M4" s="6" t="n"/>
      <c r="N4" s="7" t="n"/>
      <c r="O4" s="8" t="n">
        <v>1.25</v>
      </c>
      <c r="P4" s="8" t="n">
        <v>25</v>
      </c>
    </row>
    <row r="5" ht="110" customHeight="1">
      <c r="A5" s="3" t="inlineStr">
        <is>
          <t>12699725</t>
        </is>
      </c>
      <c r="B5" s="3" t="inlineStr">
        <is>
          <t>27-04-2026</t>
        </is>
      </c>
      <c r="C5" s="3" t="inlineStr">
        <is>
          <t>Blau</t>
        </is>
      </c>
      <c r="D5" s="3" t="inlineStr">
        <is>
          <t>25514</t>
        </is>
      </c>
      <c r="E5" s="4" t="inlineStr">
        <is>
          <t>Antirrinum Fucsia</t>
        </is>
      </c>
      <c r="F5" s="4" t="inlineStr"/>
      <c r="G5" s="4" t="inlineStr">
        <is>
          <t>COLOR Fucsia · ALTURA 70 cm</t>
        </is>
      </c>
      <c r="H5" s="3" t="inlineStr"/>
      <c r="I5" s="3" t="n">
        <v>30</v>
      </c>
      <c r="J5" s="3" t="inlineStr">
        <is>
          <t>30 шт.</t>
        </is>
      </c>
      <c r="K5" s="4">
        <f>IMAGE("https://cdn.verdnatura.es/image/catalog/1600x900/25514")</f>
        <v/>
      </c>
      <c r="L5" s="5" t="n"/>
      <c r="M5" s="6" t="n"/>
      <c r="N5" s="7" t="n"/>
      <c r="O5" s="8" t="n">
        <v>0.22</v>
      </c>
      <c r="P5" s="8" t="n">
        <v>6.6</v>
      </c>
    </row>
    <row r="6" ht="110" customHeight="1">
      <c r="A6" s="3" t="inlineStr">
        <is>
          <t>12699725</t>
        </is>
      </c>
      <c r="B6" s="3" t="inlineStr">
        <is>
          <t>27-04-2026</t>
        </is>
      </c>
      <c r="C6" s="3" t="inlineStr">
        <is>
          <t>Blau</t>
        </is>
      </c>
      <c r="D6" s="3" t="inlineStr">
        <is>
          <t>9752</t>
        </is>
      </c>
      <c r="E6" s="4" t="inlineStr">
        <is>
          <t>Antirrinum Naranja</t>
        </is>
      </c>
      <c r="F6" s="4" t="inlineStr"/>
      <c r="G6" s="4" t="inlineStr">
        <is>
          <t>COLOR Naranja · ALTURA 75 cm</t>
        </is>
      </c>
      <c r="H6" s="3" t="inlineStr"/>
      <c r="I6" s="3" t="n">
        <v>30</v>
      </c>
      <c r="J6" s="3" t="inlineStr">
        <is>
          <t>30 шт.</t>
        </is>
      </c>
      <c r="K6" s="4">
        <f>IMAGE("https://cdn.verdnatura.es/image/catalog/1600x900/9752")</f>
        <v/>
      </c>
      <c r="L6" s="5" t="n"/>
      <c r="M6" s="6" t="n"/>
      <c r="N6" s="7" t="n"/>
      <c r="O6" s="8" t="n">
        <v>0.24</v>
      </c>
      <c r="P6" s="8" t="n">
        <v>7.2</v>
      </c>
    </row>
    <row r="7" ht="110" customHeight="1">
      <c r="A7" s="3" t="inlineStr">
        <is>
          <t>12699725</t>
        </is>
      </c>
      <c r="B7" s="3" t="inlineStr">
        <is>
          <t>27-04-2026</t>
        </is>
      </c>
      <c r="C7" s="3" t="inlineStr">
        <is>
          <t>Blau</t>
        </is>
      </c>
      <c r="D7" s="3" t="inlineStr">
        <is>
          <t>36202</t>
        </is>
      </c>
      <c r="E7" s="4" t="inlineStr">
        <is>
          <t>Antirrinum Rosa</t>
        </is>
      </c>
      <c r="F7" s="4" t="inlineStr"/>
      <c r="G7" s="4" t="inlineStr">
        <is>
          <t>COLOR Rosa · ALTURA 70 cm</t>
        </is>
      </c>
      <c r="H7" s="3" t="inlineStr"/>
      <c r="I7" s="3" t="n">
        <v>30</v>
      </c>
      <c r="J7" s="3" t="inlineStr">
        <is>
          <t>30 шт.</t>
        </is>
      </c>
      <c r="K7" s="4">
        <f>IMAGE("https://cdn.verdnatura.es/image/catalog/1600x900/36202")</f>
        <v/>
      </c>
      <c r="L7" s="5" t="n"/>
      <c r="M7" s="6" t="n"/>
      <c r="N7" s="7" t="n"/>
      <c r="O7" s="8" t="n">
        <v>0.22</v>
      </c>
      <c r="P7" s="8" t="n">
        <v>6.6</v>
      </c>
    </row>
    <row r="8" ht="110" customHeight="1">
      <c r="A8" s="3" t="inlineStr">
        <is>
          <t>12699725</t>
        </is>
      </c>
      <c r="B8" s="3" t="inlineStr">
        <is>
          <t>27-04-2026</t>
        </is>
      </c>
      <c r="C8" s="3" t="inlineStr">
        <is>
          <t>Blau</t>
        </is>
      </c>
      <c r="D8" s="3" t="inlineStr">
        <is>
          <t>135898</t>
        </is>
      </c>
      <c r="E8" s="4" t="inlineStr">
        <is>
          <t>Asclepia Serenade</t>
        </is>
      </c>
      <c r="F8" s="4" t="inlineStr"/>
      <c r="G8" s="4" t="inlineStr">
        <is>
          <t>COLOR Naranja · ALTURA 60 cm</t>
        </is>
      </c>
      <c r="H8" s="3" t="inlineStr"/>
      <c r="I8" s="3" t="n">
        <v>50</v>
      </c>
      <c r="J8" s="3" t="inlineStr">
        <is>
          <t>50 шт.</t>
        </is>
      </c>
      <c r="K8" s="4">
        <f>IMAGE("https://cdn.verdnatura.es/image/catalog/1600x900/135898")</f>
        <v/>
      </c>
      <c r="L8" s="5" t="n"/>
      <c r="M8" s="6" t="n"/>
      <c r="N8" s="7" t="n"/>
      <c r="O8" s="8" t="n">
        <v>0.31</v>
      </c>
      <c r="P8" s="8" t="n">
        <v>15.5</v>
      </c>
    </row>
    <row r="9" ht="110" customHeight="1">
      <c r="A9" s="3" t="inlineStr">
        <is>
          <t>12699725</t>
        </is>
      </c>
      <c r="B9" s="3" t="inlineStr">
        <is>
          <t>27-04-2026</t>
        </is>
      </c>
      <c r="C9" s="3" t="inlineStr">
        <is>
          <t>Blau</t>
        </is>
      </c>
      <c r="D9" s="3" t="inlineStr">
        <is>
          <t>187413</t>
        </is>
      </c>
      <c r="E9" s="4" t="inlineStr">
        <is>
          <t>Bupleurum Rotundifolia</t>
        </is>
      </c>
      <c r="F9" s="4" t="inlineStr">
        <is>
          <t>Maaskant Flower</t>
        </is>
      </c>
      <c r="G9" s="4" t="inlineStr">
        <is>
          <t>COLOR Verde · ALTURA 50 cm</t>
        </is>
      </c>
      <c r="H9" s="3" t="inlineStr">
        <is>
          <t>Tallo</t>
        </is>
      </c>
      <c r="I9" s="3" t="n">
        <v>80</v>
      </c>
      <c r="J9" s="3" t="inlineStr">
        <is>
          <t>80 стеблей</t>
        </is>
      </c>
      <c r="K9" s="4">
        <f>IMAGE("https://cdn.verdnatura.es/image/catalog/1600x900/187413")</f>
        <v/>
      </c>
      <c r="L9" s="5" t="n"/>
      <c r="M9" s="6" t="n"/>
      <c r="N9" s="7" t="n"/>
      <c r="O9" s="8" t="n">
        <v>0.2</v>
      </c>
      <c r="P9" s="8" t="n">
        <v>16</v>
      </c>
    </row>
    <row r="10" ht="110" customHeight="1">
      <c r="A10" s="3" t="inlineStr">
        <is>
          <t>12699725</t>
        </is>
      </c>
      <c r="B10" s="3" t="inlineStr">
        <is>
          <t>27-04-2026</t>
        </is>
      </c>
      <c r="C10" s="3" t="inlineStr">
        <is>
          <t>Blau</t>
        </is>
      </c>
      <c r="D10" s="3" t="inlineStr">
        <is>
          <t>12581</t>
        </is>
      </c>
      <c r="E10" s="4" t="inlineStr">
        <is>
          <t>CR Korona 70 gr</t>
        </is>
      </c>
      <c r="F10" s="4" t="inlineStr">
        <is>
          <t>Zentoo</t>
        </is>
      </c>
      <c r="G10" s="4" t="inlineStr">
        <is>
          <t>COLOR Amarillo · ALTURA 70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IMAGE("https://cdn.verdnatura.es/image/catalog/1600x900/12581")</f>
        <v/>
      </c>
      <c r="L10" s="5" t="n"/>
      <c r="M10" s="6" t="n"/>
      <c r="N10" s="7" t="n"/>
      <c r="O10" s="8" t="n">
        <v>0.54</v>
      </c>
      <c r="P10" s="8" t="n">
        <v>10.8</v>
      </c>
    </row>
    <row r="11" ht="110" customHeight="1">
      <c r="A11" s="3" t="inlineStr">
        <is>
          <t>12699725</t>
        </is>
      </c>
      <c r="B11" s="3" t="inlineStr">
        <is>
          <t>27-04-2026</t>
        </is>
      </c>
      <c r="C11" s="3" t="inlineStr">
        <is>
          <t>Blau</t>
        </is>
      </c>
      <c r="D11" s="3" t="inlineStr">
        <is>
          <t>188861</t>
        </is>
      </c>
      <c r="E11" s="4" t="inlineStr">
        <is>
          <t>CRU Antonov Casis Teñido</t>
        </is>
      </c>
      <c r="F11" s="4" t="inlineStr">
        <is>
          <t>Jimmy Colors BV</t>
        </is>
      </c>
      <c r="G11" s="4" t="inlineStr">
        <is>
          <t>COLOR Cereza · ALTURA 70 cm · PESO/TALLO 100 gr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IMAGE("https://cdn.verdnatura.es/image/catalog/1600x900/188861")</f>
        <v/>
      </c>
      <c r="L11" s="5" t="n"/>
      <c r="M11" s="6" t="n"/>
      <c r="N11" s="7" t="n"/>
      <c r="O11" s="8" t="n">
        <v>1.1</v>
      </c>
      <c r="P11" s="8" t="n">
        <v>22</v>
      </c>
    </row>
    <row r="12" ht="110" customHeight="1">
      <c r="A12" s="3" t="inlineStr">
        <is>
          <t>12699725</t>
        </is>
      </c>
      <c r="B12" s="3" t="inlineStr">
        <is>
          <t>27-04-2026</t>
        </is>
      </c>
      <c r="C12" s="3" t="inlineStr">
        <is>
          <t>Blau</t>
        </is>
      </c>
      <c r="D12" s="3" t="inlineStr">
        <is>
          <t>60526</t>
        </is>
      </c>
      <c r="E12" s="4" t="inlineStr">
        <is>
          <t>DELPH Ballkleid</t>
        </is>
      </c>
      <c r="F12" s="4" t="inlineStr"/>
      <c r="G12" s="4" t="inlineStr">
        <is>
          <t>COLOR Azul Claro · ALTURA 60 cm</t>
        </is>
      </c>
      <c r="H12" s="3" t="inlineStr"/>
      <c r="I12" s="3" t="n">
        <v>50</v>
      </c>
      <c r="J12" s="3" t="inlineStr">
        <is>
          <t>50 шт.</t>
        </is>
      </c>
      <c r="K12" s="4">
        <f>IMAGE("https://cdn.verdnatura.es/image/catalog/1600x900/60526")</f>
        <v/>
      </c>
      <c r="L12" s="5" t="n"/>
      <c r="M12" s="6" t="n"/>
      <c r="N12" s="7" t="n"/>
      <c r="O12" s="8" t="n">
        <v>0.43</v>
      </c>
      <c r="P12" s="8" t="n">
        <v>21.5</v>
      </c>
    </row>
    <row r="13" ht="110" customHeight="1">
      <c r="A13" s="3" t="inlineStr">
        <is>
          <t>12699725</t>
        </is>
      </c>
      <c r="B13" s="3" t="inlineStr">
        <is>
          <t>27-04-2026</t>
        </is>
      </c>
      <c r="C13" s="3" t="inlineStr">
        <is>
          <t>Blau</t>
        </is>
      </c>
      <c r="D13" s="3" t="inlineStr">
        <is>
          <t>114770</t>
        </is>
      </c>
      <c r="E13" s="4" t="inlineStr">
        <is>
          <t>EUC Cinerea 300 gr</t>
        </is>
      </c>
      <c r="F13" s="4" t="inlineStr"/>
      <c r="G13" s="4" t="inlineStr">
        <is>
          <t>COLOR Lividum · ALTURA 70 cm</t>
        </is>
      </c>
      <c r="H13" s="3" t="inlineStr">
        <is>
          <t>Paquete</t>
        </is>
      </c>
      <c r="I13" s="3" t="n">
        <v>10</v>
      </c>
      <c r="J13" s="3" t="inlineStr">
        <is>
          <t>10 пачек</t>
        </is>
      </c>
      <c r="K13" s="4">
        <f>IMAGE("https://cdn.verdnatura.es/image/catalog/1600x900/114770")</f>
        <v/>
      </c>
      <c r="L13" s="5" t="n"/>
      <c r="M13" s="6" t="n"/>
      <c r="N13" s="7" t="n"/>
      <c r="O13" s="8" t="n">
        <v>3.51</v>
      </c>
      <c r="P13" s="8" t="n">
        <v>35.1</v>
      </c>
    </row>
    <row r="14" ht="110" customHeight="1">
      <c r="A14" s="3" t="inlineStr">
        <is>
          <t>12699725</t>
        </is>
      </c>
      <c r="B14" s="3" t="inlineStr">
        <is>
          <t>27-04-2026</t>
        </is>
      </c>
      <c r="C14" s="3" t="inlineStr">
        <is>
          <t>Blau</t>
        </is>
      </c>
      <c r="D14" s="3" t="inlineStr">
        <is>
          <t>110792</t>
        </is>
      </c>
      <c r="E14" s="4" t="inlineStr">
        <is>
          <t>EUC Parvifolia 300 gr</t>
        </is>
      </c>
      <c r="F14" s="4" t="inlineStr"/>
      <c r="G14" s="4" t="inlineStr">
        <is>
          <t>COLOR Verde · ALTURA 70 cm</t>
        </is>
      </c>
      <c r="H14" s="3" t="inlineStr">
        <is>
          <t>Paquete</t>
        </is>
      </c>
      <c r="I14" s="3" t="n">
        <v>5</v>
      </c>
      <c r="J14" s="3" t="inlineStr">
        <is>
          <t>5 пачек</t>
        </is>
      </c>
      <c r="K14" s="4">
        <f>IMAGE("https://cdn.verdnatura.es/image/catalog/1600x900/110792")</f>
        <v/>
      </c>
      <c r="L14" s="5" t="n"/>
      <c r="M14" s="6" t="n"/>
      <c r="N14" s="7" t="n"/>
      <c r="O14" s="8" t="n">
        <v>2.86</v>
      </c>
      <c r="P14" s="8" t="n">
        <v>14.3</v>
      </c>
    </row>
    <row r="15" ht="110" customHeight="1">
      <c r="A15" s="3" t="inlineStr">
        <is>
          <t>12699725</t>
        </is>
      </c>
      <c r="B15" s="3" t="inlineStr">
        <is>
          <t>27-04-2026</t>
        </is>
      </c>
      <c r="C15" s="3" t="inlineStr">
        <is>
          <t>Blau</t>
        </is>
      </c>
      <c r="D15" s="3" t="inlineStr">
        <is>
          <t>188268</t>
        </is>
      </c>
      <c r="E15" s="4" t="inlineStr">
        <is>
          <t>EUC POP Pintado Fucsia 350 gr</t>
        </is>
      </c>
      <c r="F15" s="4" t="inlineStr">
        <is>
          <t>Triana</t>
        </is>
      </c>
      <c r="G15" s="4" t="inlineStr">
        <is>
          <t>ALTURA 65 cm · COLOR Fucsia</t>
        </is>
      </c>
      <c r="H15" s="3" t="inlineStr">
        <is>
          <t>Paquete</t>
        </is>
      </c>
      <c r="I15" s="3" t="n">
        <v>5</v>
      </c>
      <c r="J15" s="3" t="inlineStr">
        <is>
          <t>5 пачек</t>
        </is>
      </c>
      <c r="K15" s="4">
        <f>IMAGE("https://cdn.verdnatura.es/image/catalog/1600x900/188268")</f>
        <v/>
      </c>
      <c r="L15" s="5" t="n"/>
      <c r="M15" s="6" t="n"/>
      <c r="N15" s="7" t="n"/>
      <c r="O15" s="8" t="n">
        <v>4.56</v>
      </c>
      <c r="P15" s="8" t="n">
        <v>22.8</v>
      </c>
    </row>
    <row r="16" ht="110" customHeight="1">
      <c r="A16" s="3" t="inlineStr">
        <is>
          <t>12699725</t>
        </is>
      </c>
      <c r="B16" s="3" t="inlineStr">
        <is>
          <t>27-04-2026</t>
        </is>
      </c>
      <c r="C16" s="3" t="inlineStr">
        <is>
          <t>Blau</t>
        </is>
      </c>
      <c r="D16" s="3" t="inlineStr">
        <is>
          <t>131802</t>
        </is>
      </c>
      <c r="E16" s="4" t="inlineStr">
        <is>
          <t>F Arroz Rosa</t>
        </is>
      </c>
      <c r="F16" s="4" t="inlineStr">
        <is>
          <t>SANREMO GREEN HOUSE</t>
        </is>
      </c>
      <c r="G16" s="4" t="inlineStr">
        <is>
          <t>COLOR Rosa Claro · ALTURA 65 cm</t>
        </is>
      </c>
      <c r="H16" s="3" t="inlineStr"/>
      <c r="I16" s="3" t="n">
        <v>5</v>
      </c>
      <c r="J16" s="3" t="inlineStr">
        <is>
          <t>5 шт.</t>
        </is>
      </c>
      <c r="K16" s="4">
        <f>IMAGE("https://cdn.verdnatura.es/image/catalog/1600x900/131802")</f>
        <v/>
      </c>
      <c r="L16" s="5" t="n"/>
      <c r="M16" s="6" t="n"/>
      <c r="N16" s="7" t="n"/>
      <c r="O16" s="8" t="n">
        <v>3.19</v>
      </c>
      <c r="P16" s="8" t="n">
        <v>15.95</v>
      </c>
    </row>
    <row r="17" ht="110" customHeight="1">
      <c r="A17" s="3" t="inlineStr">
        <is>
          <t>12699725</t>
        </is>
      </c>
      <c r="B17" s="3" t="inlineStr">
        <is>
          <t>27-04-2026</t>
        </is>
      </c>
      <c r="C17" s="3" t="inlineStr">
        <is>
          <t>Blau</t>
        </is>
      </c>
      <c r="D17" s="3" t="inlineStr">
        <is>
          <t>150597</t>
        </is>
      </c>
      <c r="E17" s="4" t="inlineStr">
        <is>
          <t>GE MI Dixon (Box)</t>
        </is>
      </c>
      <c r="F17" s="4" t="inlineStr">
        <is>
          <t>Gerbera United</t>
        </is>
      </c>
      <c r="G17" s="4" t="inlineStr">
        <is>
          <t>COLOR Rosa Claro · ALTURA 45 cm · DIAMETRO 7 cm</t>
        </is>
      </c>
      <c r="H17" s="3" t="inlineStr"/>
      <c r="I17" s="3" t="n">
        <v>60</v>
      </c>
      <c r="J17" s="3" t="inlineStr">
        <is>
          <t>60 шт.</t>
        </is>
      </c>
      <c r="K17" s="4">
        <f>IMAGE("https://cdn.verdnatura.es/image/catalog/1600x900/150597")</f>
        <v/>
      </c>
      <c r="L17" s="5" t="n"/>
      <c r="M17" s="6" t="n"/>
      <c r="N17" s="7" t="n"/>
      <c r="O17" s="8" t="n">
        <v>0.25</v>
      </c>
      <c r="P17" s="8" t="n">
        <v>15</v>
      </c>
    </row>
    <row r="18" ht="110" customHeight="1">
      <c r="A18" s="3" t="inlineStr">
        <is>
          <t>12699725</t>
        </is>
      </c>
      <c r="B18" s="3" t="inlineStr">
        <is>
          <t>27-04-2026</t>
        </is>
      </c>
      <c r="C18" s="3" t="inlineStr">
        <is>
          <t>Blau</t>
        </is>
      </c>
      <c r="D18" s="3" t="inlineStr">
        <is>
          <t>188879</t>
        </is>
      </c>
      <c r="E18" s="4" t="inlineStr">
        <is>
          <t>GE MI Jedi (Box)</t>
        </is>
      </c>
      <c r="F18" s="4" t="inlineStr">
        <is>
          <t>Gerbera United</t>
        </is>
      </c>
      <c r="G18" s="4" t="inlineStr">
        <is>
          <t>COLOR Rosa Claro · ALTURA 45 cm · DIAMETRO 7 cm</t>
        </is>
      </c>
      <c r="H18" s="3" t="inlineStr"/>
      <c r="I18" s="3" t="n">
        <v>60</v>
      </c>
      <c r="J18" s="3" t="inlineStr">
        <is>
          <t>60 шт.</t>
        </is>
      </c>
      <c r="K18" s="4">
        <f>IMAGE("https://cdn.verdnatura.es/image/catalog/1600x900/188879")</f>
        <v/>
      </c>
      <c r="L18" s="5" t="n"/>
      <c r="M18" s="6" t="n"/>
      <c r="N18" s="7" t="n"/>
      <c r="O18" s="8" t="n">
        <v>0.26</v>
      </c>
      <c r="P18" s="8" t="n">
        <v>15.6</v>
      </c>
    </row>
    <row r="19" ht="110" customHeight="1">
      <c r="A19" s="3" t="inlineStr">
        <is>
          <t>12699725</t>
        </is>
      </c>
      <c r="B19" s="3" t="inlineStr">
        <is>
          <t>27-04-2026</t>
        </is>
      </c>
      <c r="C19" s="3" t="inlineStr">
        <is>
          <t>Blau</t>
        </is>
      </c>
      <c r="D19" s="3" t="inlineStr">
        <is>
          <t>182890</t>
        </is>
      </c>
      <c r="E19" s="4" t="inlineStr">
        <is>
          <t>HYD Dream Pink</t>
        </is>
      </c>
      <c r="F19" s="4" t="inlineStr"/>
      <c r="G19" s="4" t="inlineStr">
        <is>
          <t>COLOR Rosa · ALTURA 45 cm · DIAMETRO 16 cm</t>
        </is>
      </c>
      <c r="H19" s="3" t="inlineStr"/>
      <c r="I19" s="3" t="n">
        <v>20</v>
      </c>
      <c r="J19" s="3" t="inlineStr">
        <is>
          <t>20 шт.</t>
        </is>
      </c>
      <c r="K19" s="4">
        <f>IMAGE("https://cdn.verdnatura.es/image/catalog/1600x900/182890")</f>
        <v/>
      </c>
      <c r="L19" s="5" t="n"/>
      <c r="M19" s="6" t="n"/>
      <c r="N19" s="7" t="n"/>
      <c r="O19" s="8" t="n">
        <v>2.16</v>
      </c>
      <c r="P19" s="8" t="n">
        <v>43.2</v>
      </c>
    </row>
    <row r="20" ht="110" customHeight="1">
      <c r="A20" s="3" t="inlineStr">
        <is>
          <t>12699725</t>
        </is>
      </c>
      <c r="B20" s="3" t="inlineStr">
        <is>
          <t>27-04-2026</t>
        </is>
      </c>
      <c r="C20" s="3" t="inlineStr">
        <is>
          <t>Blau</t>
        </is>
      </c>
      <c r="D20" s="3" t="inlineStr">
        <is>
          <t>182919</t>
        </is>
      </c>
      <c r="E20" s="4" t="inlineStr">
        <is>
          <t>HYD Elisa</t>
        </is>
      </c>
      <c r="F20" s="4" t="inlineStr"/>
      <c r="G20" s="4" t="inlineStr">
        <is>
          <t>COLOR Rosa · ALTURA 45 cm · DIAMETRO 16 cm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IMAGE("https://cdn.verdnatura.es/image/catalog/1600x900/182919")</f>
        <v/>
      </c>
      <c r="L20" s="5" t="n"/>
      <c r="M20" s="6" t="n"/>
      <c r="N20" s="7" t="n"/>
      <c r="O20" s="8" t="n">
        <v>2.16</v>
      </c>
      <c r="P20" s="8" t="n">
        <v>21.6</v>
      </c>
    </row>
    <row r="21" ht="110" customHeight="1">
      <c r="A21" s="3" t="inlineStr">
        <is>
          <t>12699725</t>
        </is>
      </c>
      <c r="B21" s="3" t="inlineStr">
        <is>
          <t>27-04-2026</t>
        </is>
      </c>
      <c r="C21" s="3" t="inlineStr">
        <is>
          <t>Blau</t>
        </is>
      </c>
      <c r="D21" s="3" t="inlineStr">
        <is>
          <t>188869</t>
        </is>
      </c>
      <c r="E21" s="4" t="inlineStr">
        <is>
          <t>HYD Trophy Red</t>
        </is>
      </c>
      <c r="F21" s="4" t="inlineStr"/>
      <c r="G21" s="4" t="inlineStr">
        <is>
          <t>COLOR Rojo · ALTURA 45 cm · DIAMETRO 16 cm</t>
        </is>
      </c>
      <c r="H21" s="3" t="inlineStr"/>
      <c r="I21" s="3" t="n">
        <v>10</v>
      </c>
      <c r="J21" s="3" t="inlineStr">
        <is>
          <t>10 шт.</t>
        </is>
      </c>
      <c r="K21" s="4">
        <f>IMAGE("https://cdn.verdnatura.es/image/catalog/1600x900/188869")</f>
        <v/>
      </c>
      <c r="L21" s="5" t="n"/>
      <c r="M21" s="6" t="n"/>
      <c r="N21" s="7" t="n"/>
      <c r="O21" s="8" t="n">
        <v>1.51</v>
      </c>
      <c r="P21" s="8" t="n">
        <v>15.1</v>
      </c>
    </row>
    <row r="22" ht="110" customHeight="1">
      <c r="A22" s="3" t="inlineStr">
        <is>
          <t>12699725</t>
        </is>
      </c>
      <c r="B22" s="3" t="inlineStr">
        <is>
          <t>27-04-2026</t>
        </is>
      </c>
      <c r="C22" s="3" t="inlineStr">
        <is>
          <t>Blau</t>
        </is>
      </c>
      <c r="D22" s="3" t="inlineStr">
        <is>
          <t>152089</t>
        </is>
      </c>
      <c r="E22" s="4" t="inlineStr">
        <is>
          <t>Lathyrus Winter Sunshine Laven</t>
        </is>
      </c>
      <c r="F22" s="4" t="inlineStr"/>
      <c r="G22" s="4" t="inlineStr">
        <is>
          <t>COLOR Lavanda · ALTURA 50 cm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IMAGE("https://cdn.verdnatura.es/image/catalog/1600x900/152089")</f>
        <v/>
      </c>
      <c r="L22" s="5" t="n"/>
      <c r="M22" s="6" t="n"/>
      <c r="N22" s="7" t="n"/>
      <c r="O22" s="8" t="n">
        <v>0.65</v>
      </c>
      <c r="P22" s="8" t="n">
        <v>32.5</v>
      </c>
    </row>
    <row r="23" ht="110" customHeight="1">
      <c r="A23" s="3" t="inlineStr">
        <is>
          <t>12699725</t>
        </is>
      </c>
      <c r="B23" s="3" t="inlineStr">
        <is>
          <t>27-04-2026</t>
        </is>
      </c>
      <c r="C23" s="3" t="inlineStr">
        <is>
          <t>Blau</t>
        </is>
      </c>
      <c r="D23" s="3" t="inlineStr">
        <is>
          <t>96543</t>
        </is>
      </c>
      <c r="E23" s="4" t="inlineStr">
        <is>
          <t>Lathyrus Winter Sunshine Pink</t>
        </is>
      </c>
      <c r="F23" s="4" t="inlineStr"/>
      <c r="G23" s="4" t="inlineStr">
        <is>
          <t>COLOR Rosa · ALTURA 50 cm</t>
        </is>
      </c>
      <c r="H23" s="3" t="inlineStr"/>
      <c r="I23" s="3" t="n">
        <v>50</v>
      </c>
      <c r="J23" s="3" t="inlineStr">
        <is>
          <t>50 шт.</t>
        </is>
      </c>
      <c r="K23" s="4">
        <f>IMAGE("https://cdn.verdnatura.es/image/catalog/1600x900/96543")</f>
        <v/>
      </c>
      <c r="L23" s="5" t="n"/>
      <c r="M23" s="6" t="n"/>
      <c r="N23" s="7" t="n"/>
      <c r="O23" s="8" t="n">
        <v>0.64</v>
      </c>
      <c r="P23" s="8" t="n">
        <v>32</v>
      </c>
    </row>
    <row r="24" ht="110" customHeight="1">
      <c r="A24" s="3" t="inlineStr">
        <is>
          <t>12699725</t>
        </is>
      </c>
      <c r="B24" s="3" t="inlineStr">
        <is>
          <t>27-04-2026</t>
        </is>
      </c>
      <c r="C24" s="3" t="inlineStr">
        <is>
          <t>Blau</t>
        </is>
      </c>
      <c r="D24" s="3" t="inlineStr">
        <is>
          <t>84451</t>
        </is>
      </c>
      <c r="E24" s="4" t="inlineStr">
        <is>
          <t>LIM N NOR Safora Oshi Pink</t>
        </is>
      </c>
      <c r="F24" s="4" t="inlineStr">
        <is>
          <t>Beauty Line</t>
        </is>
      </c>
      <c r="G24" s="4" t="inlineStr">
        <is>
          <t>COLOR Rosa · ALTURA 60 cm · PESO/TALLO 25 gr</t>
        </is>
      </c>
      <c r="H24" s="3" t="inlineStr"/>
      <c r="I24" s="3" t="n">
        <v>50</v>
      </c>
      <c r="J24" s="3" t="inlineStr">
        <is>
          <t>50 шт.</t>
        </is>
      </c>
      <c r="K24" s="4">
        <f>IMAGE("https://cdn.verdnatura.es/image/catalog/1600x900/84451")</f>
        <v/>
      </c>
      <c r="L24" s="5" t="n"/>
      <c r="M24" s="6" t="n"/>
      <c r="N24" s="7" t="n"/>
      <c r="O24" s="8" t="n">
        <v>0.39</v>
      </c>
      <c r="P24" s="8" t="n">
        <v>19.5</v>
      </c>
    </row>
    <row r="25" ht="110" customHeight="1">
      <c r="A25" s="3" t="inlineStr">
        <is>
          <t>12699725</t>
        </is>
      </c>
      <c r="B25" s="3" t="inlineStr">
        <is>
          <t>27-04-2026</t>
        </is>
      </c>
      <c r="C25" s="3" t="inlineStr">
        <is>
          <t>Blau</t>
        </is>
      </c>
      <c r="D25" s="3" t="inlineStr">
        <is>
          <t>87676</t>
        </is>
      </c>
      <c r="E25" s="4" t="inlineStr">
        <is>
          <t>LO Master (Premium) 4-5</t>
        </is>
      </c>
      <c r="F25" s="4" t="inlineStr">
        <is>
          <t>Bredefleur</t>
        </is>
      </c>
      <c r="G25" s="4" t="inlineStr">
        <is>
          <t>COLOR Rosa Claro · ALTURA 100 cm</t>
        </is>
      </c>
      <c r="H25" s="3" t="inlineStr"/>
      <c r="I25" s="3" t="n">
        <v>30</v>
      </c>
      <c r="J25" s="3" t="inlineStr">
        <is>
          <t>30 шт.</t>
        </is>
      </c>
      <c r="K25" s="4">
        <f>IMAGE("https://cdn.verdnatura.es/image/catalog/1600x900/87676")</f>
        <v/>
      </c>
      <c r="L25" s="5" t="n"/>
      <c r="M25" s="6" t="n"/>
      <c r="N25" s="7" t="n"/>
      <c r="O25" s="8" t="n">
        <v>2.31</v>
      </c>
      <c r="P25" s="8" t="n">
        <v>69.3</v>
      </c>
    </row>
    <row r="26" ht="110" customHeight="1">
      <c r="A26" s="3" t="inlineStr">
        <is>
          <t>12699725</t>
        </is>
      </c>
      <c r="B26" s="3" t="inlineStr">
        <is>
          <t>27-04-2026</t>
        </is>
      </c>
      <c r="C26" s="3" t="inlineStr">
        <is>
          <t>Blau</t>
        </is>
      </c>
      <c r="D26" s="3" t="inlineStr">
        <is>
          <t>172341</t>
        </is>
      </c>
      <c r="E26" s="4" t="inlineStr">
        <is>
          <t>Myrica Gale</t>
        </is>
      </c>
      <c r="F26" s="4" t="inlineStr">
        <is>
          <t>Van Houwelingen Sierteelt</t>
        </is>
      </c>
      <c r="G26" s="4" t="inlineStr">
        <is>
          <t>ALTURA 60 cm · COLOR Granate</t>
        </is>
      </c>
      <c r="H26" s="3" t="inlineStr"/>
      <c r="I26" s="3" t="n">
        <v>75</v>
      </c>
      <c r="J26" s="3" t="inlineStr">
        <is>
          <t>75 шт.</t>
        </is>
      </c>
      <c r="K26" s="4">
        <f>IMAGE("https://cdn.verdnatura.es/image/catalog/1600x900/172341")</f>
        <v/>
      </c>
      <c r="L26" s="5" t="n"/>
      <c r="M26" s="6" t="n"/>
      <c r="N26" s="7" t="n"/>
      <c r="O26" s="8" t="n">
        <v>0.09</v>
      </c>
      <c r="P26" s="8" t="n">
        <v>6.75</v>
      </c>
    </row>
    <row r="27" ht="110" customHeight="1">
      <c r="A27" s="3" t="inlineStr">
        <is>
          <t>12699725</t>
        </is>
      </c>
      <c r="B27" s="3" t="inlineStr">
        <is>
          <t>27-04-2026</t>
        </is>
      </c>
      <c r="C27" s="3" t="inlineStr">
        <is>
          <t>Blau</t>
        </is>
      </c>
      <c r="D27" s="3" t="inlineStr">
        <is>
          <t>132603</t>
        </is>
      </c>
      <c r="E27" s="4" t="inlineStr">
        <is>
          <t>Peonia Pink Hawaiian Coral</t>
        </is>
      </c>
      <c r="F27" s="4" t="inlineStr"/>
      <c r="G27" s="4" t="inlineStr">
        <is>
          <t>COLOR Rosa · ALTURA 45 cm · APERTURA 2-3</t>
        </is>
      </c>
      <c r="H27" s="3" t="inlineStr"/>
      <c r="I27" s="3" t="n">
        <v>60</v>
      </c>
      <c r="J27" s="3" t="inlineStr">
        <is>
          <t>60 шт.</t>
        </is>
      </c>
      <c r="K27" s="4">
        <f>IMAGE("https://cdn.verdnatura.es/image/catalog/1600x900/132603")</f>
        <v/>
      </c>
      <c r="L27" s="5" t="n"/>
      <c r="M27" s="6" t="n"/>
      <c r="N27" s="7" t="n"/>
      <c r="O27" s="8" t="n">
        <v>0.8</v>
      </c>
      <c r="P27" s="8" t="n">
        <v>48</v>
      </c>
    </row>
    <row r="28" ht="110" customHeight="1">
      <c r="A28" s="3" t="inlineStr">
        <is>
          <t>12699725</t>
        </is>
      </c>
      <c r="B28" s="3" t="inlineStr">
        <is>
          <t>27-04-2026</t>
        </is>
      </c>
      <c r="C28" s="3" t="inlineStr">
        <is>
          <t>Blau</t>
        </is>
      </c>
      <c r="D28" s="3" t="inlineStr">
        <is>
          <t>177703</t>
        </is>
      </c>
      <c r="E28" s="4" t="inlineStr">
        <is>
          <t>Peonia Pink Vanguard</t>
        </is>
      </c>
      <c r="F28" s="4" t="inlineStr">
        <is>
          <t>My-Peony</t>
        </is>
      </c>
      <c r="G28" s="4" t="inlineStr">
        <is>
          <t>COLOR Rosa Claro · ALTURA 50 cm · APERTURA 2-3</t>
        </is>
      </c>
      <c r="H28" s="3" t="inlineStr"/>
      <c r="I28" s="3" t="n">
        <v>60</v>
      </c>
      <c r="J28" s="3" t="inlineStr">
        <is>
          <t>60 шт.</t>
        </is>
      </c>
      <c r="K28" s="4">
        <f>IMAGE("https://cdn.verdnatura.es/image/catalog/1600x900/177703")</f>
        <v/>
      </c>
      <c r="L28" s="5" t="n"/>
      <c r="M28" s="6" t="n"/>
      <c r="N28" s="7" t="n"/>
      <c r="O28" s="8" t="n">
        <v>1.32</v>
      </c>
      <c r="P28" s="8" t="n">
        <v>79.2</v>
      </c>
    </row>
    <row r="29" ht="110" customHeight="1">
      <c r="A29" s="3" t="inlineStr">
        <is>
          <t>12699725</t>
        </is>
      </c>
      <c r="B29" s="3" t="inlineStr">
        <is>
          <t>27-04-2026</t>
        </is>
      </c>
      <c r="C29" s="3" t="inlineStr">
        <is>
          <t>Blau</t>
        </is>
      </c>
      <c r="D29" s="3" t="inlineStr">
        <is>
          <t>33452</t>
        </is>
      </c>
      <c r="E29" s="4" t="inlineStr">
        <is>
          <t>Peonia Red Sarah Bernhard</t>
        </is>
      </c>
      <c r="F29" s="4" t="inlineStr"/>
      <c r="G29" s="4" t="inlineStr">
        <is>
          <t>COLOR Fucsia · ALTURA 55 cm · APERTURA 2-3</t>
        </is>
      </c>
      <c r="H29" s="3" t="inlineStr"/>
      <c r="I29" s="3" t="n">
        <v>30</v>
      </c>
      <c r="J29" s="3" t="inlineStr">
        <is>
          <t>30 шт.</t>
        </is>
      </c>
      <c r="K29" s="4">
        <f>IMAGE("https://cdn.verdnatura.es/image/catalog/1600x900/33452")</f>
        <v/>
      </c>
      <c r="L29" s="5" t="n"/>
      <c r="M29" s="6" t="n"/>
      <c r="N29" s="7" t="n"/>
      <c r="O29" s="8" t="n">
        <v>2.47</v>
      </c>
      <c r="P29" s="8" t="n">
        <v>74.09999999999999</v>
      </c>
    </row>
    <row r="30" ht="110" customHeight="1">
      <c r="A30" s="3" t="inlineStr">
        <is>
          <t>12699725</t>
        </is>
      </c>
      <c r="B30" s="3" t="inlineStr">
        <is>
          <t>27-04-2026</t>
        </is>
      </c>
      <c r="C30" s="3" t="inlineStr">
        <is>
          <t>Blau</t>
        </is>
      </c>
      <c r="D30" s="3" t="inlineStr">
        <is>
          <t>187056</t>
        </is>
      </c>
      <c r="E30" s="4" t="inlineStr">
        <is>
          <t>RANUN Jupiter Butterfly</t>
        </is>
      </c>
      <c r="F30" s="4" t="inlineStr"/>
      <c r="G30" s="4" t="inlineStr">
        <is>
          <t>COLOR Rosa · ALTURA 60 cm</t>
        </is>
      </c>
      <c r="H30" s="3" t="inlineStr"/>
      <c r="I30" s="3" t="n">
        <v>30</v>
      </c>
      <c r="J30" s="3" t="inlineStr">
        <is>
          <t>30 шт.</t>
        </is>
      </c>
      <c r="K30" s="4">
        <f>IMAGE("https://cdn.verdnatura.es/image/catalog/1600x900/187056")</f>
        <v/>
      </c>
      <c r="L30" s="5" t="n"/>
      <c r="M30" s="6" t="n"/>
      <c r="N30" s="7" t="n"/>
      <c r="O30" s="8" t="n">
        <v>1.24</v>
      </c>
      <c r="P30" s="8" t="n">
        <v>37.2</v>
      </c>
    </row>
    <row r="31" ht="110" customHeight="1">
      <c r="A31" s="3" t="inlineStr">
        <is>
          <t>12699725</t>
        </is>
      </c>
      <c r="B31" s="3" t="inlineStr">
        <is>
          <t>27-04-2026</t>
        </is>
      </c>
      <c r="C31" s="3" t="inlineStr">
        <is>
          <t>Blau</t>
        </is>
      </c>
      <c r="D31" s="3" t="inlineStr">
        <is>
          <t>23377</t>
        </is>
      </c>
      <c r="E31" s="4" t="inlineStr">
        <is>
          <t>RANUN Touareg Cloni</t>
        </is>
      </c>
      <c r="F31" s="4" t="inlineStr">
        <is>
          <t>Promoflor</t>
        </is>
      </c>
      <c r="G31" s="4" t="inlineStr">
        <is>
          <t>COLOR 2 Colores · ALTURA 40 cm</t>
        </is>
      </c>
      <c r="H31" s="3" t="inlineStr"/>
      <c r="I31" s="3" t="n">
        <v>50</v>
      </c>
      <c r="J31" s="3" t="inlineStr">
        <is>
          <t>50 шт.</t>
        </is>
      </c>
      <c r="K31" s="4">
        <f>IMAGE("https://cdn.verdnatura.es/image/catalog/1600x900/23377")</f>
        <v/>
      </c>
      <c r="L31" s="5" t="n"/>
      <c r="M31" s="6" t="n"/>
      <c r="N31" s="7" t="n"/>
      <c r="O31" s="8" t="n">
        <v>0.71</v>
      </c>
      <c r="P31" s="8" t="n">
        <v>35.5</v>
      </c>
    </row>
    <row r="32" ht="110" customHeight="1">
      <c r="A32" s="3" t="inlineStr">
        <is>
          <t>12699725</t>
        </is>
      </c>
      <c r="B32" s="3" t="inlineStr">
        <is>
          <t>27-04-2026</t>
        </is>
      </c>
      <c r="C32" s="3" t="inlineStr">
        <is>
          <t>Blau</t>
        </is>
      </c>
      <c r="D32" s="3" t="inlineStr">
        <is>
          <t>191334</t>
        </is>
      </c>
      <c r="E32" s="4" t="inlineStr">
        <is>
          <t>RSR Rainbow</t>
        </is>
      </c>
      <c r="F32" s="4" t="inlineStr">
        <is>
          <t>Holla Roses BV</t>
        </is>
      </c>
      <c r="G32" s="4" t="inlineStr">
        <is>
          <t>COLOR Mixto · ALTURA 40 cm · TAMAÑO BOTON Pequeño</t>
        </is>
      </c>
      <c r="H32" s="3" t="inlineStr"/>
      <c r="I32" s="3" t="n">
        <v>40</v>
      </c>
      <c r="J32" s="3" t="inlineStr">
        <is>
          <t>40 шт.</t>
        </is>
      </c>
      <c r="K32" s="4">
        <f>IMAGE("https://cdn.verdnatura.es/image/catalog/1600x900/191334")</f>
        <v/>
      </c>
      <c r="L32" s="5" t="n"/>
      <c r="M32" s="6" t="n"/>
      <c r="N32" s="7" t="n"/>
      <c r="O32" s="8" t="n">
        <v>0.31</v>
      </c>
      <c r="P32" s="8" t="n">
        <v>12.4</v>
      </c>
    </row>
    <row r="33" ht="110" customHeight="1">
      <c r="A33" s="3" t="inlineStr">
        <is>
          <t>12699725</t>
        </is>
      </c>
      <c r="B33" s="3" t="inlineStr">
        <is>
          <t>27-04-2026</t>
        </is>
      </c>
      <c r="C33" s="3" t="inlineStr">
        <is>
          <t>Blau</t>
        </is>
      </c>
      <c r="D33" s="3" t="inlineStr">
        <is>
          <t>73611</t>
        </is>
      </c>
      <c r="E33" s="4" t="inlineStr">
        <is>
          <t>Skimmia J Rubella</t>
        </is>
      </c>
      <c r="F33" s="4" t="inlineStr"/>
      <c r="G33" s="4" t="inlineStr">
        <is>
          <t>COLOR Granate · ALTURA 45 cm</t>
        </is>
      </c>
      <c r="H33" s="3" t="inlineStr">
        <is>
          <t>Paquete</t>
        </is>
      </c>
      <c r="I33" s="3" t="n">
        <v>10</v>
      </c>
      <c r="J33" s="3" t="inlineStr">
        <is>
          <t>10 пачек</t>
        </is>
      </c>
      <c r="K33" s="4">
        <f>IMAGE("https://cdn.verdnatura.es/image/catalog/1600x900/73611")</f>
        <v/>
      </c>
      <c r="L33" s="5" t="n"/>
      <c r="M33" s="6" t="n"/>
      <c r="N33" s="7" t="n"/>
      <c r="O33" s="8" t="n">
        <v>4.21</v>
      </c>
      <c r="P33" s="8" t="n">
        <v>42.1</v>
      </c>
    </row>
    <row r="34" ht="110" customHeight="1">
      <c r="A34" s="3" t="inlineStr">
        <is>
          <t>12699725</t>
        </is>
      </c>
      <c r="B34" s="3" t="inlineStr">
        <is>
          <t>27-04-2026</t>
        </is>
      </c>
      <c r="C34" s="3" t="inlineStr">
        <is>
          <t>Blau</t>
        </is>
      </c>
      <c r="D34" s="3" t="inlineStr">
        <is>
          <t>175699</t>
        </is>
      </c>
      <c r="E34" s="4" t="inlineStr">
        <is>
          <t>TUL Party Clown Fringed</t>
        </is>
      </c>
      <c r="F34" s="4" t="inlineStr"/>
      <c r="G34" s="4" t="inlineStr">
        <is>
          <t>COLOR Amarillo · ALTURA 42 cm · PESO/TALLO 40 gr</t>
        </is>
      </c>
      <c r="H34" s="3" t="inlineStr"/>
      <c r="I34" s="3" t="n">
        <v>50</v>
      </c>
      <c r="J34" s="3" t="inlineStr">
        <is>
          <t>50 шт.</t>
        </is>
      </c>
      <c r="K34" s="4">
        <f>IMAGE("https://cdn.verdnatura.es/image/catalog/1600x900/175699")</f>
        <v/>
      </c>
      <c r="L34" s="5" t="n"/>
      <c r="M34" s="6" t="n"/>
      <c r="N34" s="7" t="n"/>
      <c r="O34" s="8" t="n">
        <v>0.4</v>
      </c>
      <c r="P34" s="8" t="n">
        <v>20</v>
      </c>
    </row>
    <row r="35" ht="110" customHeight="1">
      <c r="A35" s="3" t="inlineStr">
        <is>
          <t>12699725</t>
        </is>
      </c>
      <c r="B35" s="3" t="inlineStr">
        <is>
          <t>27-04-2026</t>
        </is>
      </c>
      <c r="C35" s="3" t="inlineStr">
        <is>
          <t>Blau</t>
        </is>
      </c>
      <c r="D35" s="3" t="inlineStr">
        <is>
          <t>4046</t>
        </is>
      </c>
      <c r="E35" s="4" t="inlineStr">
        <is>
          <t>TUL Royal Virgin</t>
        </is>
      </c>
      <c r="F35" s="4" t="inlineStr"/>
      <c r="G35" s="4" t="inlineStr">
        <is>
          <t>COLOR Blanco · ALTURA 36 cm · PESO/TALLO 32 gr</t>
        </is>
      </c>
      <c r="H35" s="3" t="inlineStr"/>
      <c r="I35" s="3" t="n">
        <v>50</v>
      </c>
      <c r="J35" s="3" t="inlineStr">
        <is>
          <t>50 шт.</t>
        </is>
      </c>
      <c r="K35" s="4">
        <f>IMAGE("https://cdn.verdnatura.es/image/catalog/1600x900/4046")</f>
        <v/>
      </c>
      <c r="L35" s="5" t="n"/>
      <c r="M35" s="6" t="n"/>
      <c r="N35" s="7" t="n"/>
      <c r="O35" s="8" t="n">
        <v>0.57</v>
      </c>
      <c r="P35" s="8" t="n">
        <v>28.5</v>
      </c>
    </row>
    <row r="36" ht="110" customHeight="1">
      <c r="A36" s="3" t="inlineStr">
        <is>
          <t>12699725</t>
        </is>
      </c>
      <c r="B36" s="3" t="inlineStr">
        <is>
          <t>27-04-2026</t>
        </is>
      </c>
      <c r="C36" s="3" t="inlineStr">
        <is>
          <t>Blau</t>
        </is>
      </c>
      <c r="D36" s="3" t="inlineStr">
        <is>
          <t>89829</t>
        </is>
      </c>
      <c r="E36" s="4" t="inlineStr">
        <is>
          <t>TUL Tresor</t>
        </is>
      </c>
      <c r="F36" s="4" t="inlineStr"/>
      <c r="G36" s="4" t="inlineStr">
        <is>
          <t>COLOR Rosa · ALTURA 38 cm · PESO/TALLO 48 gr</t>
        </is>
      </c>
      <c r="H36" s="3" t="inlineStr"/>
      <c r="I36" s="3" t="n">
        <v>50</v>
      </c>
      <c r="J36" s="3" t="inlineStr">
        <is>
          <t>50 шт.</t>
        </is>
      </c>
      <c r="K36" s="4">
        <f>IMAGE("https://cdn.verdnatura.es/image/catalog/1600x900/89829")</f>
        <v/>
      </c>
      <c r="L36" s="5" t="n"/>
      <c r="M36" s="6" t="n"/>
      <c r="N36" s="7" t="n"/>
      <c r="O36" s="8" t="n">
        <v>0.72</v>
      </c>
      <c r="P36" s="8" t="n">
        <v>36</v>
      </c>
    </row>
    <row r="37" ht="110" customHeight="1">
      <c r="A37" s="3" t="inlineStr">
        <is>
          <t>12699725</t>
        </is>
      </c>
      <c r="B37" s="3" t="inlineStr">
        <is>
          <t>27-04-2026</t>
        </is>
      </c>
      <c r="C37" s="3" t="inlineStr">
        <is>
          <t>Blau</t>
        </is>
      </c>
      <c r="D37" s="3" t="inlineStr">
        <is>
          <t>138248</t>
        </is>
      </c>
      <c r="E37" s="4" t="inlineStr">
        <is>
          <t>Tulipan Davenport Fringed</t>
        </is>
      </c>
      <c r="F37" s="4" t="inlineStr"/>
      <c r="G37" s="4" t="inlineStr">
        <is>
          <t>COLOR Rojo/Amarillo · ALTURA 39 cm · PESO/TALLO 35 gr</t>
        </is>
      </c>
      <c r="H37" s="3" t="inlineStr"/>
      <c r="I37" s="3" t="n">
        <v>50</v>
      </c>
      <c r="J37" s="3" t="inlineStr">
        <is>
          <t>50 шт.</t>
        </is>
      </c>
      <c r="K37" s="4">
        <f>IMAGE("https://cdn.verdnatura.es/image/catalog/1600x900/138248")</f>
        <v/>
      </c>
      <c r="L37" s="5" t="n"/>
      <c r="M37" s="6" t="n"/>
      <c r="N37" s="7" t="n"/>
      <c r="O37" s="8" t="n">
        <v>0.46</v>
      </c>
      <c r="P37" s="8" t="n">
        <v>23</v>
      </c>
    </row>
    <row r="38" ht="26" customHeight="1">
      <c r="A38" s="2" t="inlineStr">
        <is>
          <t>📦  Накладная #12702952  ·  27-04-2026  ·  Blau  ·  12 позиций  ·  bultos: 2</t>
        </is>
      </c>
    </row>
    <row r="39" ht="110" customHeight="1">
      <c r="A39" s="3" t="inlineStr">
        <is>
          <t>12702952</t>
        </is>
      </c>
      <c r="B39" s="3" t="inlineStr">
        <is>
          <t>27-04-2026</t>
        </is>
      </c>
      <c r="C39" s="3" t="inlineStr">
        <is>
          <t>Blau</t>
        </is>
      </c>
      <c r="D39" s="3" t="inlineStr">
        <is>
          <t>151845</t>
        </is>
      </c>
      <c r="E39" s="4" t="inlineStr">
        <is>
          <t>Asp Tree Fern</t>
        </is>
      </c>
      <c r="F39" s="4" t="inlineStr">
        <is>
          <t>The Green Genie</t>
        </is>
      </c>
      <c r="G39" s="4" t="inlineStr">
        <is>
          <t>COLOR Verde · ALTURA 70 cm</t>
        </is>
      </c>
      <c r="H39" s="3" t="inlineStr">
        <is>
          <t>Paquete</t>
        </is>
      </c>
      <c r="I39" s="3" t="n">
        <v>5</v>
      </c>
      <c r="J39" s="3" t="inlineStr">
        <is>
          <t>5 пачек</t>
        </is>
      </c>
      <c r="K39" s="4">
        <f>IMAGE("https://cdn.verdnatura.es/image/catalog/1600x900/151845")</f>
        <v/>
      </c>
      <c r="L39" s="5" t="n"/>
      <c r="M39" s="6" t="n"/>
      <c r="N39" s="7" t="n"/>
      <c r="O39" s="8" t="n">
        <v>2.78</v>
      </c>
      <c r="P39" s="8" t="n">
        <v>13.9</v>
      </c>
    </row>
    <row r="40" ht="110" customHeight="1">
      <c r="A40" s="3" t="inlineStr">
        <is>
          <t>12702952</t>
        </is>
      </c>
      <c r="B40" s="3" t="inlineStr">
        <is>
          <t>27-04-2026</t>
        </is>
      </c>
      <c r="C40" s="3" t="inlineStr">
        <is>
          <t>Blau</t>
        </is>
      </c>
      <c r="D40" s="3" t="inlineStr">
        <is>
          <t>154704</t>
        </is>
      </c>
      <c r="E40" s="4" t="inlineStr">
        <is>
          <t>CL Pink Molly Teñido</t>
        </is>
      </c>
      <c r="F40" s="4" t="inlineStr">
        <is>
          <t>Santa Dorotea EXPORT</t>
        </is>
      </c>
      <c r="G40" s="4" t="inlineStr">
        <is>
          <t>COLOR Purpura/Rosa · ALTURA 70 cm · Nº TALLOS 20</t>
        </is>
      </c>
      <c r="H40" s="3" t="inlineStr"/>
      <c r="I40" s="3" t="n">
        <v>20</v>
      </c>
      <c r="J40" s="3" t="inlineStr">
        <is>
          <t>20 шт.</t>
        </is>
      </c>
      <c r="K40" s="4">
        <f>IMAGE("https://cdn.verdnatura.es/image/catalog/1600x900/154704")</f>
        <v/>
      </c>
      <c r="L40" s="5" t="n"/>
      <c r="M40" s="6" t="n"/>
      <c r="N40" s="7" t="n"/>
      <c r="O40" s="8" t="n">
        <v>0.4</v>
      </c>
      <c r="P40" s="8" t="n">
        <v>8</v>
      </c>
    </row>
    <row r="41" ht="110" customHeight="1">
      <c r="A41" s="3" t="inlineStr">
        <is>
          <t>12702952</t>
        </is>
      </c>
      <c r="B41" s="3" t="inlineStr">
        <is>
          <t>27-04-2026</t>
        </is>
      </c>
      <c r="C41" s="3" t="inlineStr">
        <is>
          <t>Blau</t>
        </is>
      </c>
      <c r="D41" s="3" t="inlineStr">
        <is>
          <t>102166</t>
        </is>
      </c>
      <c r="E41" s="4" t="inlineStr">
        <is>
          <t>CR SANT Katy</t>
        </is>
      </c>
      <c r="F41" s="4" t="inlineStr">
        <is>
          <t>Benchmark</t>
        </is>
      </c>
      <c r="G41" s="4" t="inlineStr">
        <is>
          <t>COLOR Blanco · ALTURA 70 cmBOTÓN Si</t>
        </is>
      </c>
      <c r="H41" s="3" t="inlineStr"/>
      <c r="I41" s="3" t="n">
        <v>50</v>
      </c>
      <c r="J41" s="3" t="inlineStr">
        <is>
          <t>50 шт.</t>
        </is>
      </c>
      <c r="K41" s="4">
        <f>IMAGE("https://cdn.verdnatura.es/image/catalog/1600x900/102166")</f>
        <v/>
      </c>
      <c r="L41" s="5" t="n"/>
      <c r="M41" s="6" t="n"/>
      <c r="N41" s="7" t="n"/>
      <c r="O41" s="8" t="n">
        <v>0.39</v>
      </c>
      <c r="P41" s="8" t="n">
        <v>19.5</v>
      </c>
    </row>
    <row r="42" ht="110" customHeight="1">
      <c r="A42" s="3" t="inlineStr">
        <is>
          <t>12702952</t>
        </is>
      </c>
      <c r="B42" s="3" t="inlineStr">
        <is>
          <t>27-04-2026</t>
        </is>
      </c>
      <c r="C42" s="3" t="inlineStr">
        <is>
          <t>Blau</t>
        </is>
      </c>
      <c r="D42" s="3" t="inlineStr">
        <is>
          <t>191344</t>
        </is>
      </c>
      <c r="E42" s="4" t="inlineStr">
        <is>
          <t>HYD Mix Mini Pintado</t>
        </is>
      </c>
      <c r="F42" s="4" t="inlineStr">
        <is>
          <t>ETZ Kainos</t>
        </is>
      </c>
      <c r="G42" s="4" t="inlineStr">
        <is>
          <t>COLOR Mixto · ALTURA 50 cm · DIAMETRO 10 cm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IMAGE("https://cdn.verdnatura.es/image/catalog/1600x900/191344")</f>
        <v/>
      </c>
      <c r="L42" s="5" t="n"/>
      <c r="M42" s="6" t="n"/>
      <c r="N42" s="7" t="n"/>
      <c r="O42" s="8" t="n">
        <v>0.87</v>
      </c>
      <c r="P42" s="8" t="n">
        <v>21.75</v>
      </c>
    </row>
    <row r="43" ht="110" customHeight="1">
      <c r="A43" s="3" t="inlineStr">
        <is>
          <t>12702952</t>
        </is>
      </c>
      <c r="B43" s="3" t="inlineStr">
        <is>
          <t>27-04-2026</t>
        </is>
      </c>
      <c r="C43" s="3" t="inlineStr">
        <is>
          <t>Blau</t>
        </is>
      </c>
      <c r="D43" s="3" t="inlineStr">
        <is>
          <t>36764</t>
        </is>
      </c>
      <c r="E43" s="4" t="inlineStr">
        <is>
          <t>PAN Roja MA 30 gr</t>
        </is>
      </c>
      <c r="F43" s="4" t="inlineStr">
        <is>
          <t>Malima</t>
        </is>
      </c>
      <c r="G43" s="4" t="inlineStr">
        <is>
          <t>COLOR Rojo · ALTURA 75 cm · TAMAÑO FLOR XL</t>
        </is>
      </c>
      <c r="H43" s="3" t="inlineStr"/>
      <c r="I43" s="3" t="n">
        <v>25</v>
      </c>
      <c r="J43" s="3" t="inlineStr">
        <is>
          <t>25 шт.</t>
        </is>
      </c>
      <c r="K43" s="4">
        <f>IMAGE("https://cdn.verdnatura.es/image/catalog/1600x900/36764")</f>
        <v/>
      </c>
      <c r="L43" s="5" t="n"/>
      <c r="M43" s="6" t="n"/>
      <c r="N43" s="7" t="n"/>
      <c r="O43" s="8" t="n">
        <v>0.49</v>
      </c>
      <c r="P43" s="8" t="n">
        <v>12.25</v>
      </c>
    </row>
    <row r="44" ht="110" customHeight="1">
      <c r="A44" s="3" t="inlineStr">
        <is>
          <t>12702952</t>
        </is>
      </c>
      <c r="B44" s="3" t="inlineStr">
        <is>
          <t>27-04-2026</t>
        </is>
      </c>
      <c r="C44" s="3" t="inlineStr">
        <is>
          <t>Blau</t>
        </is>
      </c>
      <c r="D44" s="3" t="inlineStr">
        <is>
          <t>171540</t>
        </is>
      </c>
      <c r="E44" s="4" t="inlineStr">
        <is>
          <t>PAN Small Bloom SD 40 gr</t>
        </is>
      </c>
      <c r="F44" s="4" t="inlineStr">
        <is>
          <t>Santa Dorotea</t>
        </is>
      </c>
      <c r="G44" s="4" t="inlineStr">
        <is>
          <t>COLOR Blanco · ALTURA 80 cm · TAMAÑO FLOR S</t>
        </is>
      </c>
      <c r="H44" s="3" t="inlineStr"/>
      <c r="I44" s="3" t="n">
        <v>50</v>
      </c>
      <c r="J44" s="3" t="inlineStr">
        <is>
          <t>50 шт.</t>
        </is>
      </c>
      <c r="K44" s="4">
        <f>IMAGE("https://cdn.verdnatura.es/image/catalog/1600x900/171540")</f>
        <v/>
      </c>
      <c r="L44" s="5" t="n"/>
      <c r="M44" s="6" t="n"/>
      <c r="N44" s="7" t="n"/>
      <c r="O44" s="8" t="n">
        <v>0.51</v>
      </c>
      <c r="P44" s="8" t="n">
        <v>25.5</v>
      </c>
    </row>
    <row r="45" ht="110" customHeight="1">
      <c r="A45" s="3" t="inlineStr">
        <is>
          <t>12702952</t>
        </is>
      </c>
      <c r="B45" s="3" t="inlineStr">
        <is>
          <t>27-04-2026</t>
        </is>
      </c>
      <c r="C45" s="3" t="inlineStr">
        <is>
          <t>Blau</t>
        </is>
      </c>
      <c r="D45" s="3" t="inlineStr">
        <is>
          <t>125299</t>
        </is>
      </c>
      <c r="E45" s="4" t="inlineStr">
        <is>
          <t>RS Atomic SEL</t>
        </is>
      </c>
      <c r="F45" s="4" t="inlineStr">
        <is>
          <t>Native</t>
        </is>
      </c>
      <c r="G45" s="4" t="inlineStr">
        <is>
          <t>COLOR Fuego · ALTURA 50 cm · BOTÓN MINIMO 5.5 cm</t>
        </is>
      </c>
      <c r="H45" s="3" t="inlineStr"/>
      <c r="I45" s="3" t="n">
        <v>25</v>
      </c>
      <c r="J45" s="3" t="inlineStr">
        <is>
          <t>25 шт.</t>
        </is>
      </c>
      <c r="K45" s="4">
        <f>IMAGE("https://cdn.verdnatura.es/image/catalog/1600x900/125299")</f>
        <v/>
      </c>
      <c r="L45" s="5" t="n"/>
      <c r="M45" s="6" t="n"/>
      <c r="N45" s="7" t="n"/>
      <c r="O45" s="8" t="n">
        <v>0.61</v>
      </c>
      <c r="P45" s="8" t="n">
        <v>15.25</v>
      </c>
    </row>
    <row r="46" ht="110" customHeight="1">
      <c r="A46" s="3" t="inlineStr">
        <is>
          <t>12702952</t>
        </is>
      </c>
      <c r="B46" s="3" t="inlineStr">
        <is>
          <t>27-04-2026</t>
        </is>
      </c>
      <c r="C46" s="3" t="inlineStr">
        <is>
          <t>Blau</t>
        </is>
      </c>
      <c r="D46" s="3" t="inlineStr">
        <is>
          <t>186509</t>
        </is>
      </c>
      <c r="E46" s="4" t="inlineStr">
        <is>
          <t>RS Cherry O EXT</t>
        </is>
      </c>
      <c r="F46" s="4" t="inlineStr">
        <is>
          <t>Ecuador</t>
        </is>
      </c>
      <c r="G46" s="4" t="inlineStr">
        <is>
          <t>COLOR Fucsia · ALTURA 50 cm · BOTÓN MINIMO 5.5 cm</t>
        </is>
      </c>
      <c r="H46" s="3" t="inlineStr"/>
      <c r="I46" s="3" t="n">
        <v>50</v>
      </c>
      <c r="J46" s="3" t="inlineStr">
        <is>
          <t>50 шт.</t>
        </is>
      </c>
      <c r="K46" s="4">
        <f>IMAGE("https://cdn.verdnatura.es/image/catalog/1600x900/186509")</f>
        <v/>
      </c>
      <c r="L46" s="5" t="n"/>
      <c r="M46" s="6" t="n"/>
      <c r="N46" s="7" t="n"/>
      <c r="O46" s="8" t="n">
        <v>0.78</v>
      </c>
      <c r="P46" s="8" t="n">
        <v>39</v>
      </c>
    </row>
    <row r="47" ht="110" customHeight="1">
      <c r="A47" s="3" t="inlineStr">
        <is>
          <t>12702952</t>
        </is>
      </c>
      <c r="B47" s="3" t="inlineStr">
        <is>
          <t>27-04-2026</t>
        </is>
      </c>
      <c r="C47" s="3" t="inlineStr">
        <is>
          <t>Blau</t>
        </is>
      </c>
      <c r="D47" s="3" t="inlineStr">
        <is>
          <t>130997</t>
        </is>
      </c>
      <c r="E47" s="4" t="inlineStr">
        <is>
          <t>RS Free Spirit PRE</t>
        </is>
      </c>
      <c r="F47" s="4" t="inlineStr">
        <is>
          <t>Rosaprima</t>
        </is>
      </c>
      <c r="G47" s="4" t="inlineStr">
        <is>
          <t>COLOR Coral · ALTURA 40 cm · BOTÓN MINIMO 5 cm</t>
        </is>
      </c>
      <c r="H47" s="3" t="inlineStr"/>
      <c r="I47" s="3" t="n">
        <v>75</v>
      </c>
      <c r="J47" s="3" t="inlineStr">
        <is>
          <t>75 шт.</t>
        </is>
      </c>
      <c r="K47" s="4">
        <f>IMAGE("https://cdn.verdnatura.es/image/catalog/1600x900/130997")</f>
        <v/>
      </c>
      <c r="L47" s="5" t="n"/>
      <c r="M47" s="6" t="n"/>
      <c r="N47" s="7" t="n"/>
      <c r="O47" s="8" t="n">
        <v>0.53</v>
      </c>
      <c r="P47" s="8" t="n">
        <v>39.75</v>
      </c>
    </row>
    <row r="48" ht="110" customHeight="1">
      <c r="A48" s="3" t="inlineStr">
        <is>
          <t>12702952</t>
        </is>
      </c>
      <c r="B48" s="3" t="inlineStr">
        <is>
          <t>27-04-2026</t>
        </is>
      </c>
      <c r="C48" s="3" t="inlineStr">
        <is>
          <t>Blau</t>
        </is>
      </c>
      <c r="D48" s="3" t="inlineStr">
        <is>
          <t>136755</t>
        </is>
      </c>
      <c r="E48" s="4" t="inlineStr">
        <is>
          <t>RS Mondial PRE</t>
        </is>
      </c>
      <c r="F48" s="4" t="inlineStr">
        <is>
          <t>Santa Dorotea</t>
        </is>
      </c>
      <c r="G48" s="4" t="inlineStr">
        <is>
          <t>COLOR Blanco · ALTURA 60 cm · BOTÓN MINIMO 6 cm</t>
        </is>
      </c>
      <c r="H48" s="3" t="inlineStr"/>
      <c r="I48" s="3" t="n">
        <v>25</v>
      </c>
      <c r="J48" s="3" t="inlineStr">
        <is>
          <t>25 шт.</t>
        </is>
      </c>
      <c r="K48" s="4">
        <f>IMAGE("https://cdn.verdnatura.es/image/catalog/1600x900/136755")</f>
        <v/>
      </c>
      <c r="L48" s="5" t="n"/>
      <c r="M48" s="6" t="n"/>
      <c r="N48" s="7" t="n"/>
      <c r="O48" s="8" t="n">
        <v>0.96</v>
      </c>
      <c r="P48" s="8" t="n">
        <v>24</v>
      </c>
    </row>
    <row r="49" ht="110" customHeight="1">
      <c r="A49" s="3" t="inlineStr">
        <is>
          <t>12702952</t>
        </is>
      </c>
      <c r="B49" s="3" t="inlineStr">
        <is>
          <t>27-04-2026</t>
        </is>
      </c>
      <c r="C49" s="3" t="inlineStr">
        <is>
          <t>Blau</t>
        </is>
      </c>
      <c r="D49" s="3" t="inlineStr">
        <is>
          <t>189611</t>
        </is>
      </c>
      <c r="E49" s="4" t="inlineStr">
        <is>
          <t>RS Wedding Spirit PRE</t>
        </is>
      </c>
      <c r="F49" s="4" t="inlineStr">
        <is>
          <t>Rosaprima</t>
        </is>
      </c>
      <c r="G49" s="4" t="inlineStr">
        <is>
          <t>COLOR Rosa Claro · ALTURA 50 cm · BOTÓN MINIMO 5 cm</t>
        </is>
      </c>
      <c r="H49" s="3" t="inlineStr"/>
      <c r="I49" s="3" t="n">
        <v>50</v>
      </c>
      <c r="J49" s="3" t="inlineStr">
        <is>
          <t>50 шт.</t>
        </is>
      </c>
      <c r="K49" s="4">
        <f>IMAGE("https://cdn.verdnatura.es/image/catalog/1600x900/189611")</f>
        <v/>
      </c>
      <c r="L49" s="5" t="n"/>
      <c r="M49" s="6" t="n"/>
      <c r="N49" s="7" t="n"/>
      <c r="O49" s="8" t="n">
        <v>0.6</v>
      </c>
      <c r="P49" s="8" t="n">
        <v>30</v>
      </c>
    </row>
    <row r="50" ht="110" customHeight="1">
      <c r="A50" s="3" t="inlineStr">
        <is>
          <t>12702952</t>
        </is>
      </c>
      <c r="B50" s="3" t="inlineStr">
        <is>
          <t>27-04-2026</t>
        </is>
      </c>
      <c r="C50" s="3" t="inlineStr">
        <is>
          <t>Blau</t>
        </is>
      </c>
      <c r="D50" s="3" t="inlineStr">
        <is>
          <t>16045</t>
        </is>
      </c>
      <c r="E50" s="4" t="inlineStr">
        <is>
          <t>Solidago Tara</t>
        </is>
      </c>
      <c r="F50" s="4" t="inlineStr">
        <is>
          <t>Cultivos Manzanares</t>
        </is>
      </c>
      <c r="G50" s="4" t="inlineStr">
        <is>
          <t>COLOR Amarillo · ALTURA 70 cm · PESO/TALLO 25 gr</t>
        </is>
      </c>
      <c r="H50" s="3" t="inlineStr"/>
      <c r="I50" s="3" t="n">
        <v>40</v>
      </c>
      <c r="J50" s="3" t="inlineStr">
        <is>
          <t>40 шт.</t>
        </is>
      </c>
      <c r="K50" s="4">
        <f>IMAGE("https://cdn.verdnatura.es/image/catalog/1600x900/16045")</f>
        <v/>
      </c>
      <c r="L50" s="5" t="n"/>
      <c r="M50" s="6" t="n"/>
      <c r="N50" s="7" t="n"/>
      <c r="O50" s="8" t="n">
        <v>0.23</v>
      </c>
      <c r="P50" s="8" t="n">
        <v>9.199999999999999</v>
      </c>
    </row>
    <row r="51" ht="26" customHeight="1">
      <c r="A51" s="2" t="inlineStr">
        <is>
          <t>📦  Накладная #12702957  ·  27-04-2026  ·  Blau  ·  1 позиций  ·  bultos: 1</t>
        </is>
      </c>
    </row>
    <row r="52" ht="110" customHeight="1">
      <c r="A52" s="3" t="inlineStr">
        <is>
          <t>12702957</t>
        </is>
      </c>
      <c r="B52" s="3" t="inlineStr">
        <is>
          <t>27-04-2026</t>
        </is>
      </c>
      <c r="C52" s="3" t="inlineStr">
        <is>
          <t>Blau</t>
        </is>
      </c>
      <c r="D52" s="3" t="inlineStr">
        <is>
          <t>23434</t>
        </is>
      </c>
      <c r="E52" s="4" t="inlineStr">
        <is>
          <t>Base Acuatica Kraft</t>
        </is>
      </c>
      <c r="F52" s="4" t="inlineStr">
        <is>
          <t>Clayrton's</t>
        </is>
      </c>
      <c r="G52" s="4" t="inlineStr">
        <is>
          <t>ALTURA 24.7 cm · DIAMETRO 11.4 cm · FORMATO Waterproof</t>
        </is>
      </c>
      <c r="H52" s="3" t="inlineStr"/>
      <c r="I52" s="3" t="n">
        <v>30</v>
      </c>
      <c r="J52" s="3" t="inlineStr">
        <is>
          <t>30 шт.</t>
        </is>
      </c>
      <c r="K52" s="4">
        <f>IMAGE("https://cdn.verdnatura.es/image/catalog/1600x900/23434")</f>
        <v/>
      </c>
      <c r="L52" s="5" t="n"/>
      <c r="M52" s="6" t="n"/>
      <c r="N52" s="7" t="n"/>
      <c r="O52" s="8" t="n">
        <v>1.25</v>
      </c>
      <c r="P52" s="8" t="n">
        <v>37.5</v>
      </c>
    </row>
    <row r="53" ht="26" customHeight="1">
      <c r="A53" s="2" t="inlineStr">
        <is>
          <t>📦  Накладная #12703165  ·  27-04-2026  ·  Blau  ·  3 позиций  ·  bultos: 1</t>
        </is>
      </c>
    </row>
    <row r="54" ht="110" customHeight="1">
      <c r="A54" s="3" t="inlineStr">
        <is>
          <t>12703165</t>
        </is>
      </c>
      <c r="B54" s="3" t="inlineStr">
        <is>
          <t>27-04-2026</t>
        </is>
      </c>
      <c r="C54" s="3" t="inlineStr">
        <is>
          <t>Blau</t>
        </is>
      </c>
      <c r="D54" s="3" t="inlineStr">
        <is>
          <t>166094</t>
        </is>
      </c>
      <c r="E54" s="4" t="inlineStr">
        <is>
          <t>Set de 2 Cesta Asa Sif</t>
        </is>
      </c>
      <c r="F54" s="4" t="inlineStr">
        <is>
          <t>Verdnatura</t>
        </is>
      </c>
      <c r="G54" s="4" t="inlineStr">
        <is>
          <t>ALTURA CON ASA 29 cm · ALTURA 23 cm · DIAMETRO 28 cm</t>
        </is>
      </c>
      <c r="H54" s="3" t="inlineStr"/>
      <c r="I54" s="3" t="n">
        <v>2</v>
      </c>
      <c r="J54" s="3" t="inlineStr">
        <is>
          <t>2 шт.</t>
        </is>
      </c>
      <c r="K54" s="4">
        <f>IMAGE("https://cdn.verdnatura.es/image/catalog/1600x900/166094")</f>
        <v/>
      </c>
      <c r="L54" s="5" t="n"/>
      <c r="M54" s="6" t="n"/>
      <c r="N54" s="7" t="n"/>
      <c r="O54" s="8" t="n">
        <v>10.4</v>
      </c>
      <c r="P54" s="8" t="n">
        <v>20.8</v>
      </c>
    </row>
    <row r="55" ht="110" customHeight="1">
      <c r="A55" s="3" t="inlineStr">
        <is>
          <t>12703165</t>
        </is>
      </c>
      <c r="B55" s="3" t="inlineStr">
        <is>
          <t>27-04-2026</t>
        </is>
      </c>
      <c r="C55" s="3" t="inlineStr">
        <is>
          <t>Blau</t>
        </is>
      </c>
      <c r="D55" s="3" t="inlineStr">
        <is>
          <t>142922</t>
        </is>
      </c>
      <c r="E55" s="4" t="inlineStr">
        <is>
          <t>Set de 2 Chennai Especial plan</t>
        </is>
      </c>
      <c r="F55" s="4" t="inlineStr">
        <is>
          <t>FLORAN</t>
        </is>
      </c>
      <c r="G55" s="4" t="inlineStr">
        <is>
          <t>ALTURA 14 cm · DIAMETRO 16 cm · DIAMETRO BOCA 15 cm</t>
        </is>
      </c>
      <c r="H55" s="3" t="inlineStr"/>
      <c r="I55" s="3" t="n">
        <v>5</v>
      </c>
      <c r="J55" s="3" t="inlineStr">
        <is>
          <t>5 шт.</t>
        </is>
      </c>
      <c r="K55" s="4">
        <f>IMAGE("https://cdn.verdnatura.es/image/catalog/1600x900/142922")</f>
        <v/>
      </c>
      <c r="L55" s="5" t="n"/>
      <c r="M55" s="6" t="n"/>
      <c r="N55" s="7" t="n"/>
      <c r="O55" s="8" t="n">
        <v>3.93</v>
      </c>
      <c r="P55" s="8" t="n">
        <v>19.65</v>
      </c>
    </row>
    <row r="56" ht="110" customHeight="1">
      <c r="A56" s="3" t="inlineStr">
        <is>
          <t>12703165</t>
        </is>
      </c>
      <c r="B56" s="3" t="inlineStr">
        <is>
          <t>27-04-2026</t>
        </is>
      </c>
      <c r="C56" s="3" t="inlineStr">
        <is>
          <t>Blau</t>
        </is>
      </c>
      <c r="D56" s="3" t="inlineStr">
        <is>
          <t>173166</t>
        </is>
      </c>
      <c r="E56" s="4" t="inlineStr">
        <is>
          <t>Set de 4 unidades Cesta Chenna</t>
        </is>
      </c>
      <c r="F56" s="4" t="inlineStr">
        <is>
          <t>FLORAN</t>
        </is>
      </c>
      <c r="G56" s="4" t="inlineStr">
        <is>
          <t>ALTURA 19 cm · DIAMETRO 20 cm · DIAMETRO BOCA 19.5 cm</t>
        </is>
      </c>
      <c r="H56" s="3" t="inlineStr"/>
      <c r="I56" s="3" t="n">
        <v>3</v>
      </c>
      <c r="J56" s="3" t="inlineStr">
        <is>
          <t>3 шт.</t>
        </is>
      </c>
      <c r="K56" s="4">
        <f>IMAGE("https://cdn.verdnatura.es/image/catalog/1600x900/173166")</f>
        <v/>
      </c>
      <c r="L56" s="5" t="n"/>
      <c r="M56" s="6" t="n"/>
      <c r="N56" s="7" t="n"/>
      <c r="O56" s="8" t="n">
        <v>12.94</v>
      </c>
      <c r="P56" s="8" t="n">
        <v>38.82</v>
      </c>
    </row>
    <row r="57" ht="26" customHeight="1">
      <c r="A57" s="2" t="inlineStr">
        <is>
          <t>📦  Накладная #12703227  ·  27-04-2026  ·  Blau  ·  5 позиций  ·  bultos: 4</t>
        </is>
      </c>
    </row>
    <row r="58" ht="110" customHeight="1">
      <c r="A58" s="3" t="inlineStr">
        <is>
          <t>12703227</t>
        </is>
      </c>
      <c r="B58" s="3" t="inlineStr">
        <is>
          <t>27-04-2026</t>
        </is>
      </c>
      <c r="C58" s="3" t="inlineStr">
        <is>
          <t>Blau</t>
        </is>
      </c>
      <c r="D58" s="3" t="inlineStr">
        <is>
          <t>6088</t>
        </is>
      </c>
      <c r="E58" s="4" t="inlineStr">
        <is>
          <t>Arcilla</t>
        </is>
      </c>
      <c r="F58" s="4" t="inlineStr">
        <is>
          <t>Flower</t>
        </is>
      </c>
      <c r="G58" s="4" t="inlineStr">
        <is>
          <t>COLOR Naranja · CONTENIDO 6 L</t>
        </is>
      </c>
      <c r="H58" s="3" t="inlineStr"/>
      <c r="I58" s="3" t="n">
        <v>2</v>
      </c>
      <c r="J58" s="3" t="inlineStr">
        <is>
          <t>2 шт.</t>
        </is>
      </c>
      <c r="K58" s="4">
        <f>IMAGE("https://cdn.verdnatura.es/image/catalog/1600x900/6088")</f>
        <v/>
      </c>
      <c r="L58" s="5" t="n"/>
      <c r="M58" s="6" t="n"/>
      <c r="N58" s="7" t="n"/>
      <c r="O58" s="8" t="n">
        <v>4.89</v>
      </c>
      <c r="P58" s="8" t="n">
        <v>9.779999999999999</v>
      </c>
    </row>
    <row r="59" ht="110" customHeight="1">
      <c r="A59" s="3" t="inlineStr">
        <is>
          <t>12703227</t>
        </is>
      </c>
      <c r="B59" s="3" t="inlineStr">
        <is>
          <t>27-04-2026</t>
        </is>
      </c>
      <c r="C59" s="3" t="inlineStr">
        <is>
          <t>Blau</t>
        </is>
      </c>
      <c r="D59" s="3" t="inlineStr">
        <is>
          <t>140596</t>
        </is>
      </c>
      <c r="E59" s="4" t="inlineStr">
        <is>
          <t>PHAL 1T Eleg Cascade Asian Cor</t>
        </is>
      </c>
      <c r="F59" s="4" t="inlineStr">
        <is>
          <t>T &amp; L Variety Plants BV</t>
        </is>
      </c>
      <c r="G59" s="4" t="inlineStr">
        <is>
          <t>COLOR Naranja · ALTURA 45 cm · MACETA 12</t>
        </is>
      </c>
      <c r="H59" s="3" t="inlineStr"/>
      <c r="I59" s="3" t="n">
        <v>4</v>
      </c>
      <c r="J59" s="3" t="inlineStr">
        <is>
          <t>4 шт.</t>
        </is>
      </c>
      <c r="K59" s="4">
        <f>IMAGE("https://cdn.verdnatura.es/image/catalog/1600x900/140596")</f>
        <v/>
      </c>
      <c r="L59" s="5" t="n"/>
      <c r="M59" s="6" t="n"/>
      <c r="N59" s="7" t="n"/>
      <c r="O59" s="8" t="n">
        <v>6.94</v>
      </c>
      <c r="P59" s="8" t="n">
        <v>27.76</v>
      </c>
    </row>
    <row r="60" ht="110" customHeight="1">
      <c r="A60" s="3" t="inlineStr">
        <is>
          <t>12703227</t>
        </is>
      </c>
      <c r="B60" s="3" t="inlineStr">
        <is>
          <t>27-04-2026</t>
        </is>
      </c>
      <c r="C60" s="3" t="inlineStr">
        <is>
          <t>Blau</t>
        </is>
      </c>
      <c r="D60" s="3" t="inlineStr">
        <is>
          <t>200818</t>
        </is>
      </c>
      <c r="E60" s="4" t="inlineStr">
        <is>
          <t>PHAL 1T Eleg Cascade Golden Le</t>
        </is>
      </c>
      <c r="F60" s="4" t="inlineStr">
        <is>
          <t>T &amp; L Variety Plants BV</t>
        </is>
      </c>
      <c r="G60" s="4" t="inlineStr">
        <is>
          <t>COLOR Naranja/Rosa · ALTURA 45 cm · MACETA 12</t>
        </is>
      </c>
      <c r="H60" s="3" t="inlineStr"/>
      <c r="I60" s="3" t="n">
        <v>4</v>
      </c>
      <c r="J60" s="3" t="inlineStr">
        <is>
          <t>4 шт.</t>
        </is>
      </c>
      <c r="K60" s="4">
        <f>IMAGE("https://cdn.verdnatura.es/image/catalog/1600x900/200818")</f>
        <v/>
      </c>
      <c r="L60" s="5" t="n"/>
      <c r="M60" s="6" t="n"/>
      <c r="N60" s="7" t="n"/>
      <c r="O60" s="8" t="n">
        <v>6.29</v>
      </c>
      <c r="P60" s="8" t="n">
        <v>25.16</v>
      </c>
    </row>
    <row r="61" ht="110" customHeight="1">
      <c r="A61" s="3" t="inlineStr">
        <is>
          <t>12703227</t>
        </is>
      </c>
      <c r="B61" s="3" t="inlineStr">
        <is>
          <t>27-04-2026</t>
        </is>
      </c>
      <c r="C61" s="3" t="inlineStr">
        <is>
          <t>Blau</t>
        </is>
      </c>
      <c r="D61" s="3" t="inlineStr">
        <is>
          <t>62055</t>
        </is>
      </c>
      <c r="E61" s="4" t="inlineStr">
        <is>
          <t>SANS Laurentii</t>
        </is>
      </c>
      <c r="F61" s="4" t="inlineStr">
        <is>
          <t>VF</t>
        </is>
      </c>
      <c r="G61" s="4" t="inlineStr">
        <is>
          <t>COLOR Matizado · ALTURA 50 cm · MACETA 17</t>
        </is>
      </c>
      <c r="H61" s="3" t="inlineStr"/>
      <c r="I61" s="3" t="n">
        <v>2</v>
      </c>
      <c r="J61" s="3" t="inlineStr">
        <is>
          <t>2 шт.</t>
        </is>
      </c>
      <c r="K61" s="4">
        <f>IMAGE("https://cdn.verdnatura.es/image/catalog/1600x900/62055")</f>
        <v/>
      </c>
      <c r="L61" s="5" t="n"/>
      <c r="M61" s="6" t="n"/>
      <c r="N61" s="7" t="n"/>
      <c r="O61" s="8" t="n">
        <v>10.54</v>
      </c>
      <c r="P61" s="8" t="n">
        <v>21.08</v>
      </c>
    </row>
    <row r="62" ht="110" customHeight="1">
      <c r="A62" s="3" t="inlineStr">
        <is>
          <t>12703227</t>
        </is>
      </c>
      <c r="B62" s="3" t="inlineStr">
        <is>
          <t>27-04-2026</t>
        </is>
      </c>
      <c r="C62" s="3" t="inlineStr">
        <is>
          <t>Blau</t>
        </is>
      </c>
      <c r="D62" s="3" t="inlineStr">
        <is>
          <t>97414</t>
        </is>
      </c>
      <c r="E62" s="4" t="inlineStr">
        <is>
          <t>Sustrato 40L</t>
        </is>
      </c>
      <c r="F62" s="4" t="inlineStr">
        <is>
          <t>Flower</t>
        </is>
      </c>
      <c r="G62" s="4" t="inlineStr">
        <is>
          <t>COLOR Verde Pistacho · CONTENIDO 40 L</t>
        </is>
      </c>
      <c r="H62" s="3" t="inlineStr"/>
      <c r="I62" s="3" t="n">
        <v>1</v>
      </c>
      <c r="J62" s="3" t="inlineStr">
        <is>
          <t>1 шт.</t>
        </is>
      </c>
      <c r="K62" s="4">
        <f>IMAGE("https://cdn.verdnatura.es/image/catalog/1600x900/97414")</f>
        <v/>
      </c>
      <c r="L62" s="5" t="n"/>
      <c r="M62" s="6" t="n"/>
      <c r="N62" s="7" t="n"/>
      <c r="O62" s="8" t="n">
        <v>10.25</v>
      </c>
      <c r="P62" s="8" t="n">
        <v>10.25</v>
      </c>
    </row>
    <row r="63" ht="26" customHeight="1">
      <c r="A63" s="2" t="inlineStr">
        <is>
          <t>📦  Накладная #12703568  ·  27-04-2026  ·  Blau  ·  14 позиций  ·  bultos: 22</t>
        </is>
      </c>
    </row>
    <row r="64" ht="110" customHeight="1">
      <c r="A64" s="3" t="inlineStr">
        <is>
          <t>12703568</t>
        </is>
      </c>
      <c r="B64" s="3" t="inlineStr">
        <is>
          <t>27-04-2026</t>
        </is>
      </c>
      <c r="C64" s="3" t="inlineStr">
        <is>
          <t>Blau</t>
        </is>
      </c>
      <c r="D64" s="3" t="inlineStr">
        <is>
          <t>200847</t>
        </is>
      </c>
      <c r="E64" s="4" t="inlineStr">
        <is>
          <t>ANT Esudo (In Bombay Gloss) PR</t>
        </is>
      </c>
      <c r="F64" s="4" t="inlineStr">
        <is>
          <t>Houwenplant</t>
        </is>
      </c>
      <c r="G64" s="4" t="inlineStr">
        <is>
          <t>COLOR Rojo · ALTURA 40 cm · MACETA 12</t>
        </is>
      </c>
      <c r="H64" s="3" t="inlineStr"/>
      <c r="I64" s="3" t="n">
        <v>6</v>
      </c>
      <c r="J64" s="3" t="inlineStr">
        <is>
          <t>6 шт.</t>
        </is>
      </c>
      <c r="K64" s="4">
        <f>IMAGE("https://cdn.verdnatura.es/image/catalog/1600x900/200847")</f>
        <v/>
      </c>
      <c r="L64" s="5" t="n"/>
      <c r="M64" s="6" t="n"/>
      <c r="N64" s="7" t="n"/>
      <c r="O64" s="8" t="n">
        <v>10.39</v>
      </c>
      <c r="P64" s="8" t="n">
        <v>62.34</v>
      </c>
    </row>
    <row r="65" ht="110" customHeight="1">
      <c r="A65" s="3" t="inlineStr">
        <is>
          <t>12703568</t>
        </is>
      </c>
      <c r="B65" s="3" t="inlineStr">
        <is>
          <t>27-04-2026</t>
        </is>
      </c>
      <c r="C65" s="3" t="inlineStr">
        <is>
          <t>Blau</t>
        </is>
      </c>
      <c r="D65" s="3" t="inlineStr">
        <is>
          <t>198353</t>
        </is>
      </c>
      <c r="E65" s="4" t="inlineStr">
        <is>
          <t>Calas Mix (In Malmo) Cerámica</t>
        </is>
      </c>
      <c r="F65" s="4" t="inlineStr">
        <is>
          <t>Dynaplant</t>
        </is>
      </c>
      <c r="G65" s="4" t="inlineStr">
        <is>
          <t>COLOR Mixto · ALTURA 40 cm · MACETA 14</t>
        </is>
      </c>
      <c r="H65" s="3" t="inlineStr"/>
      <c r="I65" s="3" t="n">
        <v>12</v>
      </c>
      <c r="J65" s="3" t="inlineStr">
        <is>
          <t>12 шт.</t>
        </is>
      </c>
      <c r="K65" s="4">
        <f>IMAGE("https://cdn.verdnatura.es/image/catalog/1600x900/198353")</f>
        <v/>
      </c>
      <c r="L65" s="5" t="n"/>
      <c r="M65" s="6" t="n"/>
      <c r="N65" s="7" t="n"/>
      <c r="O65" s="8" t="n">
        <v>7.36</v>
      </c>
      <c r="P65" s="8" t="n">
        <v>88.31999999999999</v>
      </c>
    </row>
    <row r="66" ht="110" customHeight="1">
      <c r="A66" s="3" t="inlineStr">
        <is>
          <t>12703568</t>
        </is>
      </c>
      <c r="B66" s="3" t="inlineStr">
        <is>
          <t>27-04-2026</t>
        </is>
      </c>
      <c r="C66" s="3" t="inlineStr">
        <is>
          <t>Blau</t>
        </is>
      </c>
      <c r="D66" s="3" t="inlineStr">
        <is>
          <t>180652</t>
        </is>
      </c>
      <c r="E66" s="4" t="inlineStr">
        <is>
          <t>Claveles Tricolor</t>
        </is>
      </c>
      <c r="F66" s="4" t="inlineStr">
        <is>
          <t>VS</t>
        </is>
      </c>
      <c r="G66" s="4" t="inlineStr">
        <is>
          <t>COLOR Mixto · ALTURA 35 cm · MACETA 17</t>
        </is>
      </c>
      <c r="H66" s="3" t="inlineStr"/>
      <c r="I66" s="3" t="n">
        <v>6</v>
      </c>
      <c r="J66" s="3" t="inlineStr">
        <is>
          <t>6 шт.</t>
        </is>
      </c>
      <c r="K66" s="4">
        <f>IMAGE("https://cdn.verdnatura.es/image/catalog/1600x900/180652")</f>
        <v/>
      </c>
      <c r="L66" s="5" t="n"/>
      <c r="M66" s="6" t="n"/>
      <c r="N66" s="7" t="n"/>
      <c r="O66" s="8" t="n">
        <v>6.22</v>
      </c>
      <c r="P66" s="8" t="n">
        <v>37.32</v>
      </c>
    </row>
    <row r="67" ht="110" customHeight="1">
      <c r="A67" s="3" t="inlineStr">
        <is>
          <t>12703568</t>
        </is>
      </c>
      <c r="B67" s="3" t="inlineStr">
        <is>
          <t>27-04-2026</t>
        </is>
      </c>
      <c r="C67" s="3" t="inlineStr">
        <is>
          <t>Blau</t>
        </is>
      </c>
      <c r="D67" s="3" t="inlineStr">
        <is>
          <t>114094</t>
        </is>
      </c>
      <c r="E67" s="4" t="inlineStr">
        <is>
          <t>Copa Emperatriz</t>
        </is>
      </c>
      <c r="F67" s="4" t="inlineStr">
        <is>
          <t>Verdnatura</t>
        </is>
      </c>
      <c r="G67" s="4" t="inlineStr">
        <is>
          <t>ALTURA 17.7 cm · DIAMETRO 28.5 cm · DIAMETRO BOCA 25.5 cm</t>
        </is>
      </c>
      <c r="H67" s="3" t="inlineStr"/>
      <c r="I67" s="3" t="n">
        <v>4</v>
      </c>
      <c r="J67" s="3" t="inlineStr">
        <is>
          <t>4 шт.</t>
        </is>
      </c>
      <c r="K67" s="4">
        <f>IMAGE("https://cdn.verdnatura.es/image/catalog/1600x900/114094")</f>
        <v/>
      </c>
      <c r="L67" s="5" t="n"/>
      <c r="M67" s="6" t="n"/>
      <c r="N67" s="7" t="n"/>
      <c r="O67" s="8" t="n">
        <v>9.09</v>
      </c>
      <c r="P67" s="8" t="n">
        <v>36.36</v>
      </c>
    </row>
    <row r="68" ht="110" customHeight="1">
      <c r="A68" s="3" t="inlineStr">
        <is>
          <t>12703568</t>
        </is>
      </c>
      <c r="B68" s="3" t="inlineStr">
        <is>
          <t>27-04-2026</t>
        </is>
      </c>
      <c r="C68" s="3" t="inlineStr">
        <is>
          <t>Blau</t>
        </is>
      </c>
      <c r="D68" s="3" t="inlineStr">
        <is>
          <t>115932</t>
        </is>
      </c>
      <c r="E68" s="4" t="inlineStr">
        <is>
          <t>Copa Nieve Aurora</t>
        </is>
      </c>
      <c r="F68" s="4" t="inlineStr">
        <is>
          <t>Verdnatura</t>
        </is>
      </c>
      <c r="G68" s="4" t="inlineStr">
        <is>
          <t>ALTURA 40 cm · DIAMETRO 19 cm · DIAMETRO BOCA 17 cm</t>
        </is>
      </c>
      <c r="H68" s="3" t="inlineStr"/>
      <c r="I68" s="3" t="n">
        <v>4</v>
      </c>
      <c r="J68" s="3" t="inlineStr">
        <is>
          <t>4 шт.</t>
        </is>
      </c>
      <c r="K68" s="4">
        <f>IMAGE("https://cdn.verdnatura.es/image/catalog/1600x900/115932")</f>
        <v/>
      </c>
      <c r="L68" s="5" t="n"/>
      <c r="M68" s="6" t="n"/>
      <c r="N68" s="7" t="n"/>
      <c r="O68" s="8" t="n">
        <v>11.94</v>
      </c>
      <c r="P68" s="8" t="n">
        <v>47.76</v>
      </c>
    </row>
    <row r="69" ht="110" customHeight="1">
      <c r="A69" s="3" t="inlineStr">
        <is>
          <t>12703568</t>
        </is>
      </c>
      <c r="B69" s="3" t="inlineStr">
        <is>
          <t>27-04-2026</t>
        </is>
      </c>
      <c r="C69" s="3" t="inlineStr">
        <is>
          <t>Blau</t>
        </is>
      </c>
      <c r="D69" s="3" t="inlineStr">
        <is>
          <t>178573</t>
        </is>
      </c>
      <c r="E69" s="4" t="inlineStr">
        <is>
          <t>Hypoestes Ph Confetti Compact</t>
        </is>
      </c>
      <c r="F69" s="4" t="inlineStr">
        <is>
          <t>Willem Jongenotter Kw.</t>
        </is>
      </c>
      <c r="G69" s="4" t="inlineStr">
        <is>
          <t>COLOR Mixto · ALTURA 20 cm · MACETA 12</t>
        </is>
      </c>
      <c r="H69" s="3" t="inlineStr"/>
      <c r="I69" s="3" t="n">
        <v>8</v>
      </c>
      <c r="J69" s="3" t="inlineStr">
        <is>
          <t>8 шт.</t>
        </is>
      </c>
      <c r="K69" s="4">
        <f>IMAGE("https://cdn.verdnatura.es/image/catalog/1600x900/178573")</f>
        <v/>
      </c>
      <c r="L69" s="5" t="n"/>
      <c r="M69" s="6" t="n"/>
      <c r="N69" s="7" t="n"/>
      <c r="O69" s="8" t="n">
        <v>1.33</v>
      </c>
      <c r="P69" s="8" t="n">
        <v>10.64</v>
      </c>
    </row>
    <row r="70" ht="110" customHeight="1">
      <c r="A70" s="3" t="inlineStr">
        <is>
          <t>12703568</t>
        </is>
      </c>
      <c r="B70" s="3" t="inlineStr">
        <is>
          <t>27-04-2026</t>
        </is>
      </c>
      <c r="C70" s="3" t="inlineStr">
        <is>
          <t>Blau</t>
        </is>
      </c>
      <c r="D70" s="3" t="inlineStr">
        <is>
          <t>102720</t>
        </is>
      </c>
      <c r="E70" s="4" t="inlineStr">
        <is>
          <t>KAL Carnaval Mix</t>
        </is>
      </c>
      <c r="F70" s="4" t="inlineStr">
        <is>
          <t>SlijkermanKalanchoe</t>
        </is>
      </c>
      <c r="G70" s="4" t="inlineStr">
        <is>
          <t>COLOR Mixto · ALTURA 25 cm · MACETA 23</t>
        </is>
      </c>
      <c r="H70" s="3" t="inlineStr"/>
      <c r="I70" s="3" t="n">
        <v>6</v>
      </c>
      <c r="J70" s="3" t="inlineStr">
        <is>
          <t>6 шт.</t>
        </is>
      </c>
      <c r="K70" s="4">
        <f>IMAGE("https://cdn.verdnatura.es/image/catalog/1600x900/102720")</f>
        <v/>
      </c>
      <c r="L70" s="5" t="n"/>
      <c r="M70" s="6" t="n"/>
      <c r="N70" s="7" t="n"/>
      <c r="O70" s="8" t="n">
        <v>6.26</v>
      </c>
      <c r="P70" s="8" t="n">
        <v>37.56</v>
      </c>
    </row>
    <row r="71" ht="110" customHeight="1">
      <c r="A71" s="3" t="inlineStr">
        <is>
          <t>12703568</t>
        </is>
      </c>
      <c r="B71" s="3" t="inlineStr">
        <is>
          <t>27-04-2026</t>
        </is>
      </c>
      <c r="C71" s="3" t="inlineStr">
        <is>
          <t>Blau</t>
        </is>
      </c>
      <c r="D71" s="3" t="inlineStr">
        <is>
          <t>73864</t>
        </is>
      </c>
      <c r="E71" s="4" t="inlineStr">
        <is>
          <t>KAL Moments Purple PRO</t>
        </is>
      </c>
      <c r="F71" s="4" t="inlineStr">
        <is>
          <t>SlijkermanKalanchoe</t>
        </is>
      </c>
      <c r="G71" s="4" t="inlineStr">
        <is>
          <t>COLOR Fucsia · ALTURA 23 cm · MACETA 10,5</t>
        </is>
      </c>
      <c r="H71" s="3" t="inlineStr"/>
      <c r="I71" s="3" t="n">
        <v>10</v>
      </c>
      <c r="J71" s="3" t="inlineStr">
        <is>
          <t>10 шт.</t>
        </is>
      </c>
      <c r="K71" s="4">
        <f>IMAGE("https://cdn.verdnatura.es/image/catalog/1600x900/73864")</f>
        <v/>
      </c>
      <c r="L71" s="5" t="n"/>
      <c r="M71" s="6" t="n"/>
      <c r="N71" s="7" t="n"/>
      <c r="O71" s="8" t="n">
        <v>1.66</v>
      </c>
      <c r="P71" s="8" t="n">
        <v>16.6</v>
      </c>
    </row>
    <row r="72" ht="110" customHeight="1">
      <c r="A72" s="3" t="inlineStr">
        <is>
          <t>12703568</t>
        </is>
      </c>
      <c r="B72" s="3" t="inlineStr">
        <is>
          <t>27-04-2026</t>
        </is>
      </c>
      <c r="C72" s="3" t="inlineStr">
        <is>
          <t>Blau</t>
        </is>
      </c>
      <c r="D72" s="3" t="inlineStr">
        <is>
          <t>200988</t>
        </is>
      </c>
      <c r="E72" s="4" t="inlineStr">
        <is>
          <t>KAL TENDER Serenity Rosa</t>
        </is>
      </c>
      <c r="F72" s="4" t="inlineStr">
        <is>
          <t>SlijkermanKalanchoe</t>
        </is>
      </c>
      <c r="G72" s="4" t="inlineStr">
        <is>
          <t>COLOR Rosa · ALTURA 23 cm · MACETA 10,5</t>
        </is>
      </c>
      <c r="H72" s="3" t="inlineStr"/>
      <c r="I72" s="3" t="n">
        <v>10</v>
      </c>
      <c r="J72" s="3" t="inlineStr">
        <is>
          <t>10 шт.</t>
        </is>
      </c>
      <c r="K72" s="4">
        <f>IMAGE("https://cdn.verdnatura.es/image/catalog/1600x900/200988")</f>
        <v/>
      </c>
      <c r="L72" s="5" t="n"/>
      <c r="M72" s="6" t="n"/>
      <c r="N72" s="7" t="n"/>
      <c r="O72" s="8" t="n">
        <v>1.66</v>
      </c>
      <c r="P72" s="8" t="n">
        <v>16.6</v>
      </c>
    </row>
    <row r="73" ht="110" customHeight="1">
      <c r="A73" s="3" t="inlineStr">
        <is>
          <t>12703568</t>
        </is>
      </c>
      <c r="B73" s="3" t="inlineStr">
        <is>
          <t>27-04-2026</t>
        </is>
      </c>
      <c r="C73" s="3" t="inlineStr">
        <is>
          <t>Blau</t>
        </is>
      </c>
      <c r="D73" s="3" t="inlineStr">
        <is>
          <t>150510</t>
        </is>
      </c>
      <c r="E73" s="4" t="inlineStr">
        <is>
          <t>Muguete Convallaria Majalis</t>
        </is>
      </c>
      <c r="F73" s="4" t="inlineStr">
        <is>
          <t>Johan Oudshoorn</t>
        </is>
      </c>
      <c r="G73" s="4" t="inlineStr">
        <is>
          <t>COLOR Blanco · ALTURA 25 cm · MACETA 9</t>
        </is>
      </c>
      <c r="H73" s="3" t="inlineStr"/>
      <c r="I73" s="3" t="n">
        <v>18</v>
      </c>
      <c r="J73" s="3" t="inlineStr">
        <is>
          <t>18 шт.</t>
        </is>
      </c>
      <c r="K73" s="4">
        <f>IMAGE("https://cdn.verdnatura.es/image/catalog/1600x900/150510")</f>
        <v/>
      </c>
      <c r="L73" s="5" t="n"/>
      <c r="M73" s="6" t="n"/>
      <c r="N73" s="7" t="n"/>
      <c r="O73" s="8" t="n">
        <v>2.53</v>
      </c>
      <c r="P73" s="8" t="n">
        <v>45.54</v>
      </c>
    </row>
    <row r="74" ht="110" customHeight="1">
      <c r="A74" s="3" t="inlineStr">
        <is>
          <t>12703568</t>
        </is>
      </c>
      <c r="B74" s="3" t="inlineStr">
        <is>
          <t>27-04-2026</t>
        </is>
      </c>
      <c r="C74" s="3" t="inlineStr">
        <is>
          <t>Blau</t>
        </is>
      </c>
      <c r="D74" s="3" t="inlineStr">
        <is>
          <t>200176</t>
        </is>
      </c>
      <c r="E74" s="4" t="inlineStr">
        <is>
          <t>Muguete Convallaria Majalis Bi</t>
        </is>
      </c>
      <c r="F74" s="4" t="inlineStr">
        <is>
          <t>Velzeboer</t>
        </is>
      </c>
      <c r="G74" s="4" t="inlineStr">
        <is>
          <t>COLOR Blanco · ALTURA 25 cm · MACETA 12</t>
        </is>
      </c>
      <c r="H74" s="3" t="inlineStr"/>
      <c r="I74" s="3" t="n">
        <v>10</v>
      </c>
      <c r="J74" s="3" t="inlineStr">
        <is>
          <t>10 шт.</t>
        </is>
      </c>
      <c r="K74" s="4">
        <f>IMAGE("https://cdn.verdnatura.es/image/catalog/1600x900/200176")</f>
        <v/>
      </c>
      <c r="L74" s="5" t="n"/>
      <c r="M74" s="6" t="n"/>
      <c r="N74" s="7" t="n"/>
      <c r="O74" s="8" t="n">
        <v>5.56</v>
      </c>
      <c r="P74" s="8" t="n">
        <v>55.6</v>
      </c>
    </row>
    <row r="75" ht="110" customHeight="1">
      <c r="A75" s="3" t="inlineStr">
        <is>
          <t>12703568</t>
        </is>
      </c>
      <c r="B75" s="3" t="inlineStr">
        <is>
          <t>27-04-2026</t>
        </is>
      </c>
      <c r="C75" s="3" t="inlineStr">
        <is>
          <t>Blau</t>
        </is>
      </c>
      <c r="D75" s="3" t="inlineStr">
        <is>
          <t>150378</t>
        </is>
      </c>
      <c r="E75" s="4" t="inlineStr">
        <is>
          <t>Muguete Convallaria Majalis x1</t>
        </is>
      </c>
      <c r="F75" s="4" t="inlineStr">
        <is>
          <t>Velzeboer</t>
        </is>
      </c>
      <c r="G75" s="4" t="inlineStr">
        <is>
          <t>COLOR Blanco · ALTURA 25 cm · MACETA 12</t>
        </is>
      </c>
      <c r="H75" s="3" t="inlineStr"/>
      <c r="I75" s="3" t="n">
        <v>10</v>
      </c>
      <c r="J75" s="3" t="inlineStr">
        <is>
          <t>10 шт.</t>
        </is>
      </c>
      <c r="K75" s="4">
        <f>IMAGE("https://cdn.verdnatura.es/image/catalog/1600x900/150378")</f>
        <v/>
      </c>
      <c r="L75" s="5" t="n"/>
      <c r="M75" s="6" t="n"/>
      <c r="N75" s="7" t="n"/>
      <c r="O75" s="8" t="n">
        <v>4.65</v>
      </c>
      <c r="P75" s="8" t="n">
        <v>46.5</v>
      </c>
    </row>
    <row r="76" ht="110" customHeight="1">
      <c r="A76" s="3" t="inlineStr">
        <is>
          <t>12703568</t>
        </is>
      </c>
      <c r="B76" s="3" t="inlineStr">
        <is>
          <t>27-04-2026</t>
        </is>
      </c>
      <c r="C76" s="3" t="inlineStr">
        <is>
          <t>Blau</t>
        </is>
      </c>
      <c r="D76" s="3" t="inlineStr">
        <is>
          <t>144102</t>
        </is>
      </c>
      <c r="E76" s="4" t="inlineStr">
        <is>
          <t>PHAL 2T Cerámica Kolibri Mix (</t>
        </is>
      </c>
      <c r="F76" s="4" t="inlineStr">
        <is>
          <t>OK Plant</t>
        </is>
      </c>
      <c r="G76" s="4" t="inlineStr">
        <is>
          <t>COLOR Mixto · ALTURA 40 cm · MACETA 9</t>
        </is>
      </c>
      <c r="H76" s="3" t="inlineStr"/>
      <c r="I76" s="3" t="n">
        <v>8</v>
      </c>
      <c r="J76" s="3" t="inlineStr">
        <is>
          <t>8 шт.</t>
        </is>
      </c>
      <c r="K76" s="4">
        <f>IMAGE("https://cdn.verdnatura.es/image/catalog/1600x900/144102")</f>
        <v/>
      </c>
      <c r="L76" s="5" t="n"/>
      <c r="M76" s="6" t="n"/>
      <c r="N76" s="7" t="n"/>
      <c r="O76" s="8" t="n">
        <v>8.26</v>
      </c>
      <c r="P76" s="8" t="n">
        <v>66.08</v>
      </c>
    </row>
    <row r="77" ht="110" customHeight="1">
      <c r="A77" s="3" t="inlineStr">
        <is>
          <t>12703568</t>
        </is>
      </c>
      <c r="B77" s="3" t="inlineStr">
        <is>
          <t>27-04-2026</t>
        </is>
      </c>
      <c r="C77" s="3" t="inlineStr">
        <is>
          <t>Blau</t>
        </is>
      </c>
      <c r="D77" s="3" t="inlineStr">
        <is>
          <t>198180</t>
        </is>
      </c>
      <c r="E77" s="4" t="inlineStr">
        <is>
          <t>PHAL 2T Cerámica Kolibri Mix C</t>
        </is>
      </c>
      <c r="F77" s="4" t="inlineStr">
        <is>
          <t>OK Plant</t>
        </is>
      </c>
      <c r="G77" s="4" t="inlineStr">
        <is>
          <t>COLOR Mixto · ALTURA 40 cm · MACETA 12</t>
        </is>
      </c>
      <c r="H77" s="3" t="inlineStr"/>
      <c r="I77" s="3" t="n">
        <v>8</v>
      </c>
      <c r="J77" s="3" t="inlineStr">
        <is>
          <t>8 шт.</t>
        </is>
      </c>
      <c r="K77" s="4">
        <f>IMAGE("https://cdn.verdnatura.es/image/catalog/1600x900/198180")</f>
        <v/>
      </c>
      <c r="L77" s="5" t="n"/>
      <c r="M77" s="6" t="n"/>
      <c r="N77" s="7" t="n"/>
      <c r="O77" s="8" t="n">
        <v>14.92</v>
      </c>
      <c r="P77" s="8" t="n">
        <v>119.36</v>
      </c>
    </row>
    <row r="78" ht="26" customHeight="1">
      <c r="A78" s="2" t="inlineStr">
        <is>
          <t>📦  Накладная #12704099  ·  27-04-2026  ·  Blau  ·  1 позиций  ·  bultos: 1</t>
        </is>
      </c>
    </row>
    <row r="79" ht="110" customHeight="1">
      <c r="A79" s="3" t="inlineStr">
        <is>
          <t>12704099</t>
        </is>
      </c>
      <c r="B79" s="3" t="inlineStr">
        <is>
          <t>27-04-2026</t>
        </is>
      </c>
      <c r="C79" s="3" t="inlineStr">
        <is>
          <t>Blau</t>
        </is>
      </c>
      <c r="D79" s="3" t="inlineStr">
        <is>
          <t>94902</t>
        </is>
      </c>
      <c r="E79" s="4" t="inlineStr">
        <is>
          <t>SANS Laurentii</t>
        </is>
      </c>
      <c r="F79" s="4" t="inlineStr">
        <is>
          <t>Vireo-Hedera Plant</t>
        </is>
      </c>
      <c r="G79" s="4" t="inlineStr">
        <is>
          <t>COLOR Matizado · ALTURA 85 cm · MACETA 24</t>
        </is>
      </c>
      <c r="H79" s="3" t="inlineStr"/>
      <c r="I79" s="3" t="n">
        <v>2</v>
      </c>
      <c r="J79" s="3" t="inlineStr">
        <is>
          <t>2 шт.</t>
        </is>
      </c>
      <c r="K79" s="4">
        <f>IMAGE("https://cdn.verdnatura.es/image/catalog/1600x900/94902")</f>
        <v/>
      </c>
      <c r="L79" s="5" t="n"/>
      <c r="M79" s="6" t="n"/>
      <c r="N79" s="7" t="n"/>
      <c r="O79" s="8" t="n">
        <v>27.6</v>
      </c>
      <c r="P79" s="8" t="n">
        <v>55.2</v>
      </c>
    </row>
    <row r="80" ht="26" customHeight="1">
      <c r="A80" s="2" t="inlineStr">
        <is>
          <t>📦  Накладная #12708204  ·  29-04-2026  ·  Blau  ·  1 позиций  ·  bultos: 0</t>
        </is>
      </c>
    </row>
    <row r="81" ht="110" customHeight="1">
      <c r="A81" s="3" t="inlineStr">
        <is>
          <t>12708204</t>
        </is>
      </c>
      <c r="B81" s="3" t="inlineStr">
        <is>
          <t>29-04-2026</t>
        </is>
      </c>
      <c r="C81" s="3" t="inlineStr">
        <is>
          <t>Blau</t>
        </is>
      </c>
      <c r="D81" s="3" t="inlineStr">
        <is>
          <t>146561</t>
        </is>
      </c>
      <c r="E81" s="4" t="inlineStr">
        <is>
          <t>+ GRS Princess Crown</t>
        </is>
      </c>
      <c r="F81" s="4" t="inlineStr">
        <is>
          <t>Milagro</t>
        </is>
      </c>
      <c r="G81" s="4" t="inlineStr">
        <is>
          <t>COLOR Melocotón · ALTURA 40 cm</t>
        </is>
      </c>
      <c r="H81" s="3" t="inlineStr"/>
      <c r="I81" s="3" t="n">
        <v>50</v>
      </c>
      <c r="J81" s="3" t="inlineStr">
        <is>
          <t>50 шт.</t>
        </is>
      </c>
      <c r="K81" s="4">
        <f>IMAGE("https://cdn.verdnatura.es/image/catalog/1600x900/146561")</f>
        <v/>
      </c>
      <c r="L81" s="5" t="n"/>
      <c r="M81" s="6" t="n"/>
      <c r="N81" s="7" t="n"/>
      <c r="O81" s="8" t="n">
        <v>0.93</v>
      </c>
      <c r="P81" s="8" t="n">
        <v>46.5</v>
      </c>
    </row>
    <row r="82" ht="26" customHeight="1">
      <c r="A82" s="2" t="inlineStr">
        <is>
          <t>📦  Накладная #12717499  ·  29-04-2026  ·  Blau  ·  3 позиций  ·  bultos: 1</t>
        </is>
      </c>
    </row>
    <row r="83" ht="110" customHeight="1">
      <c r="A83" s="3" t="inlineStr">
        <is>
          <t>12717499</t>
        </is>
      </c>
      <c r="B83" s="3" t="inlineStr">
        <is>
          <t>29-04-2026</t>
        </is>
      </c>
      <c r="C83" s="3" t="inlineStr">
        <is>
          <t>Blau</t>
        </is>
      </c>
      <c r="D83" s="3" t="inlineStr">
        <is>
          <t>146561</t>
        </is>
      </c>
      <c r="E83" s="4" t="inlineStr">
        <is>
          <t>+ GRS Princess Crown</t>
        </is>
      </c>
      <c r="F83" s="4" t="inlineStr">
        <is>
          <t>Milagro</t>
        </is>
      </c>
      <c r="G83" s="4" t="inlineStr">
        <is>
          <t>COLOR Melocotón · ALTURA 40 cm · BOTÓN MINIMO 5.0 cm</t>
        </is>
      </c>
      <c r="H83" s="3" t="inlineStr"/>
      <c r="I83" s="3" t="n">
        <v>75</v>
      </c>
      <c r="J83" s="3" t="inlineStr">
        <is>
          <t>75 шт.</t>
        </is>
      </c>
      <c r="K83" s="4">
        <f>IMAGE("https://cdn.verdnatura.es/image/catalog/1600x900/146561")</f>
        <v/>
      </c>
      <c r="L83" s="5" t="n"/>
      <c r="M83" s="6" t="n"/>
      <c r="N83" s="7" t="n"/>
      <c r="O83" s="8" t="n">
        <v>0.9399999999999999</v>
      </c>
      <c r="P83" s="8" t="n">
        <v>70.5</v>
      </c>
    </row>
    <row r="84" ht="110" customHeight="1">
      <c r="A84" s="3" t="inlineStr">
        <is>
          <t>12717499</t>
        </is>
      </c>
      <c r="B84" s="3" t="inlineStr">
        <is>
          <t>29-04-2026</t>
        </is>
      </c>
      <c r="C84" s="3" t="inlineStr">
        <is>
          <t>Blau</t>
        </is>
      </c>
      <c r="D84" s="3" t="inlineStr">
        <is>
          <t>141788</t>
        </is>
      </c>
      <c r="E84" s="4" t="inlineStr">
        <is>
          <t>GRS Mariatheresia</t>
        </is>
      </c>
      <c r="F84" s="4" t="inlineStr">
        <is>
          <t>Alexandra</t>
        </is>
      </c>
      <c r="G84" s="4" t="inlineStr">
        <is>
          <t>COLOR Rosa · ALTURA 40 cm · BOTÓN MINIMO 3.0 cm</t>
        </is>
      </c>
      <c r="H84" s="3" t="inlineStr"/>
      <c r="I84" s="3" t="n">
        <v>36</v>
      </c>
      <c r="J84" s="3" t="inlineStr">
        <is>
          <t>36 шт.</t>
        </is>
      </c>
      <c r="K84" s="4">
        <f>IMAGE("https://cdn.verdnatura.es/image/catalog/1600x900/141788")</f>
        <v/>
      </c>
      <c r="L84" s="5" t="n"/>
      <c r="M84" s="6" t="n"/>
      <c r="N84" s="7" t="n"/>
      <c r="O84" s="8" t="n">
        <v>0.98</v>
      </c>
      <c r="P84" s="8" t="n">
        <v>35.28</v>
      </c>
    </row>
    <row r="85" ht="110" customHeight="1">
      <c r="A85" s="3" t="inlineStr">
        <is>
          <t>12717499</t>
        </is>
      </c>
      <c r="B85" s="3" t="inlineStr">
        <is>
          <t>29-04-2026</t>
        </is>
      </c>
      <c r="C85" s="3" t="inlineStr">
        <is>
          <t>Blau</t>
        </is>
      </c>
      <c r="D85" s="3" t="inlineStr">
        <is>
          <t>135246</t>
        </is>
      </c>
      <c r="E85" s="4" t="inlineStr">
        <is>
          <t>RS H3O</t>
        </is>
      </c>
      <c r="F85" s="4" t="inlineStr">
        <is>
          <t>Pride of Africa</t>
        </is>
      </c>
      <c r="G85" s="4" t="inlineStr">
        <is>
          <t>COLOR Fucsia · ALTURA 50 cm · BOTÓN MINIMO 3.5 cm</t>
        </is>
      </c>
      <c r="H85" s="3" t="inlineStr"/>
      <c r="I85" s="3" t="n">
        <v>50</v>
      </c>
      <c r="J85" s="3" t="inlineStr">
        <is>
          <t>50 шт.</t>
        </is>
      </c>
      <c r="K85" s="4">
        <f>IMAGE("https://cdn.verdnatura.es/image/catalog/1600x900/135246")</f>
        <v/>
      </c>
      <c r="L85" s="5" t="n"/>
      <c r="M85" s="6" t="n"/>
      <c r="N85" s="7" t="n"/>
      <c r="O85" s="8" t="n">
        <v>0.3</v>
      </c>
      <c r="P85" s="8" t="n">
        <v>15</v>
      </c>
    </row>
  </sheetData>
  <mergeCells count="9">
    <mergeCell ref="A51:P51"/>
    <mergeCell ref="A63:P63"/>
    <mergeCell ref="A80:P80"/>
    <mergeCell ref="A53:P53"/>
    <mergeCell ref="A78:P78"/>
    <mergeCell ref="A38:P38"/>
    <mergeCell ref="A82:P82"/>
    <mergeCell ref="A57:P5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2026-06-22T21:39:03Z</dcterms:created>
  <dcterms:modified xmlns:dcterms="http://purl.org/dc/terms/" xmlns:xsi="http://www.w3.org/2001/XMLSchema-instance" xsi:type="dcterms:W3CDTF">2026-06-22T21:39:03Z</dcterms:modified>
</cp:coreProperties>
</file>