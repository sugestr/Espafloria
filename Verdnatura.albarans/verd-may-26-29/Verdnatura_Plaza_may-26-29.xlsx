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#12840705  ·  25-05-2026  ·  Plaza  ·  1 позиций  ·  bultos: 1</t>
        </is>
      </c>
    </row>
    <row r="3" ht="110" customHeight="1">
      <c r="A3" s="3" t="inlineStr">
        <is>
          <t>12840705</t>
        </is>
      </c>
      <c r="B3" s="3" t="inlineStr">
        <is>
          <t>25-05-2026</t>
        </is>
      </c>
      <c r="C3" s="3" t="inlineStr">
        <is>
          <t>Plaza</t>
        </is>
      </c>
      <c r="D3" s="3" t="inlineStr">
        <is>
          <t>16141</t>
        </is>
      </c>
      <c r="E3" s="4" t="inlineStr">
        <is>
          <t>Kentia Howea</t>
        </is>
      </c>
      <c r="F3" s="4" t="inlineStr">
        <is>
          <t>Ornamentales Atlántico SL</t>
        </is>
      </c>
      <c r="G3" s="4" t="inlineStr">
        <is>
          <t>COLOR Verde · ALTURA 140-150 cm · MACETA 20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IMAGE("https://cdn.verdnatura.es/image/catalog/1600x900/16141")</f>
        <v/>
      </c>
      <c r="L3" s="5" t="n"/>
      <c r="M3" s="6" t="n"/>
      <c r="N3" s="7" t="n"/>
      <c r="O3" s="8" t="n">
        <v>26.63</v>
      </c>
      <c r="P3" s="8" t="n">
        <v>53.26</v>
      </c>
    </row>
    <row r="4" ht="26" customHeight="1">
      <c r="A4" s="2" t="inlineStr">
        <is>
          <t>📦  Накладная #12845407  ·  25-05-2026  ·  Plaza  ·  1 позиций  ·  bultos: 1</t>
        </is>
      </c>
    </row>
    <row r="5" ht="110" customHeight="1">
      <c r="A5" s="3" t="inlineStr">
        <is>
          <t>12845407</t>
        </is>
      </c>
      <c r="B5" s="3" t="inlineStr">
        <is>
          <t>25-05-2026</t>
        </is>
      </c>
      <c r="C5" s="3" t="inlineStr">
        <is>
          <t>Plaza</t>
        </is>
      </c>
      <c r="D5" s="3" t="inlineStr">
        <is>
          <t>160486</t>
        </is>
      </c>
      <c r="E5" s="4" t="inlineStr">
        <is>
          <t>DRAC Frag Massangeana 3T</t>
        </is>
      </c>
      <c r="F5" s="4" t="inlineStr">
        <is>
          <t>RF</t>
        </is>
      </c>
      <c r="G5" s="4" t="inlineStr">
        <is>
          <t>COLOR Verde/Amarillo · ALTURA 135 cm · MACETA 24</t>
        </is>
      </c>
      <c r="H5" s="3" t="inlineStr"/>
      <c r="I5" s="3" t="n">
        <v>1</v>
      </c>
      <c r="J5" s="3" t="inlineStr">
        <is>
          <t>1 шт.</t>
        </is>
      </c>
      <c r="K5" s="4">
        <f>IMAGE("https://cdn.verdnatura.es/image/catalog/1600x900/160486")</f>
        <v/>
      </c>
      <c r="L5" s="5" t="n"/>
      <c r="M5" s="6" t="n"/>
      <c r="N5" s="7" t="n"/>
      <c r="O5" s="8" t="n">
        <v>23.15</v>
      </c>
      <c r="P5" s="8" t="n">
        <v>23.15</v>
      </c>
    </row>
    <row r="6" ht="26" customHeight="1">
      <c r="A6" s="2" t="inlineStr">
        <is>
          <t>📦  Накладная #12858407  ·  25-05-2026  ·  Plaza  ·  28 позиций  ·  bultos: 4</t>
        </is>
      </c>
    </row>
    <row r="7" ht="110" customHeight="1">
      <c r="A7" s="3" t="inlineStr">
        <is>
          <t>12858407</t>
        </is>
      </c>
      <c r="B7" s="3" t="inlineStr">
        <is>
          <t>25-05-2026</t>
        </is>
      </c>
      <c r="C7" s="3" t="inlineStr">
        <is>
          <t>Plaza</t>
        </is>
      </c>
      <c r="D7" s="3" t="inlineStr">
        <is>
          <t>27909</t>
        </is>
      </c>
      <c r="E7" s="4" t="inlineStr">
        <is>
          <t>· Statice Arlequin</t>
        </is>
      </c>
      <c r="F7" s="4" t="inlineStr">
        <is>
          <t>Santa Dorotea</t>
        </is>
      </c>
      <c r="G7" s="4" t="inlineStr">
        <is>
          <t>COLOR Mixto · ALTURA 70 cm · PESO/TALLO 30 gr</t>
        </is>
      </c>
      <c r="H7" s="3" t="inlineStr"/>
      <c r="I7" s="3" t="n">
        <v>25</v>
      </c>
      <c r="J7" s="3" t="inlineStr">
        <is>
          <t>25 шт.</t>
        </is>
      </c>
      <c r="K7" s="4">
        <f>IMAGE("https://cdn.verdnatura.es/image/catalog/1600x900/27909")</f>
        <v/>
      </c>
      <c r="L7" s="5" t="n"/>
      <c r="M7" s="6" t="n"/>
      <c r="N7" s="7" t="n"/>
      <c r="O7" s="8" t="n">
        <v>0.31</v>
      </c>
      <c r="P7" s="8" t="n">
        <v>7.75</v>
      </c>
    </row>
    <row r="8" ht="110" customHeight="1">
      <c r="A8" s="3" t="inlineStr">
        <is>
          <t>12858407</t>
        </is>
      </c>
      <c r="B8" s="3" t="inlineStr">
        <is>
          <t>25-05-2026</t>
        </is>
      </c>
      <c r="C8" s="3" t="inlineStr">
        <is>
          <t>Plaza</t>
        </is>
      </c>
      <c r="D8" s="3" t="inlineStr">
        <is>
          <t>152508</t>
        </is>
      </c>
      <c r="E8" s="4" t="inlineStr">
        <is>
          <t>Campanula Medium Mix</t>
        </is>
      </c>
      <c r="F8" s="4" t="inlineStr"/>
      <c r="G8" s="4" t="inlineStr">
        <is>
          <t>COLOR Mixto · ALTURA 60 cm</t>
        </is>
      </c>
      <c r="H8" s="3" t="inlineStr"/>
      <c r="I8" s="3" t="n">
        <v>30</v>
      </c>
      <c r="J8" s="3" t="inlineStr">
        <is>
          <t>30 шт.</t>
        </is>
      </c>
      <c r="K8" s="4">
        <f>IMAGE("https://cdn.verdnatura.es/image/catalog/1600x900/152508")</f>
        <v/>
      </c>
      <c r="L8" s="5" t="n"/>
      <c r="M8" s="6" t="n"/>
      <c r="N8" s="7" t="n"/>
      <c r="O8" s="8" t="n">
        <v>0.79</v>
      </c>
      <c r="P8" s="8" t="n">
        <v>23.7</v>
      </c>
    </row>
    <row r="9" ht="110" customHeight="1">
      <c r="A9" s="3" t="inlineStr">
        <is>
          <t>12858407</t>
        </is>
      </c>
      <c r="B9" s="3" t="inlineStr">
        <is>
          <t>25-05-2026</t>
        </is>
      </c>
      <c r="C9" s="3" t="inlineStr">
        <is>
          <t>Plaza</t>
        </is>
      </c>
      <c r="D9" s="3" t="inlineStr">
        <is>
          <t>198749</t>
        </is>
      </c>
      <c r="E9" s="4" t="inlineStr">
        <is>
          <t>CR Altaj Galaxy</t>
        </is>
      </c>
      <c r="F9" s="4" t="inlineStr">
        <is>
          <t>Zentoo</t>
        </is>
      </c>
      <c r="G9" s="4" t="inlineStr">
        <is>
          <t>COLOR Purpura/Rosa · ALTURA 70 cm · PESO/TALLO 105 gr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IMAGE("https://cdn.verdnatura.es/image/catalog/1600x900/198749")</f>
        <v/>
      </c>
      <c r="L9" s="5" t="n"/>
      <c r="M9" s="6" t="n"/>
      <c r="N9" s="7" t="n"/>
      <c r="O9" s="8" t="n">
        <v>1.38</v>
      </c>
      <c r="P9" s="8" t="n">
        <v>27.6</v>
      </c>
    </row>
    <row r="10" ht="110" customHeight="1">
      <c r="A10" s="3" t="inlineStr">
        <is>
          <t>12858407</t>
        </is>
      </c>
      <c r="B10" s="3" t="inlineStr">
        <is>
          <t>25-05-2026</t>
        </is>
      </c>
      <c r="C10" s="3" t="inlineStr">
        <is>
          <t>Plaza</t>
        </is>
      </c>
      <c r="D10" s="3" t="inlineStr">
        <is>
          <t>198746</t>
        </is>
      </c>
      <c r="E10" s="4" t="inlineStr">
        <is>
          <t>CR Altaj Soft Pink</t>
        </is>
      </c>
      <c r="F10" s="4" t="inlineStr">
        <is>
          <t>Zentoo</t>
        </is>
      </c>
      <c r="G10" s="4" t="inlineStr">
        <is>
          <t>COLOR Rosa Claro · ALTURA 70 cm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IMAGE("https://cdn.verdnatura.es/image/catalog/1600x900/198746")</f>
        <v/>
      </c>
      <c r="L10" s="5" t="n"/>
      <c r="M10" s="6" t="n"/>
      <c r="N10" s="7" t="n"/>
      <c r="O10" s="8" t="n">
        <v>1.38</v>
      </c>
      <c r="P10" s="8" t="n">
        <v>27.6</v>
      </c>
    </row>
    <row r="11" ht="110" customHeight="1">
      <c r="A11" s="3" t="inlineStr">
        <is>
          <t>12858407</t>
        </is>
      </c>
      <c r="B11" s="3" t="inlineStr">
        <is>
          <t>25-05-2026</t>
        </is>
      </c>
      <c r="C11" s="3" t="inlineStr">
        <is>
          <t>Plaza</t>
        </is>
      </c>
      <c r="D11" s="3" t="inlineStr">
        <is>
          <t>165063</t>
        </is>
      </c>
      <c r="E11" s="4" t="inlineStr">
        <is>
          <t>CR Commander Pink</t>
        </is>
      </c>
      <c r="F11" s="4" t="inlineStr">
        <is>
          <t>Zentoo</t>
        </is>
      </c>
      <c r="G11" s="4" t="inlineStr">
        <is>
          <t>COLOR Rosa · ALTURA 70 cm · PESO/TALLO 75 gr</t>
        </is>
      </c>
      <c r="H11" s="3" t="inlineStr"/>
      <c r="I11" s="3" t="n">
        <v>20</v>
      </c>
      <c r="J11" s="3" t="inlineStr">
        <is>
          <t>20 шт.</t>
        </is>
      </c>
      <c r="K11" s="4">
        <f>IMAGE("https://cdn.verdnatura.es/image/catalog/1600x900/165063")</f>
        <v/>
      </c>
      <c r="L11" s="5" t="n"/>
      <c r="M11" s="6" t="n"/>
      <c r="N11" s="7" t="n"/>
      <c r="O11" s="8" t="n">
        <v>0.72</v>
      </c>
      <c r="P11" s="8" t="n">
        <v>14.4</v>
      </c>
    </row>
    <row r="12" ht="110" customHeight="1">
      <c r="A12" s="3" t="inlineStr">
        <is>
          <t>12858407</t>
        </is>
      </c>
      <c r="B12" s="3" t="inlineStr">
        <is>
          <t>25-05-2026</t>
        </is>
      </c>
      <c r="C12" s="3" t="inlineStr">
        <is>
          <t>Plaza</t>
        </is>
      </c>
      <c r="D12" s="3" t="inlineStr">
        <is>
          <t>153696</t>
        </is>
      </c>
      <c r="E12" s="4" t="inlineStr">
        <is>
          <t>CR SANT Mad Tyolo Mix</t>
        </is>
      </c>
      <c r="F12" s="4" t="inlineStr">
        <is>
          <t>Monnikenwaard</t>
        </is>
      </c>
      <c r="G12" s="4" t="inlineStr">
        <is>
          <t>COLOR Mixto · ALTURA 55 cm · PESO/PAQUETE 1100 gr</t>
        </is>
      </c>
      <c r="H12" s="3" t="inlineStr"/>
      <c r="I12" s="3" t="n">
        <v>25</v>
      </c>
      <c r="J12" s="3" t="inlineStr">
        <is>
          <t>25 шт.</t>
        </is>
      </c>
      <c r="K12" s="4">
        <f>IMAGE("https://cdn.verdnatura.es/image/catalog/1600x900/153696")</f>
        <v/>
      </c>
      <c r="L12" s="5" t="n"/>
      <c r="M12" s="6" t="n"/>
      <c r="N12" s="7" t="n"/>
      <c r="O12" s="8" t="n">
        <v>0.52</v>
      </c>
      <c r="P12" s="8" t="n">
        <v>13</v>
      </c>
    </row>
    <row r="13" ht="110" customHeight="1">
      <c r="A13" s="3" t="inlineStr">
        <is>
          <t>12858407</t>
        </is>
      </c>
      <c r="B13" s="3" t="inlineStr">
        <is>
          <t>25-05-2026</t>
        </is>
      </c>
      <c r="C13" s="3" t="inlineStr">
        <is>
          <t>Plaza</t>
        </is>
      </c>
      <c r="D13" s="3" t="inlineStr">
        <is>
          <t>201908</t>
        </is>
      </c>
      <c r="E13" s="4" t="inlineStr">
        <is>
          <t>CR SANT Mix Blush Pastel</t>
        </is>
      </c>
      <c r="F13" s="4" t="inlineStr">
        <is>
          <t>Zentoo</t>
        </is>
      </c>
      <c r="G13" s="4" t="inlineStr">
        <is>
          <t>COLOR Mixto · ALTURA 55 cm · PESO/PAQUETE 1100 gr</t>
        </is>
      </c>
      <c r="H13" s="3" t="inlineStr"/>
      <c r="I13" s="3" t="n">
        <v>25</v>
      </c>
      <c r="J13" s="3" t="inlineStr">
        <is>
          <t>25 шт.</t>
        </is>
      </c>
      <c r="K13" s="4">
        <f>IMAGE("https://cdn.verdnatura.es/image/catalog/1600x900/201908")</f>
        <v/>
      </c>
      <c r="L13" s="5" t="n"/>
      <c r="M13" s="6" t="n"/>
      <c r="N13" s="7" t="n"/>
      <c r="O13" s="8" t="n">
        <v>0.54</v>
      </c>
      <c r="P13" s="8" t="n">
        <v>13.5</v>
      </c>
    </row>
    <row r="14" ht="110" customHeight="1">
      <c r="A14" s="3" t="inlineStr">
        <is>
          <t>12858407</t>
        </is>
      </c>
      <c r="B14" s="3" t="inlineStr">
        <is>
          <t>25-05-2026</t>
        </is>
      </c>
      <c r="C14" s="3" t="inlineStr">
        <is>
          <t>Plaza</t>
        </is>
      </c>
      <c r="D14" s="3" t="inlineStr">
        <is>
          <t>203399</t>
        </is>
      </c>
      <c r="E14" s="4" t="inlineStr">
        <is>
          <t>Eryngium Magical Grand Lagoon</t>
        </is>
      </c>
      <c r="F14" s="4" t="inlineStr"/>
      <c r="G14" s="4" t="inlineStr">
        <is>
          <t>COLOR Azul · ALTURA 70 cm</t>
        </is>
      </c>
      <c r="H14" s="3" t="inlineStr"/>
      <c r="I14" s="3" t="n">
        <v>20</v>
      </c>
      <c r="J14" s="3" t="inlineStr">
        <is>
          <t>20 шт.</t>
        </is>
      </c>
      <c r="K14" s="4">
        <f>IMAGE("https://cdn.verdnatura.es/image/catalog/1600x900/203399")</f>
        <v/>
      </c>
      <c r="L14" s="5" t="n"/>
      <c r="M14" s="6" t="n"/>
      <c r="N14" s="7" t="n"/>
      <c r="O14" s="8" t="n">
        <v>0.37</v>
      </c>
      <c r="P14" s="8" t="n">
        <v>7.4</v>
      </c>
    </row>
    <row r="15" ht="110" customHeight="1">
      <c r="A15" s="3" t="inlineStr">
        <is>
          <t>12858407</t>
        </is>
      </c>
      <c r="B15" s="3" t="inlineStr">
        <is>
          <t>25-05-2026</t>
        </is>
      </c>
      <c r="C15" s="3" t="inlineStr">
        <is>
          <t>Plaza</t>
        </is>
      </c>
      <c r="D15" s="3" t="inlineStr">
        <is>
          <t>114770</t>
        </is>
      </c>
      <c r="E15" s="4" t="inlineStr">
        <is>
          <t>EUC Cinerea 300 gr</t>
        </is>
      </c>
      <c r="F15" s="4" t="inlineStr"/>
      <c r="G15" s="4" t="inlineStr">
        <is>
          <t>COLOR Lividum · ALTURA 70 cm</t>
        </is>
      </c>
      <c r="H15" s="3" t="inlineStr">
        <is>
          <t>Paquete</t>
        </is>
      </c>
      <c r="I15" s="3" t="n">
        <v>5</v>
      </c>
      <c r="J15" s="3" t="inlineStr">
        <is>
          <t>5 пачек</t>
        </is>
      </c>
      <c r="K15" s="4">
        <f>IMAGE("https://cdn.verdnatura.es/image/catalog/1600x900/114770")</f>
        <v/>
      </c>
      <c r="L15" s="5" t="n"/>
      <c r="M15" s="6" t="n"/>
      <c r="N15" s="7" t="n"/>
      <c r="O15" s="8" t="n">
        <v>3.7</v>
      </c>
      <c r="P15" s="8" t="n">
        <v>18.5</v>
      </c>
    </row>
    <row r="16" ht="110" customHeight="1">
      <c r="A16" s="3" t="inlineStr">
        <is>
          <t>12858407</t>
        </is>
      </c>
      <c r="B16" s="3" t="inlineStr">
        <is>
          <t>25-05-2026</t>
        </is>
      </c>
      <c r="C16" s="3" t="inlineStr">
        <is>
          <t>Plaza</t>
        </is>
      </c>
      <c r="D16" s="3" t="inlineStr">
        <is>
          <t>118793</t>
        </is>
      </c>
      <c r="E16" s="4" t="inlineStr">
        <is>
          <t>GE MI Surfer</t>
        </is>
      </c>
      <c r="F16" s="4" t="inlineStr">
        <is>
          <t>Van der Wilt Gerbera's</t>
        </is>
      </c>
      <c r="G16" s="4" t="inlineStr">
        <is>
          <t>COLOR Crema · ALTURA 50 cm · DIAMETRO 7 cm</t>
        </is>
      </c>
      <c r="H16" s="3" t="inlineStr"/>
      <c r="I16" s="3" t="n">
        <v>20</v>
      </c>
      <c r="J16" s="3" t="inlineStr">
        <is>
          <t>20 шт.</t>
        </is>
      </c>
      <c r="K16" s="4">
        <f>IMAGE("https://cdn.verdnatura.es/image/catalog/1600x900/118793")</f>
        <v/>
      </c>
      <c r="L16" s="5" t="n"/>
      <c r="M16" s="6" t="n"/>
      <c r="N16" s="7" t="n"/>
      <c r="O16" s="8" t="n">
        <v>0.24</v>
      </c>
      <c r="P16" s="8" t="n">
        <v>4.8</v>
      </c>
    </row>
    <row r="17" ht="110" customHeight="1">
      <c r="A17" s="3" t="inlineStr">
        <is>
          <t>12858407</t>
        </is>
      </c>
      <c r="B17" s="3" t="inlineStr">
        <is>
          <t>25-05-2026</t>
        </is>
      </c>
      <c r="C17" s="3" t="inlineStr">
        <is>
          <t>Plaza</t>
        </is>
      </c>
      <c r="D17" s="3" t="inlineStr">
        <is>
          <t>126765</t>
        </is>
      </c>
      <c r="E17" s="4" t="inlineStr">
        <is>
          <t>GE Nano Micro Isa</t>
        </is>
      </c>
      <c r="F17" s="4" t="inlineStr">
        <is>
          <t>Holstein Flowers</t>
        </is>
      </c>
      <c r="G17" s="4" t="inlineStr">
        <is>
          <t>COLOR Rosa · ALTURA 50 cm · DIAMETRO 4 cm</t>
        </is>
      </c>
      <c r="H17" s="3" t="inlineStr"/>
      <c r="I17" s="3" t="n">
        <v>20</v>
      </c>
      <c r="J17" s="3" t="inlineStr">
        <is>
          <t>20 шт.</t>
        </is>
      </c>
      <c r="K17" s="4">
        <f>IMAGE("https://cdn.verdnatura.es/image/catalog/1600x900/126765")</f>
        <v/>
      </c>
      <c r="L17" s="5" t="n"/>
      <c r="M17" s="6" t="n"/>
      <c r="N17" s="7" t="n"/>
      <c r="O17" s="8" t="n">
        <v>0.32</v>
      </c>
      <c r="P17" s="8" t="n">
        <v>6.4</v>
      </c>
    </row>
    <row r="18" ht="110" customHeight="1">
      <c r="A18" s="3" t="inlineStr">
        <is>
          <t>12858407</t>
        </is>
      </c>
      <c r="B18" s="3" t="inlineStr">
        <is>
          <t>25-05-2026</t>
        </is>
      </c>
      <c r="C18" s="3" t="inlineStr">
        <is>
          <t>Plaza</t>
        </is>
      </c>
      <c r="D18" s="3" t="inlineStr">
        <is>
          <t>119188</t>
        </is>
      </c>
      <c r="E18" s="4" t="inlineStr">
        <is>
          <t>GE Nano Micro Quick</t>
        </is>
      </c>
      <c r="F18" s="4" t="inlineStr">
        <is>
          <t>Holstein Flowers</t>
        </is>
      </c>
      <c r="G18" s="4" t="inlineStr">
        <is>
          <t>COLOR Salmón · ALTURA 50 cm · DIAMETRO 4 cm</t>
        </is>
      </c>
      <c r="H18" s="3" t="inlineStr"/>
      <c r="I18" s="3" t="n">
        <v>20</v>
      </c>
      <c r="J18" s="3" t="inlineStr">
        <is>
          <t>20 шт.</t>
        </is>
      </c>
      <c r="K18" s="4">
        <f>IMAGE("https://cdn.verdnatura.es/image/catalog/1600x900/119188")</f>
        <v/>
      </c>
      <c r="L18" s="5" t="n"/>
      <c r="M18" s="6" t="n"/>
      <c r="N18" s="7" t="n"/>
      <c r="O18" s="8" t="n">
        <v>0.26</v>
      </c>
      <c r="P18" s="8" t="n">
        <v>5.2</v>
      </c>
    </row>
    <row r="19" ht="110" customHeight="1">
      <c r="A19" s="3" t="inlineStr">
        <is>
          <t>12858407</t>
        </is>
      </c>
      <c r="B19" s="3" t="inlineStr">
        <is>
          <t>25-05-2026</t>
        </is>
      </c>
      <c r="C19" s="3" t="inlineStr">
        <is>
          <t>Plaza</t>
        </is>
      </c>
      <c r="D19" s="3" t="inlineStr">
        <is>
          <t>152304</t>
        </is>
      </c>
      <c r="E19" s="4" t="inlineStr">
        <is>
          <t>HYD Mag Linn</t>
        </is>
      </c>
      <c r="F19" s="4" t="inlineStr"/>
      <c r="G19" s="4" t="inlineStr">
        <is>
          <t>COLOR Rosa · ALTURA 60 cm · DIAMETRO 15 cm</t>
        </is>
      </c>
      <c r="H19" s="3" t="inlineStr"/>
      <c r="I19" s="3" t="n">
        <v>5</v>
      </c>
      <c r="J19" s="3" t="inlineStr">
        <is>
          <t>5 шт.</t>
        </is>
      </c>
      <c r="K19" s="4">
        <f>IMAGE("https://cdn.verdnatura.es/image/catalog/1600x900/152304")</f>
        <v/>
      </c>
      <c r="L19" s="5" t="n"/>
      <c r="M19" s="6" t="n"/>
      <c r="N19" s="7" t="n"/>
      <c r="O19" s="8" t="n">
        <v>4.44</v>
      </c>
      <c r="P19" s="8" t="n">
        <v>22.2</v>
      </c>
    </row>
    <row r="20" ht="110" customHeight="1">
      <c r="A20" s="3" t="inlineStr">
        <is>
          <t>12858407</t>
        </is>
      </c>
      <c r="B20" s="3" t="inlineStr">
        <is>
          <t>25-05-2026</t>
        </is>
      </c>
      <c r="C20" s="3" t="inlineStr">
        <is>
          <t>Plaza</t>
        </is>
      </c>
      <c r="D20" s="3" t="inlineStr">
        <is>
          <t>30693</t>
        </is>
      </c>
      <c r="E20" s="4" t="inlineStr">
        <is>
          <t>HYD My Beautiful Minerva</t>
        </is>
      </c>
      <c r="F20" s="4" t="inlineStr"/>
      <c r="G20" s="4" t="inlineStr">
        <is>
          <t>COLOR Lavanda · ALTURA 65 cm · DIAMETRO 20 cm</t>
        </is>
      </c>
      <c r="H20" s="3" t="inlineStr"/>
      <c r="I20" s="3" t="n">
        <v>10</v>
      </c>
      <c r="J20" s="3" t="inlineStr">
        <is>
          <t>10 шт.</t>
        </is>
      </c>
      <c r="K20" s="4">
        <f>IMAGE("https://cdn.verdnatura.es/image/catalog/1600x900/30693")</f>
        <v/>
      </c>
      <c r="L20" s="5" t="n"/>
      <c r="M20" s="6" t="n"/>
      <c r="N20" s="7" t="n"/>
      <c r="O20" s="8" t="n">
        <v>4.17</v>
      </c>
      <c r="P20" s="8" t="n">
        <v>41.7</v>
      </c>
    </row>
    <row r="21" ht="110" customHeight="1">
      <c r="A21" s="3" t="inlineStr">
        <is>
          <t>12858407</t>
        </is>
      </c>
      <c r="B21" s="3" t="inlineStr">
        <is>
          <t>25-05-2026</t>
        </is>
      </c>
      <c r="C21" s="3" t="inlineStr">
        <is>
          <t>Plaza</t>
        </is>
      </c>
      <c r="D21" s="3" t="inlineStr">
        <is>
          <t>26047</t>
        </is>
      </c>
      <c r="E21" s="4" t="inlineStr">
        <is>
          <t>HYD Verena</t>
        </is>
      </c>
      <c r="F21" s="4" t="inlineStr"/>
      <c r="G21" s="4" t="inlineStr">
        <is>
          <t>COLOR Rosa Claro · ALTURA 80 cm · DIAMETRO 19 cm</t>
        </is>
      </c>
      <c r="H21" s="3" t="inlineStr"/>
      <c r="I21" s="3" t="n">
        <v>10</v>
      </c>
      <c r="J21" s="3" t="inlineStr">
        <is>
          <t>10 шт.</t>
        </is>
      </c>
      <c r="K21" s="4">
        <f>IMAGE("https://cdn.verdnatura.es/image/catalog/1600x900/26047")</f>
        <v/>
      </c>
      <c r="L21" s="5" t="n"/>
      <c r="M21" s="6" t="n"/>
      <c r="N21" s="7" t="n"/>
      <c r="O21" s="8" t="n">
        <v>5.49</v>
      </c>
      <c r="P21" s="8" t="n">
        <v>54.9</v>
      </c>
    </row>
    <row r="22" ht="110" customHeight="1">
      <c r="A22" s="3" t="inlineStr">
        <is>
          <t>12858407</t>
        </is>
      </c>
      <c r="B22" s="3" t="inlineStr">
        <is>
          <t>25-05-2026</t>
        </is>
      </c>
      <c r="C22" s="3" t="inlineStr">
        <is>
          <t>Plaza</t>
        </is>
      </c>
      <c r="D22" s="3" t="inlineStr">
        <is>
          <t>201547</t>
        </is>
      </c>
      <c r="E22" s="4" t="inlineStr">
        <is>
          <t>LIM N SIN Joy Pink</t>
        </is>
      </c>
      <c r="F22" s="4" t="inlineStr">
        <is>
          <t>Group Leader</t>
        </is>
      </c>
      <c r="G22" s="4" t="inlineStr">
        <is>
          <t>COLOR Rosa · ALTURA 80 cm · PESO/TALLO 40 gr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IMAGE("https://cdn.verdnatura.es/image/catalog/1600x900/201547")</f>
        <v/>
      </c>
      <c r="L22" s="5" t="n"/>
      <c r="M22" s="6" t="n"/>
      <c r="N22" s="7" t="n"/>
      <c r="O22" s="8" t="n">
        <v>0.6899999999999999</v>
      </c>
      <c r="P22" s="8" t="n">
        <v>34.5</v>
      </c>
    </row>
    <row r="23" ht="110" customHeight="1">
      <c r="A23" s="3" t="inlineStr">
        <is>
          <t>12858407</t>
        </is>
      </c>
      <c r="B23" s="3" t="inlineStr">
        <is>
          <t>25-05-2026</t>
        </is>
      </c>
      <c r="C23" s="3" t="inlineStr">
        <is>
          <t>Plaza</t>
        </is>
      </c>
      <c r="D23" s="3" t="inlineStr">
        <is>
          <t>201546</t>
        </is>
      </c>
      <c r="E23" s="4" t="inlineStr">
        <is>
          <t>LIM N SIN Pineapple Diamond</t>
        </is>
      </c>
      <c r="F23" s="4" t="inlineStr">
        <is>
          <t>Group Leader</t>
        </is>
      </c>
      <c r="G23" s="4" t="inlineStr">
        <is>
          <t>COLOR Amarillo · ALTURA 80 cm · PESO/TALLO 40 gr</t>
        </is>
      </c>
      <c r="H23" s="3" t="inlineStr"/>
      <c r="I23" s="3" t="n">
        <v>25</v>
      </c>
      <c r="J23" s="3" t="inlineStr">
        <is>
          <t>25 шт.</t>
        </is>
      </c>
      <c r="K23" s="4">
        <f>IMAGE("https://cdn.verdnatura.es/image/catalog/1600x900/201546")</f>
        <v/>
      </c>
      <c r="L23" s="5" t="n"/>
      <c r="M23" s="6" t="n"/>
      <c r="N23" s="7" t="n"/>
      <c r="O23" s="8" t="n">
        <v>0.6899999999999999</v>
      </c>
      <c r="P23" s="8" t="n">
        <v>17.25</v>
      </c>
    </row>
    <row r="24" ht="110" customHeight="1">
      <c r="A24" s="3" t="inlineStr">
        <is>
          <t>12858407</t>
        </is>
      </c>
      <c r="B24" s="3" t="inlineStr">
        <is>
          <t>25-05-2026</t>
        </is>
      </c>
      <c r="C24" s="3" t="inlineStr">
        <is>
          <t>Plaza</t>
        </is>
      </c>
      <c r="D24" s="3" t="inlineStr">
        <is>
          <t>203899</t>
        </is>
      </c>
      <c r="E24" s="4" t="inlineStr">
        <is>
          <t>LIM N SIN Scarlet Diamond</t>
        </is>
      </c>
      <c r="F24" s="4" t="inlineStr">
        <is>
          <t>Group Leader</t>
        </is>
      </c>
      <c r="G24" s="4" t="inlineStr">
        <is>
          <t>COLOR Rojo · ALTURA 80 cm · PESO/TALLO 40 gr</t>
        </is>
      </c>
      <c r="H24" s="3" t="inlineStr"/>
      <c r="I24" s="3" t="n">
        <v>25</v>
      </c>
      <c r="J24" s="3" t="inlineStr">
        <is>
          <t>25 шт.</t>
        </is>
      </c>
      <c r="K24" s="4">
        <f>IMAGE("https://cdn.verdnatura.es/image/catalog/1600x900/203899")</f>
        <v/>
      </c>
      <c r="L24" s="5" t="n"/>
      <c r="M24" s="6" t="n"/>
      <c r="N24" s="7" t="n"/>
      <c r="O24" s="8" t="n">
        <v>0.6899999999999999</v>
      </c>
      <c r="P24" s="8" t="n">
        <v>17.25</v>
      </c>
    </row>
    <row r="25" ht="110" customHeight="1">
      <c r="A25" s="3" t="inlineStr">
        <is>
          <t>12858407</t>
        </is>
      </c>
      <c r="B25" s="3" t="inlineStr">
        <is>
          <t>25-05-2026</t>
        </is>
      </c>
      <c r="C25" s="3" t="inlineStr">
        <is>
          <t>Plaza</t>
        </is>
      </c>
      <c r="D25" s="3" t="inlineStr">
        <is>
          <t>179136</t>
        </is>
      </c>
      <c r="E25" s="4" t="inlineStr">
        <is>
          <t>Peonia Gardenia</t>
        </is>
      </c>
      <c r="F25" s="4" t="inlineStr">
        <is>
          <t>Dominique</t>
        </is>
      </c>
      <c r="G25" s="4" t="inlineStr">
        <is>
          <t>COLOR Blanco/Rosa · ALTURA 60 cm · APERTURA 2-3</t>
        </is>
      </c>
      <c r="H25" s="3" t="inlineStr"/>
      <c r="I25" s="3" t="n">
        <v>40</v>
      </c>
      <c r="J25" s="3" t="inlineStr">
        <is>
          <t>40 шт.</t>
        </is>
      </c>
      <c r="K25" s="4">
        <f>IMAGE("https://cdn.verdnatura.es/image/catalog/1600x900/179136")</f>
        <v/>
      </c>
      <c r="L25" s="5" t="n"/>
      <c r="M25" s="6" t="n"/>
      <c r="N25" s="7" t="n"/>
      <c r="O25" s="8" t="n">
        <v>1.36</v>
      </c>
      <c r="P25" s="8" t="n">
        <v>54.4</v>
      </c>
    </row>
    <row r="26" ht="110" customHeight="1">
      <c r="A26" s="3" t="inlineStr">
        <is>
          <t>12858407</t>
        </is>
      </c>
      <c r="B26" s="3" t="inlineStr">
        <is>
          <t>25-05-2026</t>
        </is>
      </c>
      <c r="C26" s="3" t="inlineStr">
        <is>
          <t>Plaza</t>
        </is>
      </c>
      <c r="D26" s="3" t="inlineStr">
        <is>
          <t>149</t>
        </is>
      </c>
      <c r="E26" s="4" t="inlineStr">
        <is>
          <t>PITT Nigra 150 gr</t>
        </is>
      </c>
      <c r="F26" s="4" t="inlineStr"/>
      <c r="G26" s="4" t="inlineStr">
        <is>
          <t>COLOR Matizado · ALTURA 50 cm</t>
        </is>
      </c>
      <c r="H26" s="3" t="inlineStr">
        <is>
          <t>Paquete</t>
        </is>
      </c>
      <c r="I26" s="3" t="n">
        <v>5</v>
      </c>
      <c r="J26" s="3" t="inlineStr">
        <is>
          <t>5 пачек</t>
        </is>
      </c>
      <c r="K26" s="4">
        <f>IMAGE("https://cdn.verdnatura.es/image/catalog/1600x900/149")</f>
        <v/>
      </c>
      <c r="L26" s="5" t="n"/>
      <c r="M26" s="6" t="n"/>
      <c r="N26" s="7" t="n"/>
      <c r="O26" s="8" t="n">
        <v>2.4</v>
      </c>
      <c r="P26" s="8" t="n">
        <v>12</v>
      </c>
    </row>
    <row r="27" ht="110" customHeight="1">
      <c r="A27" s="3" t="inlineStr">
        <is>
          <t>12858407</t>
        </is>
      </c>
      <c r="B27" s="3" t="inlineStr">
        <is>
          <t>25-05-2026</t>
        </is>
      </c>
      <c r="C27" s="3" t="inlineStr">
        <is>
          <t>Plaza</t>
        </is>
      </c>
      <c r="D27" s="3" t="inlineStr">
        <is>
          <t>150901</t>
        </is>
      </c>
      <c r="E27" s="4" t="inlineStr">
        <is>
          <t>RANUN Aazur Orange</t>
        </is>
      </c>
      <c r="F27" s="4" t="inlineStr"/>
      <c r="G27" s="4" t="inlineStr">
        <is>
          <t>COLOR Amarillo/Naranja · ALTURA 40 cm</t>
        </is>
      </c>
      <c r="H27" s="3" t="inlineStr"/>
      <c r="I27" s="3" t="n">
        <v>30</v>
      </c>
      <c r="J27" s="3" t="inlineStr">
        <is>
          <t>30 шт.</t>
        </is>
      </c>
      <c r="K27" s="4">
        <f>IMAGE("https://cdn.verdnatura.es/image/catalog/1600x900/150901")</f>
        <v/>
      </c>
      <c r="L27" s="5" t="n"/>
      <c r="M27" s="6" t="n"/>
      <c r="N27" s="7" t="n"/>
      <c r="O27" s="8" t="n">
        <v>0.5600000000000001</v>
      </c>
      <c r="P27" s="8" t="n">
        <v>16.8</v>
      </c>
    </row>
    <row r="28" ht="110" customHeight="1">
      <c r="A28" s="3" t="inlineStr">
        <is>
          <t>12858407</t>
        </is>
      </c>
      <c r="B28" s="3" t="inlineStr">
        <is>
          <t>25-05-2026</t>
        </is>
      </c>
      <c r="C28" s="3" t="inlineStr">
        <is>
          <t>Plaza</t>
        </is>
      </c>
      <c r="D28" s="3" t="inlineStr">
        <is>
          <t>188826</t>
        </is>
      </c>
      <c r="E28" s="4" t="inlineStr">
        <is>
          <t>RS Boogy</t>
        </is>
      </c>
      <c r="F28" s="4" t="inlineStr">
        <is>
          <t>Pride of Africa</t>
        </is>
      </c>
      <c r="G28" s="4" t="inlineStr">
        <is>
          <t>COLOR Fucsia · ALTURA 40 cm · BOTÓN MINIMO 3.5 cm</t>
        </is>
      </c>
      <c r="H28" s="3" t="inlineStr"/>
      <c r="I28" s="3" t="n">
        <v>30</v>
      </c>
      <c r="J28" s="3" t="inlineStr">
        <is>
          <t>30 шт.</t>
        </is>
      </c>
      <c r="K28" s="4">
        <f>IMAGE("https://cdn.verdnatura.es/image/catalog/1600x900/188826")</f>
        <v/>
      </c>
      <c r="L28" s="5" t="n"/>
      <c r="M28" s="6" t="n"/>
      <c r="N28" s="7" t="n"/>
      <c r="O28" s="8" t="n">
        <v>0.2</v>
      </c>
      <c r="P28" s="8" t="n">
        <v>6</v>
      </c>
    </row>
    <row r="29" ht="110" customHeight="1">
      <c r="A29" s="3" t="inlineStr">
        <is>
          <t>12858407</t>
        </is>
      </c>
      <c r="B29" s="3" t="inlineStr">
        <is>
          <t>25-05-2026</t>
        </is>
      </c>
      <c r="C29" s="3" t="inlineStr">
        <is>
          <t>Plaza</t>
        </is>
      </c>
      <c r="D29" s="3" t="inlineStr">
        <is>
          <t>152503</t>
        </is>
      </c>
      <c r="E29" s="4" t="inlineStr">
        <is>
          <t>RS Rainbow</t>
        </is>
      </c>
      <c r="F29" s="4" t="inlineStr">
        <is>
          <t>Tinaw Flower</t>
        </is>
      </c>
      <c r="G29" s="4" t="inlineStr">
        <is>
          <t>COLOR Mixto · ALTURA 35 cm · BOTON MINIMO 3.5 cm</t>
        </is>
      </c>
      <c r="H29" s="3" t="inlineStr"/>
      <c r="I29" s="3" t="n">
        <v>60</v>
      </c>
      <c r="J29" s="3" t="inlineStr">
        <is>
          <t>60 шт.</t>
        </is>
      </c>
      <c r="K29" s="4">
        <f>IMAGE("https://cdn.verdnatura.es/image/catalog/1600x900/152503")</f>
        <v/>
      </c>
      <c r="L29" s="5" t="n"/>
      <c r="M29" s="6" t="n"/>
      <c r="N29" s="7" t="n"/>
      <c r="O29" s="8" t="n">
        <v>0.16</v>
      </c>
      <c r="P29" s="8" t="n">
        <v>9.6</v>
      </c>
    </row>
    <row r="30" ht="110" customHeight="1">
      <c r="A30" s="3" t="inlineStr">
        <is>
          <t>12858407</t>
        </is>
      </c>
      <c r="B30" s="3" t="inlineStr">
        <is>
          <t>25-05-2026</t>
        </is>
      </c>
      <c r="C30" s="3" t="inlineStr">
        <is>
          <t>Plaza</t>
        </is>
      </c>
      <c r="D30" s="3" t="inlineStr">
        <is>
          <t>73611</t>
        </is>
      </c>
      <c r="E30" s="4" t="inlineStr">
        <is>
          <t>Skimmia J Rubella</t>
        </is>
      </c>
      <c r="F30" s="4" t="inlineStr"/>
      <c r="G30" s="4" t="inlineStr">
        <is>
          <t>COLOR Granate · ALTURA 45 cm</t>
        </is>
      </c>
      <c r="H30" s="3" t="inlineStr">
        <is>
          <t>Paquete</t>
        </is>
      </c>
      <c r="I30" s="3" t="n">
        <v>10</v>
      </c>
      <c r="J30" s="3" t="inlineStr">
        <is>
          <t>10 пачек</t>
        </is>
      </c>
      <c r="K30" s="4">
        <f>IMAGE("https://cdn.verdnatura.es/image/catalog/1600x900/73611")</f>
        <v/>
      </c>
      <c r="L30" s="5" t="n"/>
      <c r="M30" s="6" t="n"/>
      <c r="N30" s="7" t="n"/>
      <c r="O30" s="8" t="n">
        <v>5.56</v>
      </c>
      <c r="P30" s="8" t="n">
        <v>55.6</v>
      </c>
    </row>
    <row r="31" ht="110" customHeight="1">
      <c r="A31" s="3" t="inlineStr">
        <is>
          <t>12858407</t>
        </is>
      </c>
      <c r="B31" s="3" t="inlineStr">
        <is>
          <t>25-05-2026</t>
        </is>
      </c>
      <c r="C31" s="3" t="inlineStr">
        <is>
          <t>Plaza</t>
        </is>
      </c>
      <c r="D31" s="3" t="inlineStr">
        <is>
          <t>38839</t>
        </is>
      </c>
      <c r="E31" s="4" t="inlineStr">
        <is>
          <t>TUL Columbus Double</t>
        </is>
      </c>
      <c r="F31" s="4" t="inlineStr"/>
      <c r="G31" s="4" t="inlineStr">
        <is>
          <t>COLOR Rosa · ALTURA 42 cm · PESO/TALLO 32 gr</t>
        </is>
      </c>
      <c r="H31" s="3" t="inlineStr"/>
      <c r="I31" s="3" t="n">
        <v>50</v>
      </c>
      <c r="J31" s="3" t="inlineStr">
        <is>
          <t>50 шт.</t>
        </is>
      </c>
      <c r="K31" s="4">
        <f>IMAGE("https://cdn.verdnatura.es/image/catalog/1600x900/38839")</f>
        <v/>
      </c>
      <c r="L31" s="5" t="n"/>
      <c r="M31" s="6" t="n"/>
      <c r="N31" s="7" t="n"/>
      <c r="O31" s="8" t="n">
        <v>0.45</v>
      </c>
      <c r="P31" s="8" t="n">
        <v>22.5</v>
      </c>
    </row>
    <row r="32" ht="110" customHeight="1">
      <c r="A32" s="3" t="inlineStr">
        <is>
          <t>12858407</t>
        </is>
      </c>
      <c r="B32" s="3" t="inlineStr">
        <is>
          <t>25-05-2026</t>
        </is>
      </c>
      <c r="C32" s="3" t="inlineStr">
        <is>
          <t>Plaza</t>
        </is>
      </c>
      <c r="D32" s="3" t="inlineStr">
        <is>
          <t>16148</t>
        </is>
      </c>
      <c r="E32" s="4" t="inlineStr">
        <is>
          <t>TUL Icoon Double</t>
        </is>
      </c>
      <c r="F32" s="4" t="inlineStr"/>
      <c r="G32" s="4" t="inlineStr">
        <is>
          <t>COLOR Naranja · ALTURA 36 cm · PESO/TALLO 31 gr</t>
        </is>
      </c>
      <c r="H32" s="3" t="inlineStr"/>
      <c r="I32" s="3" t="n">
        <v>50</v>
      </c>
      <c r="J32" s="3" t="inlineStr">
        <is>
          <t>50 шт.</t>
        </is>
      </c>
      <c r="K32" s="4">
        <f>IMAGE("https://cdn.verdnatura.es/image/catalog/1600x900/16148")</f>
        <v/>
      </c>
      <c r="L32" s="5" t="n"/>
      <c r="M32" s="6" t="n"/>
      <c r="N32" s="7" t="n"/>
      <c r="O32" s="8" t="n">
        <v>0.29</v>
      </c>
      <c r="P32" s="8" t="n">
        <v>14.5</v>
      </c>
    </row>
    <row r="33" ht="110" customHeight="1">
      <c r="A33" s="3" t="inlineStr">
        <is>
          <t>12858407</t>
        </is>
      </c>
      <c r="B33" s="3" t="inlineStr">
        <is>
          <t>25-05-2026</t>
        </is>
      </c>
      <c r="C33" s="3" t="inlineStr">
        <is>
          <t>Plaza</t>
        </is>
      </c>
      <c r="D33" s="3" t="inlineStr">
        <is>
          <t>131458</t>
        </is>
      </c>
      <c r="E33" s="4" t="inlineStr">
        <is>
          <t>TUL Mark Design</t>
        </is>
      </c>
      <c r="F33" s="4" t="inlineStr"/>
      <c r="G33" s="4" t="inlineStr">
        <is>
          <t>COLOR Rosa · ALTURA 36 cm · PESO/TALLO 24 gr</t>
        </is>
      </c>
      <c r="H33" s="3" t="inlineStr"/>
      <c r="I33" s="3" t="n">
        <v>100</v>
      </c>
      <c r="J33" s="3" t="inlineStr">
        <is>
          <t>100 шт.</t>
        </is>
      </c>
      <c r="K33" s="4">
        <f>IMAGE("https://cdn.verdnatura.es/image/catalog/1600x900/131458")</f>
        <v/>
      </c>
      <c r="L33" s="5" t="n"/>
      <c r="M33" s="6" t="n"/>
      <c r="N33" s="7" t="n"/>
      <c r="O33" s="8" t="n">
        <v>0.26</v>
      </c>
      <c r="P33" s="8" t="n">
        <v>26</v>
      </c>
    </row>
    <row r="34" ht="110" customHeight="1">
      <c r="A34" s="3" t="inlineStr">
        <is>
          <t>12858407</t>
        </is>
      </c>
      <c r="B34" s="3" t="inlineStr">
        <is>
          <t>25-05-2026</t>
        </is>
      </c>
      <c r="C34" s="3" t="inlineStr">
        <is>
          <t>Plaza</t>
        </is>
      </c>
      <c r="D34" s="3" t="inlineStr">
        <is>
          <t>17598</t>
        </is>
      </c>
      <c r="E34" s="4" t="inlineStr">
        <is>
          <t>Viburn Tinus Marfull</t>
        </is>
      </c>
      <c r="F34" s="4" t="inlineStr"/>
      <c r="G34" s="4" t="inlineStr">
        <is>
          <t>COLOR Verde · ALTURA 70 cm</t>
        </is>
      </c>
      <c r="H34" s="3" t="inlineStr">
        <is>
          <t>Paquete</t>
        </is>
      </c>
      <c r="I34" s="3" t="n">
        <v>5</v>
      </c>
      <c r="J34" s="3" t="inlineStr">
        <is>
          <t>5 пачек</t>
        </is>
      </c>
      <c r="K34" s="4">
        <f>IMAGE("https://cdn.verdnatura.es/image/catalog/1600x900/17598")</f>
        <v/>
      </c>
      <c r="L34" s="5" t="n"/>
      <c r="M34" s="6" t="n"/>
      <c r="N34" s="7" t="n"/>
      <c r="O34" s="8" t="n">
        <v>2.84</v>
      </c>
      <c r="P34" s="8" t="n">
        <v>14.2</v>
      </c>
    </row>
    <row r="35" ht="26" customHeight="1">
      <c r="A35" s="2" t="inlineStr">
        <is>
          <t>📦  Накладная #12858419  ·  25-05-2026  ·  Plaza  ·  54 позиций  ·  bultos: 7</t>
        </is>
      </c>
    </row>
    <row r="36" ht="110" customHeight="1">
      <c r="A36" s="3" t="inlineStr">
        <is>
          <t>12858419</t>
        </is>
      </c>
      <c r="B36" s="3" t="inlineStr">
        <is>
          <t>25-05-2026</t>
        </is>
      </c>
      <c r="C36" s="3" t="inlineStr">
        <is>
          <t>Plaza</t>
        </is>
      </c>
      <c r="D36" s="3" t="inlineStr">
        <is>
          <t>27909</t>
        </is>
      </c>
      <c r="E36" s="4" t="inlineStr">
        <is>
          <t>· Statice Arlequin</t>
        </is>
      </c>
      <c r="F36" s="4" t="inlineStr">
        <is>
          <t>Santa Dorotea</t>
        </is>
      </c>
      <c r="G36" s="4" t="inlineStr">
        <is>
          <t>COLOR Mixto · ALTURA 70 cm · PESO/TALLO 30 gr</t>
        </is>
      </c>
      <c r="H36" s="3" t="inlineStr"/>
      <c r="I36" s="3" t="n">
        <v>25</v>
      </c>
      <c r="J36" s="3" t="inlineStr">
        <is>
          <t>25 шт.</t>
        </is>
      </c>
      <c r="K36" s="4">
        <f>IMAGE("https://cdn.verdnatura.es/image/catalog/1600x900/27909")</f>
        <v/>
      </c>
      <c r="L36" s="5" t="n"/>
      <c r="M36" s="6" t="n"/>
      <c r="N36" s="7" t="n"/>
      <c r="O36" s="8" t="n">
        <v>0.31</v>
      </c>
      <c r="P36" s="8" t="n">
        <v>7.75</v>
      </c>
    </row>
    <row r="37" ht="110" customHeight="1">
      <c r="A37" s="3" t="inlineStr">
        <is>
          <t>12858419</t>
        </is>
      </c>
      <c r="B37" s="3" t="inlineStr">
        <is>
          <t>25-05-2026</t>
        </is>
      </c>
      <c r="C37" s="3" t="inlineStr">
        <is>
          <t>Plaza</t>
        </is>
      </c>
      <c r="D37" s="3" t="inlineStr">
        <is>
          <t>142143</t>
        </is>
      </c>
      <c r="E37" s="4" t="inlineStr">
        <is>
          <t>+ GE MI Dixon</t>
        </is>
      </c>
      <c r="F37" s="4" t="inlineStr">
        <is>
          <t>Topline Gerbera</t>
        </is>
      </c>
      <c r="G37" s="4" t="inlineStr">
        <is>
          <t>COLOR Rosa · ALTURA 50 cm · DIÁMETRO 7 cm</t>
        </is>
      </c>
      <c r="H37" s="3" t="inlineStr"/>
      <c r="I37" s="3" t="n">
        <v>40</v>
      </c>
      <c r="J37" s="3" t="inlineStr">
        <is>
          <t>40 шт.</t>
        </is>
      </c>
      <c r="K37" s="4">
        <f>IMAGE("https://cdn.verdnatura.es/image/catalog/1600x900/142143")</f>
        <v/>
      </c>
      <c r="L37" s="5" t="n"/>
      <c r="M37" s="6" t="n"/>
      <c r="N37" s="7" t="n"/>
      <c r="O37" s="8" t="n">
        <v>0.27</v>
      </c>
      <c r="P37" s="8" t="n">
        <v>10.8</v>
      </c>
    </row>
    <row r="38" ht="110" customHeight="1">
      <c r="A38" s="3" t="inlineStr">
        <is>
          <t>12858419</t>
        </is>
      </c>
      <c r="B38" s="3" t="inlineStr">
        <is>
          <t>25-05-2026</t>
        </is>
      </c>
      <c r="C38" s="3" t="inlineStr">
        <is>
          <t>Plaza</t>
        </is>
      </c>
      <c r="D38" s="3" t="inlineStr">
        <is>
          <t>178504</t>
        </is>
      </c>
      <c r="E38" s="4" t="inlineStr">
        <is>
          <t>Alchemilla Robustica</t>
        </is>
      </c>
      <c r="F38" s="4" t="inlineStr">
        <is>
          <t>RCQ de Groot-Nw'hout</t>
        </is>
      </c>
      <c r="G38" s="4" t="inlineStr">
        <is>
          <t>COLOR Amarillo · ALTURA 60 cm</t>
        </is>
      </c>
      <c r="H38" s="3" t="inlineStr">
        <is>
          <t>Tallo</t>
        </is>
      </c>
      <c r="I38" s="3" t="n">
        <v>50</v>
      </c>
      <c r="J38" s="3" t="inlineStr">
        <is>
          <t>50 стеблей</t>
        </is>
      </c>
      <c r="K38" s="4">
        <f>IMAGE("https://cdn.verdnatura.es/image/catalog/1600x900/178504")</f>
        <v/>
      </c>
      <c r="L38" s="5" t="n"/>
      <c r="M38" s="6" t="n"/>
      <c r="N38" s="7" t="n"/>
      <c r="O38" s="8" t="n">
        <v>0.32</v>
      </c>
      <c r="P38" s="8" t="n">
        <v>16</v>
      </c>
    </row>
    <row r="39" ht="110" customHeight="1">
      <c r="A39" s="3" t="inlineStr">
        <is>
          <t>12858419</t>
        </is>
      </c>
      <c r="B39" s="3" t="inlineStr">
        <is>
          <t>25-05-2026</t>
        </is>
      </c>
      <c r="C39" s="3" t="inlineStr">
        <is>
          <t>Plaza</t>
        </is>
      </c>
      <c r="D39" s="3" t="inlineStr">
        <is>
          <t>62406</t>
        </is>
      </c>
      <c r="E39" s="4" t="inlineStr">
        <is>
          <t>Alheli Mathilda Lavender</t>
        </is>
      </c>
      <c r="F39" s="4" t="inlineStr"/>
      <c r="G39" s="4" t="inlineStr">
        <is>
          <t>COLOR Lavanda · ALTURA 60 cm</t>
        </is>
      </c>
      <c r="H39" s="3" t="inlineStr"/>
      <c r="I39" s="3" t="n">
        <v>30</v>
      </c>
      <c r="J39" s="3" t="inlineStr">
        <is>
          <t>30 шт.</t>
        </is>
      </c>
      <c r="K39" s="4">
        <f>IMAGE("https://cdn.verdnatura.es/image/catalog/1600x900/62406")</f>
        <v/>
      </c>
      <c r="L39" s="5" t="n"/>
      <c r="M39" s="6" t="n"/>
      <c r="N39" s="7" t="n"/>
      <c r="O39" s="8" t="n">
        <v>0.82</v>
      </c>
      <c r="P39" s="8" t="n">
        <v>24.6</v>
      </c>
    </row>
    <row r="40" ht="110" customHeight="1">
      <c r="A40" s="3" t="inlineStr">
        <is>
          <t>12858419</t>
        </is>
      </c>
      <c r="B40" s="3" t="inlineStr">
        <is>
          <t>25-05-2026</t>
        </is>
      </c>
      <c r="C40" s="3" t="inlineStr">
        <is>
          <t>Plaza</t>
        </is>
      </c>
      <c r="D40" s="3" t="inlineStr">
        <is>
          <t>203644</t>
        </is>
      </c>
      <c r="E40" s="4" t="inlineStr">
        <is>
          <t>Allium Chicago</t>
        </is>
      </c>
      <c r="F40" s="4" t="inlineStr"/>
      <c r="G40" s="4" t="inlineStr">
        <is>
          <t>COLOR Morado · ALTURA 60 cm</t>
        </is>
      </c>
      <c r="H40" s="3" t="inlineStr"/>
      <c r="I40" s="3" t="n">
        <v>20</v>
      </c>
      <c r="J40" s="3" t="inlineStr">
        <is>
          <t>20 шт.</t>
        </is>
      </c>
      <c r="K40" s="4">
        <f>IMAGE("https://cdn.verdnatura.es/image/catalog/1600x900/203644")</f>
        <v/>
      </c>
      <c r="L40" s="5" t="n"/>
      <c r="M40" s="6" t="n"/>
      <c r="N40" s="7" t="n"/>
      <c r="O40" s="8" t="n">
        <v>0.44</v>
      </c>
      <c r="P40" s="8" t="n">
        <v>8.800000000000001</v>
      </c>
    </row>
    <row r="41" ht="110" customHeight="1">
      <c r="A41" s="3" t="inlineStr">
        <is>
          <t>12858419</t>
        </is>
      </c>
      <c r="B41" s="3" t="inlineStr">
        <is>
          <t>25-05-2026</t>
        </is>
      </c>
      <c r="C41" s="3" t="inlineStr">
        <is>
          <t>Plaza</t>
        </is>
      </c>
      <c r="D41" s="3" t="inlineStr">
        <is>
          <t>156527</t>
        </is>
      </c>
      <c r="E41" s="4" t="inlineStr">
        <is>
          <t>Allium Sphaerocephalon</t>
        </is>
      </c>
      <c r="F41" s="4" t="inlineStr"/>
      <c r="G41" s="4" t="inlineStr">
        <is>
          <t>COLOR Morado · ALTURA 60 cm</t>
        </is>
      </c>
      <c r="H41" s="3" t="inlineStr"/>
      <c r="I41" s="3" t="n">
        <v>30</v>
      </c>
      <c r="J41" s="3" t="inlineStr">
        <is>
          <t>30 шт.</t>
        </is>
      </c>
      <c r="K41" s="4">
        <f>IMAGE("https://cdn.verdnatura.es/image/catalog/1600x900/156527")</f>
        <v/>
      </c>
      <c r="L41" s="5" t="n"/>
      <c r="M41" s="6" t="n"/>
      <c r="N41" s="7" t="n"/>
      <c r="O41" s="8" t="n">
        <v>0.26</v>
      </c>
      <c r="P41" s="8" t="n">
        <v>7.8</v>
      </c>
    </row>
    <row r="42" ht="110" customHeight="1">
      <c r="A42" s="3" t="inlineStr">
        <is>
          <t>12858419</t>
        </is>
      </c>
      <c r="B42" s="3" t="inlineStr">
        <is>
          <t>25-05-2026</t>
        </is>
      </c>
      <c r="C42" s="3" t="inlineStr">
        <is>
          <t>Plaza</t>
        </is>
      </c>
      <c r="D42" s="3" t="inlineStr">
        <is>
          <t>167715</t>
        </is>
      </c>
      <c r="E42" s="4" t="inlineStr">
        <is>
          <t>ANT Fantasia x20</t>
        </is>
      </c>
      <c r="F42" s="4" t="inlineStr"/>
      <c r="G42" s="4" t="inlineStr">
        <is>
          <t>COLOR Blanco/Rosa · ALTURA 35-45 cm · DIAMETRO 8-10 cm</t>
        </is>
      </c>
      <c r="H42" s="3" t="inlineStr"/>
      <c r="I42" s="3" t="n">
        <v>20</v>
      </c>
      <c r="J42" s="3" t="inlineStr">
        <is>
          <t>20 шт.</t>
        </is>
      </c>
      <c r="K42" s="4">
        <f>IMAGE("https://cdn.verdnatura.es/image/catalog/1600x900/167715")</f>
        <v/>
      </c>
      <c r="L42" s="5" t="n"/>
      <c r="M42" s="6" t="n"/>
      <c r="N42" s="7" t="n"/>
      <c r="O42" s="8" t="n">
        <v>1.17</v>
      </c>
      <c r="P42" s="8" t="n">
        <v>23.4</v>
      </c>
    </row>
    <row r="43" ht="110" customHeight="1">
      <c r="A43" s="3" t="inlineStr">
        <is>
          <t>12858419</t>
        </is>
      </c>
      <c r="B43" s="3" t="inlineStr">
        <is>
          <t>25-05-2026</t>
        </is>
      </c>
      <c r="C43" s="3" t="inlineStr">
        <is>
          <t>Plaza</t>
        </is>
      </c>
      <c r="D43" s="3" t="inlineStr">
        <is>
          <t>149329</t>
        </is>
      </c>
      <c r="E43" s="4" t="inlineStr">
        <is>
          <t>ANT Midori x12</t>
        </is>
      </c>
      <c r="F43" s="4" t="inlineStr"/>
      <c r="G43" s="4" t="inlineStr">
        <is>
          <t>COLOR Verde · ALTURA 45-55 cm · DIAMETRO 11-13 cm</t>
        </is>
      </c>
      <c r="H43" s="3" t="inlineStr"/>
      <c r="I43" s="3" t="n">
        <v>12</v>
      </c>
      <c r="J43" s="3" t="inlineStr">
        <is>
          <t>12 шт.</t>
        </is>
      </c>
      <c r="K43" s="4">
        <f>IMAGE("https://cdn.verdnatura.es/image/catalog/1600x900/149329")</f>
        <v/>
      </c>
      <c r="L43" s="5" t="n"/>
      <c r="M43" s="6" t="n"/>
      <c r="N43" s="7" t="n"/>
      <c r="O43" s="8" t="n">
        <v>1.73</v>
      </c>
      <c r="P43" s="8" t="n">
        <v>20.76</v>
      </c>
    </row>
    <row r="44" ht="110" customHeight="1">
      <c r="A44" s="3" t="inlineStr">
        <is>
          <t>12858419</t>
        </is>
      </c>
      <c r="B44" s="3" t="inlineStr">
        <is>
          <t>25-05-2026</t>
        </is>
      </c>
      <c r="C44" s="3" t="inlineStr">
        <is>
          <t>Plaza</t>
        </is>
      </c>
      <c r="D44" s="3" t="inlineStr">
        <is>
          <t>149149</t>
        </is>
      </c>
      <c r="E44" s="4" t="inlineStr">
        <is>
          <t>ANT Previa x20</t>
        </is>
      </c>
      <c r="F44" s="4" t="inlineStr"/>
      <c r="G44" s="4" t="inlineStr">
        <is>
          <t>COLOR Morado · ALTURA 35-45 cm · DIAMETRO 8-10 cm</t>
        </is>
      </c>
      <c r="H44" s="3" t="inlineStr"/>
      <c r="I44" s="3" t="n">
        <v>20</v>
      </c>
      <c r="J44" s="3" t="inlineStr">
        <is>
          <t>20 шт.</t>
        </is>
      </c>
      <c r="K44" s="4">
        <f>IMAGE("https://cdn.verdnatura.es/image/catalog/1600x900/149149")</f>
        <v/>
      </c>
      <c r="L44" s="5" t="n"/>
      <c r="M44" s="6" t="n"/>
      <c r="N44" s="7" t="n"/>
      <c r="O44" s="8" t="n">
        <v>1.09</v>
      </c>
      <c r="P44" s="8" t="n">
        <v>21.8</v>
      </c>
    </row>
    <row r="45" ht="110" customHeight="1">
      <c r="A45" s="3" t="inlineStr">
        <is>
          <t>12858419</t>
        </is>
      </c>
      <c r="B45" s="3" t="inlineStr">
        <is>
          <t>25-05-2026</t>
        </is>
      </c>
      <c r="C45" s="3" t="inlineStr">
        <is>
          <t>Plaza</t>
        </is>
      </c>
      <c r="D45" s="3" t="inlineStr">
        <is>
          <t>149147</t>
        </is>
      </c>
      <c r="E45" s="4" t="inlineStr">
        <is>
          <t>ANT Royal x20</t>
        </is>
      </c>
      <c r="F45" s="4" t="inlineStr"/>
      <c r="G45" s="4" t="inlineStr">
        <is>
          <t>COLOR Rosa Claro · ALTURA 35-45 cm · DIAMETRO 8-10 cm</t>
        </is>
      </c>
      <c r="H45" s="3" t="inlineStr"/>
      <c r="I45" s="3" t="n">
        <v>20</v>
      </c>
      <c r="J45" s="3" t="inlineStr">
        <is>
          <t>20 шт.</t>
        </is>
      </c>
      <c r="K45" s="4">
        <f>IMAGE("https://cdn.verdnatura.es/image/catalog/1600x900/149147")</f>
        <v/>
      </c>
      <c r="L45" s="5" t="n"/>
      <c r="M45" s="6" t="n"/>
      <c r="N45" s="7" t="n"/>
      <c r="O45" s="8" t="n">
        <v>1.17</v>
      </c>
      <c r="P45" s="8" t="n">
        <v>23.4</v>
      </c>
    </row>
    <row r="46" ht="110" customHeight="1">
      <c r="A46" s="3" t="inlineStr">
        <is>
          <t>12858419</t>
        </is>
      </c>
      <c r="B46" s="3" t="inlineStr">
        <is>
          <t>25-05-2026</t>
        </is>
      </c>
      <c r="C46" s="3" t="inlineStr">
        <is>
          <t>Plaza</t>
        </is>
      </c>
      <c r="D46" s="3" t="inlineStr">
        <is>
          <t>152508</t>
        </is>
      </c>
      <c r="E46" s="4" t="inlineStr">
        <is>
          <t>Campanula Medium Mix</t>
        </is>
      </c>
      <c r="F46" s="4" t="inlineStr"/>
      <c r="G46" s="4" t="inlineStr">
        <is>
          <t>COLOR Mixto · ALTURA 60 cm</t>
        </is>
      </c>
      <c r="H46" s="3" t="inlineStr"/>
      <c r="I46" s="3" t="n">
        <v>30</v>
      </c>
      <c r="J46" s="3" t="inlineStr">
        <is>
          <t>30 шт.</t>
        </is>
      </c>
      <c r="K46" s="4">
        <f>IMAGE("https://cdn.verdnatura.es/image/catalog/1600x900/152508")</f>
        <v/>
      </c>
      <c r="L46" s="5" t="n"/>
      <c r="M46" s="6" t="n"/>
      <c r="N46" s="7" t="n"/>
      <c r="O46" s="8" t="n">
        <v>0.79</v>
      </c>
      <c r="P46" s="8" t="n">
        <v>23.7</v>
      </c>
    </row>
    <row r="47" ht="110" customHeight="1">
      <c r="A47" s="3" t="inlineStr">
        <is>
          <t>12858419</t>
        </is>
      </c>
      <c r="B47" s="3" t="inlineStr">
        <is>
          <t>25-05-2026</t>
        </is>
      </c>
      <c r="C47" s="3" t="inlineStr">
        <is>
          <t>Plaza</t>
        </is>
      </c>
      <c r="D47" s="3" t="inlineStr">
        <is>
          <t>180164</t>
        </is>
      </c>
      <c r="E47" s="4" t="inlineStr">
        <is>
          <t>CL Barb Green Ball</t>
        </is>
      </c>
      <c r="F47" s="4" t="inlineStr">
        <is>
          <t>Agruflor</t>
        </is>
      </c>
      <c r="G47" s="4" t="inlineStr">
        <is>
          <t>COLOR Verde · ALTURA 45 cm</t>
        </is>
      </c>
      <c r="H47" s="3" t="inlineStr"/>
      <c r="I47" s="3" t="n">
        <v>50</v>
      </c>
      <c r="J47" s="3" t="inlineStr">
        <is>
          <t>50 шт.</t>
        </is>
      </c>
      <c r="K47" s="4">
        <f>IMAGE("https://cdn.verdnatura.es/image/catalog/1600x900/180164")</f>
        <v/>
      </c>
      <c r="L47" s="5" t="n"/>
      <c r="M47" s="6" t="n"/>
      <c r="N47" s="7" t="n"/>
      <c r="O47" s="8" t="n">
        <v>0.34</v>
      </c>
      <c r="P47" s="8" t="n">
        <v>17</v>
      </c>
    </row>
    <row r="48" ht="110" customHeight="1">
      <c r="A48" s="3" t="inlineStr">
        <is>
          <t>12858419</t>
        </is>
      </c>
      <c r="B48" s="3" t="inlineStr">
        <is>
          <t>25-05-2026</t>
        </is>
      </c>
      <c r="C48" s="3" t="inlineStr">
        <is>
          <t>Plaza</t>
        </is>
      </c>
      <c r="D48" s="3" t="inlineStr">
        <is>
          <t>198749</t>
        </is>
      </c>
      <c r="E48" s="4" t="inlineStr">
        <is>
          <t>CR Altaj Galaxy</t>
        </is>
      </c>
      <c r="F48" s="4" t="inlineStr">
        <is>
          <t>Zentoo</t>
        </is>
      </c>
      <c r="G48" s="4" t="inlineStr">
        <is>
          <t>COLOR Purpura/Rosa · ALTURA 70 cm · PESO/TALLO 105 gr</t>
        </is>
      </c>
      <c r="H48" s="3" t="inlineStr"/>
      <c r="I48" s="3" t="n">
        <v>20</v>
      </c>
      <c r="J48" s="3" t="inlineStr">
        <is>
          <t>20 шт.</t>
        </is>
      </c>
      <c r="K48" s="4">
        <f>IMAGE("https://cdn.verdnatura.es/image/catalog/1600x900/198749")</f>
        <v/>
      </c>
      <c r="L48" s="5" t="n"/>
      <c r="M48" s="6" t="n"/>
      <c r="N48" s="7" t="n"/>
      <c r="O48" s="8" t="n">
        <v>1.38</v>
      </c>
      <c r="P48" s="8" t="n">
        <v>27.6</v>
      </c>
    </row>
    <row r="49" ht="110" customHeight="1">
      <c r="A49" s="3" t="inlineStr">
        <is>
          <t>12858419</t>
        </is>
      </c>
      <c r="B49" s="3" t="inlineStr">
        <is>
          <t>25-05-2026</t>
        </is>
      </c>
      <c r="C49" s="3" t="inlineStr">
        <is>
          <t>Plaza</t>
        </is>
      </c>
      <c r="D49" s="3" t="inlineStr">
        <is>
          <t>198746</t>
        </is>
      </c>
      <c r="E49" s="4" t="inlineStr">
        <is>
          <t>CR Altaj Soft Pink</t>
        </is>
      </c>
      <c r="F49" s="4" t="inlineStr">
        <is>
          <t>Zentoo</t>
        </is>
      </c>
      <c r="G49" s="4" t="inlineStr">
        <is>
          <t>COLOR Rosa Claro · ALTURA 70 cm</t>
        </is>
      </c>
      <c r="H49" s="3" t="inlineStr"/>
      <c r="I49" s="3" t="n">
        <v>20</v>
      </c>
      <c r="J49" s="3" t="inlineStr">
        <is>
          <t>20 шт.</t>
        </is>
      </c>
      <c r="K49" s="4">
        <f>IMAGE("https://cdn.verdnatura.es/image/catalog/1600x900/198746")</f>
        <v/>
      </c>
      <c r="L49" s="5" t="n"/>
      <c r="M49" s="6" t="n"/>
      <c r="N49" s="7" t="n"/>
      <c r="O49" s="8" t="n">
        <v>1.38</v>
      </c>
      <c r="P49" s="8" t="n">
        <v>27.6</v>
      </c>
    </row>
    <row r="50" ht="110" customHeight="1">
      <c r="A50" s="3" t="inlineStr">
        <is>
          <t>12858419</t>
        </is>
      </c>
      <c r="B50" s="3" t="inlineStr">
        <is>
          <t>25-05-2026</t>
        </is>
      </c>
      <c r="C50" s="3" t="inlineStr">
        <is>
          <t>Plaza</t>
        </is>
      </c>
      <c r="D50" s="3" t="inlineStr">
        <is>
          <t>165063</t>
        </is>
      </c>
      <c r="E50" s="4" t="inlineStr">
        <is>
          <t>CR Commander Pink</t>
        </is>
      </c>
      <c r="F50" s="4" t="inlineStr">
        <is>
          <t>Zentoo</t>
        </is>
      </c>
      <c r="G50" s="4" t="inlineStr">
        <is>
          <t>COLOR Rosa · ALTURA 70 cm · PESO/TALLO 75 gr</t>
        </is>
      </c>
      <c r="H50" s="3" t="inlineStr"/>
      <c r="I50" s="3" t="n">
        <v>20</v>
      </c>
      <c r="J50" s="3" t="inlineStr">
        <is>
          <t>20 шт.</t>
        </is>
      </c>
      <c r="K50" s="4">
        <f>IMAGE("https://cdn.verdnatura.es/image/catalog/1600x900/165063")</f>
        <v/>
      </c>
      <c r="L50" s="5" t="n"/>
      <c r="M50" s="6" t="n"/>
      <c r="N50" s="7" t="n"/>
      <c r="O50" s="8" t="n">
        <v>0.72</v>
      </c>
      <c r="P50" s="8" t="n">
        <v>14.4</v>
      </c>
    </row>
    <row r="51" ht="110" customHeight="1">
      <c r="A51" s="3" t="inlineStr">
        <is>
          <t>12858419</t>
        </is>
      </c>
      <c r="B51" s="3" t="inlineStr">
        <is>
          <t>25-05-2026</t>
        </is>
      </c>
      <c r="C51" s="3" t="inlineStr">
        <is>
          <t>Plaza</t>
        </is>
      </c>
      <c r="D51" s="3" t="inlineStr">
        <is>
          <t>153696</t>
        </is>
      </c>
      <c r="E51" s="4" t="inlineStr">
        <is>
          <t>CR SANT Mad Tyolo Mix</t>
        </is>
      </c>
      <c r="F51" s="4" t="inlineStr">
        <is>
          <t>Monnikenwaard</t>
        </is>
      </c>
      <c r="G51" s="4" t="inlineStr">
        <is>
          <t>COLOR Mixto · ALTURA 55 cm · PESO/PAQUETE 1100 gr</t>
        </is>
      </c>
      <c r="H51" s="3" t="inlineStr"/>
      <c r="I51" s="3" t="n">
        <v>25</v>
      </c>
      <c r="J51" s="3" t="inlineStr">
        <is>
          <t>25 шт.</t>
        </is>
      </c>
      <c r="K51" s="4">
        <f>IMAGE("https://cdn.verdnatura.es/image/catalog/1600x900/153696")</f>
        <v/>
      </c>
      <c r="L51" s="5" t="n"/>
      <c r="M51" s="6" t="n"/>
      <c r="N51" s="7" t="n"/>
      <c r="O51" s="8" t="n">
        <v>0.52</v>
      </c>
      <c r="P51" s="8" t="n">
        <v>13</v>
      </c>
    </row>
    <row r="52" ht="110" customHeight="1">
      <c r="A52" s="3" t="inlineStr">
        <is>
          <t>12858419</t>
        </is>
      </c>
      <c r="B52" s="3" t="inlineStr">
        <is>
          <t>25-05-2026</t>
        </is>
      </c>
      <c r="C52" s="3" t="inlineStr">
        <is>
          <t>Plaza</t>
        </is>
      </c>
      <c r="D52" s="3" t="inlineStr">
        <is>
          <t>203626</t>
        </is>
      </c>
      <c r="E52" s="4" t="inlineStr">
        <is>
          <t>CR SANT Miller Mix</t>
        </is>
      </c>
      <c r="F52" s="4" t="inlineStr">
        <is>
          <t>Zentoo</t>
        </is>
      </c>
      <c r="G52" s="4" t="inlineStr">
        <is>
          <t>COLOR Mixto · ALTURA 55 cm</t>
        </is>
      </c>
      <c r="H52" s="3" t="inlineStr"/>
      <c r="I52" s="3" t="n">
        <v>25</v>
      </c>
      <c r="J52" s="3" t="inlineStr">
        <is>
          <t>25 шт.</t>
        </is>
      </c>
      <c r="K52" s="4">
        <f>IMAGE("https://cdn.verdnatura.es/image/catalog/1600x900/203626")</f>
        <v/>
      </c>
      <c r="L52" s="5" t="n"/>
      <c r="M52" s="6" t="n"/>
      <c r="N52" s="7" t="n"/>
      <c r="O52" s="8" t="n">
        <v>0.5600000000000001</v>
      </c>
      <c r="P52" s="8" t="n">
        <v>14</v>
      </c>
    </row>
    <row r="53" ht="110" customHeight="1">
      <c r="A53" s="3" t="inlineStr">
        <is>
          <t>12858419</t>
        </is>
      </c>
      <c r="B53" s="3" t="inlineStr">
        <is>
          <t>25-05-2026</t>
        </is>
      </c>
      <c r="C53" s="3" t="inlineStr">
        <is>
          <t>Plaza</t>
        </is>
      </c>
      <c r="D53" s="3" t="inlineStr">
        <is>
          <t>201908</t>
        </is>
      </c>
      <c r="E53" s="4" t="inlineStr">
        <is>
          <t>CR SANT Mix Blush Pastel</t>
        </is>
      </c>
      <c r="F53" s="4" t="inlineStr">
        <is>
          <t>Zentoo</t>
        </is>
      </c>
      <c r="G53" s="4" t="inlineStr">
        <is>
          <t>COLOR Mixto · ALTURA 55 cm · PESO/PAQUETE 1100 gr</t>
        </is>
      </c>
      <c r="H53" s="3" t="inlineStr"/>
      <c r="I53" s="3" t="n">
        <v>25</v>
      </c>
      <c r="J53" s="3" t="inlineStr">
        <is>
          <t>25 шт.</t>
        </is>
      </c>
      <c r="K53" s="4">
        <f>IMAGE("https://cdn.verdnatura.es/image/catalog/1600x900/201908")</f>
        <v/>
      </c>
      <c r="L53" s="5" t="n"/>
      <c r="M53" s="6" t="n"/>
      <c r="N53" s="7" t="n"/>
      <c r="O53" s="8" t="n">
        <v>0.54</v>
      </c>
      <c r="P53" s="8" t="n">
        <v>13.5</v>
      </c>
    </row>
    <row r="54" ht="110" customHeight="1">
      <c r="A54" s="3" t="inlineStr">
        <is>
          <t>12858419</t>
        </is>
      </c>
      <c r="B54" s="3" t="inlineStr">
        <is>
          <t>25-05-2026</t>
        </is>
      </c>
      <c r="C54" s="3" t="inlineStr">
        <is>
          <t>Plaza</t>
        </is>
      </c>
      <c r="D54" s="3" t="inlineStr">
        <is>
          <t>202970</t>
        </is>
      </c>
      <c r="E54" s="4" t="inlineStr">
        <is>
          <t>CR SANT Sun Up</t>
        </is>
      </c>
      <c r="F54" s="4" t="inlineStr">
        <is>
          <t>Van Helvoort Company</t>
        </is>
      </c>
      <c r="G54" s="4" t="inlineStr">
        <is>
          <t>COLOR Blanco · ALTURA 55 cm · PESO/PAQUETE 1100 gr</t>
        </is>
      </c>
      <c r="H54" s="3" t="inlineStr"/>
      <c r="I54" s="3" t="n">
        <v>25</v>
      </c>
      <c r="J54" s="3" t="inlineStr">
        <is>
          <t>25 шт.</t>
        </is>
      </c>
      <c r="K54" s="4">
        <f>IMAGE("https://cdn.verdnatura.es/image/catalog/1600x900/202970")</f>
        <v/>
      </c>
      <c r="L54" s="5" t="n"/>
      <c r="M54" s="6" t="n"/>
      <c r="N54" s="7" t="n"/>
      <c r="O54" s="8" t="n">
        <v>0.58</v>
      </c>
      <c r="P54" s="8" t="n">
        <v>14.5</v>
      </c>
    </row>
    <row r="55" ht="110" customHeight="1">
      <c r="A55" s="3" t="inlineStr">
        <is>
          <t>12858419</t>
        </is>
      </c>
      <c r="B55" s="3" t="inlineStr">
        <is>
          <t>25-05-2026</t>
        </is>
      </c>
      <c r="C55" s="3" t="inlineStr">
        <is>
          <t>Plaza</t>
        </is>
      </c>
      <c r="D55" s="3" t="inlineStr">
        <is>
          <t>199111</t>
        </is>
      </c>
      <c r="E55" s="4" t="inlineStr">
        <is>
          <t>Craspedia Paintball Pop</t>
        </is>
      </c>
      <c r="F55" s="4" t="inlineStr">
        <is>
          <t>Del Golfo</t>
        </is>
      </c>
      <c r="G55" s="4" t="inlineStr">
        <is>
          <t>COLOR Amarillo · ALTURA 70 cm</t>
        </is>
      </c>
      <c r="H55" s="3" t="inlineStr"/>
      <c r="I55" s="3" t="n">
        <v>20</v>
      </c>
      <c r="J55" s="3" t="inlineStr">
        <is>
          <t>20 шт.</t>
        </is>
      </c>
      <c r="K55" s="4">
        <f>IMAGE("https://cdn.verdnatura.es/image/catalog/1600x900/199111")</f>
        <v/>
      </c>
      <c r="L55" s="5" t="n"/>
      <c r="M55" s="6" t="n"/>
      <c r="N55" s="7" t="n"/>
      <c r="O55" s="8" t="n">
        <v>0.35</v>
      </c>
      <c r="P55" s="8" t="n">
        <v>7</v>
      </c>
    </row>
    <row r="56" ht="110" customHeight="1">
      <c r="A56" s="3" t="inlineStr">
        <is>
          <t>12858419</t>
        </is>
      </c>
      <c r="B56" s="3" t="inlineStr">
        <is>
          <t>25-05-2026</t>
        </is>
      </c>
      <c r="C56" s="3" t="inlineStr">
        <is>
          <t>Plaza</t>
        </is>
      </c>
      <c r="D56" s="3" t="inlineStr">
        <is>
          <t>117406</t>
        </is>
      </c>
      <c r="E56" s="4" t="inlineStr">
        <is>
          <t>DELPH Mag Fountains Skyblue Wh</t>
        </is>
      </c>
      <c r="F56" s="4" t="inlineStr">
        <is>
          <t>Winfield</t>
        </is>
      </c>
      <c r="G56" s="4" t="inlineStr">
        <is>
          <t>COLOR Azul Claro · ALTURA 80 cm</t>
        </is>
      </c>
      <c r="H56" s="3" t="inlineStr"/>
      <c r="I56" s="3" t="n">
        <v>20</v>
      </c>
      <c r="J56" s="3" t="inlineStr">
        <is>
          <t>20 шт.</t>
        </is>
      </c>
      <c r="K56" s="4">
        <f>IMAGE("https://cdn.verdnatura.es/image/catalog/1600x900/117406")</f>
        <v/>
      </c>
      <c r="L56" s="5" t="n"/>
      <c r="M56" s="6" t="n"/>
      <c r="N56" s="7" t="n"/>
      <c r="O56" s="8" t="n">
        <v>1.82</v>
      </c>
      <c r="P56" s="8" t="n">
        <v>36.4</v>
      </c>
    </row>
    <row r="57" ht="110" customHeight="1">
      <c r="A57" s="3" t="inlineStr">
        <is>
          <t>12858419</t>
        </is>
      </c>
      <c r="B57" s="3" t="inlineStr">
        <is>
          <t>25-05-2026</t>
        </is>
      </c>
      <c r="C57" s="3" t="inlineStr">
        <is>
          <t>Plaza</t>
        </is>
      </c>
      <c r="D57" s="3" t="inlineStr">
        <is>
          <t>203399</t>
        </is>
      </c>
      <c r="E57" s="4" t="inlineStr">
        <is>
          <t>Eryngium Magical Grand Lagoon</t>
        </is>
      </c>
      <c r="F57" s="4" t="inlineStr"/>
      <c r="G57" s="4" t="inlineStr">
        <is>
          <t>COLOR Azul · ALTURA 70 cm</t>
        </is>
      </c>
      <c r="H57" s="3" t="inlineStr"/>
      <c r="I57" s="3" t="n">
        <v>20</v>
      </c>
      <c r="J57" s="3" t="inlineStr">
        <is>
          <t>20 шт.</t>
        </is>
      </c>
      <c r="K57" s="4">
        <f>IMAGE("https://cdn.verdnatura.es/image/catalog/1600x900/203399")</f>
        <v/>
      </c>
      <c r="L57" s="5" t="n"/>
      <c r="M57" s="6" t="n"/>
      <c r="N57" s="7" t="n"/>
      <c r="O57" s="8" t="n">
        <v>0.37</v>
      </c>
      <c r="P57" s="8" t="n">
        <v>7.4</v>
      </c>
    </row>
    <row r="58" ht="110" customHeight="1">
      <c r="A58" s="3" t="inlineStr">
        <is>
          <t>12858419</t>
        </is>
      </c>
      <c r="B58" s="3" t="inlineStr">
        <is>
          <t>25-05-2026</t>
        </is>
      </c>
      <c r="C58" s="3" t="inlineStr">
        <is>
          <t>Plaza</t>
        </is>
      </c>
      <c r="D58" s="3" t="inlineStr">
        <is>
          <t>114770</t>
        </is>
      </c>
      <c r="E58" s="4" t="inlineStr">
        <is>
          <t>EUC Cinerea 300 gr</t>
        </is>
      </c>
      <c r="F58" s="4" t="inlineStr"/>
      <c r="G58" s="4" t="inlineStr">
        <is>
          <t>COLOR Lividum · ALTURA 70 cm</t>
        </is>
      </c>
      <c r="H58" s="3" t="inlineStr">
        <is>
          <t>Paquete</t>
        </is>
      </c>
      <c r="I58" s="3" t="n">
        <v>10</v>
      </c>
      <c r="J58" s="3" t="inlineStr">
        <is>
          <t>10 пачек</t>
        </is>
      </c>
      <c r="K58" s="4">
        <f>IMAGE("https://cdn.verdnatura.es/image/catalog/1600x900/114770")</f>
        <v/>
      </c>
      <c r="L58" s="5" t="n"/>
      <c r="M58" s="6" t="n"/>
      <c r="N58" s="7" t="n"/>
      <c r="O58" s="8" t="n">
        <v>3.51</v>
      </c>
      <c r="P58" s="8" t="n">
        <v>35.1</v>
      </c>
    </row>
    <row r="59" ht="110" customHeight="1">
      <c r="A59" s="3" t="inlineStr">
        <is>
          <t>12858419</t>
        </is>
      </c>
      <c r="B59" s="3" t="inlineStr">
        <is>
          <t>25-05-2026</t>
        </is>
      </c>
      <c r="C59" s="3" t="inlineStr">
        <is>
          <t>Plaza</t>
        </is>
      </c>
      <c r="D59" s="3" t="inlineStr">
        <is>
          <t>124650</t>
        </is>
      </c>
      <c r="E59" s="4" t="inlineStr">
        <is>
          <t>GE MI Caramba</t>
        </is>
      </c>
      <c r="F59" s="4" t="inlineStr">
        <is>
          <t>Oudijk Gerbera</t>
        </is>
      </c>
      <c r="G59" s="4" t="inlineStr">
        <is>
          <t>COLOR Naranja · ALTURA 50 cm · DIÁMETRO 7 cm</t>
        </is>
      </c>
      <c r="H59" s="3" t="inlineStr"/>
      <c r="I59" s="3" t="n">
        <v>40</v>
      </c>
      <c r="J59" s="3" t="inlineStr">
        <is>
          <t>40 шт.</t>
        </is>
      </c>
      <c r="K59" s="4">
        <f>IMAGE("https://cdn.verdnatura.es/image/catalog/1600x900/124650")</f>
        <v/>
      </c>
      <c r="L59" s="5" t="n"/>
      <c r="M59" s="6" t="n"/>
      <c r="N59" s="7" t="n"/>
      <c r="O59" s="8" t="n">
        <v>0.19</v>
      </c>
      <c r="P59" s="8" t="n">
        <v>7.6</v>
      </c>
    </row>
    <row r="60" ht="110" customHeight="1">
      <c r="A60" s="3" t="inlineStr">
        <is>
          <t>12858419</t>
        </is>
      </c>
      <c r="B60" s="3" t="inlineStr">
        <is>
          <t>25-05-2026</t>
        </is>
      </c>
      <c r="C60" s="3" t="inlineStr">
        <is>
          <t>Plaza</t>
        </is>
      </c>
      <c r="D60" s="3" t="inlineStr">
        <is>
          <t>108542</t>
        </is>
      </c>
      <c r="E60" s="4" t="inlineStr">
        <is>
          <t>GE MI Lobby</t>
        </is>
      </c>
      <c r="F60" s="4" t="inlineStr">
        <is>
          <t>Topline Gerbera</t>
        </is>
      </c>
      <c r="G60" s="4" t="inlineStr">
        <is>
          <t>COLOR Blanco · ALTURA 50 cm · DIÁMETRO 7 cm</t>
        </is>
      </c>
      <c r="H60" s="3" t="inlineStr"/>
      <c r="I60" s="3" t="n">
        <v>40</v>
      </c>
      <c r="J60" s="3" t="inlineStr">
        <is>
          <t>40 шт.</t>
        </is>
      </c>
      <c r="K60" s="4">
        <f>IMAGE("https://cdn.verdnatura.es/image/catalog/1600x900/108542")</f>
        <v/>
      </c>
      <c r="L60" s="5" t="n"/>
      <c r="M60" s="6" t="n"/>
      <c r="N60" s="7" t="n"/>
      <c r="O60" s="8" t="n">
        <v>0.27</v>
      </c>
      <c r="P60" s="8" t="n">
        <v>10.8</v>
      </c>
    </row>
    <row r="61" ht="110" customHeight="1">
      <c r="A61" s="3" t="inlineStr">
        <is>
          <t>12858419</t>
        </is>
      </c>
      <c r="B61" s="3" t="inlineStr">
        <is>
          <t>25-05-2026</t>
        </is>
      </c>
      <c r="C61" s="3" t="inlineStr">
        <is>
          <t>Plaza</t>
        </is>
      </c>
      <c r="D61" s="3" t="inlineStr">
        <is>
          <t>118793</t>
        </is>
      </c>
      <c r="E61" s="4" t="inlineStr">
        <is>
          <t>GE MI Surfer</t>
        </is>
      </c>
      <c r="F61" s="4" t="inlineStr">
        <is>
          <t>Van der Wilt Gerbera's</t>
        </is>
      </c>
      <c r="G61" s="4" t="inlineStr">
        <is>
          <t>COLOR Crema · ALTURA 50 cm · DIAMETRO 7 cm</t>
        </is>
      </c>
      <c r="H61" s="3" t="inlineStr"/>
      <c r="I61" s="3" t="n">
        <v>60</v>
      </c>
      <c r="J61" s="3" t="inlineStr">
        <is>
          <t>60 шт.</t>
        </is>
      </c>
      <c r="K61" s="4">
        <f>IMAGE("https://cdn.verdnatura.es/image/catalog/1600x900/118793")</f>
        <v/>
      </c>
      <c r="L61" s="5" t="n"/>
      <c r="M61" s="6" t="n"/>
      <c r="N61" s="7" t="n"/>
      <c r="O61" s="8" t="n">
        <v>0.24</v>
      </c>
      <c r="P61" s="8" t="n">
        <v>14.4</v>
      </c>
    </row>
    <row r="62" ht="110" customHeight="1">
      <c r="A62" s="3" t="inlineStr">
        <is>
          <t>12858419</t>
        </is>
      </c>
      <c r="B62" s="3" t="inlineStr">
        <is>
          <t>25-05-2026</t>
        </is>
      </c>
      <c r="C62" s="3" t="inlineStr">
        <is>
          <t>Plaza</t>
        </is>
      </c>
      <c r="D62" s="3" t="inlineStr">
        <is>
          <t>126765</t>
        </is>
      </c>
      <c r="E62" s="4" t="inlineStr">
        <is>
          <t>GE Nano Micro Isa</t>
        </is>
      </c>
      <c r="F62" s="4" t="inlineStr">
        <is>
          <t>Holstein Flowers</t>
        </is>
      </c>
      <c r="G62" s="4" t="inlineStr">
        <is>
          <t>COLOR Rosa · ALTURA 50 cm · DIAMETRO 4 cm</t>
        </is>
      </c>
      <c r="H62" s="3" t="inlineStr"/>
      <c r="I62" s="3" t="n">
        <v>20</v>
      </c>
      <c r="J62" s="3" t="inlineStr">
        <is>
          <t>20 шт.</t>
        </is>
      </c>
      <c r="K62" s="4">
        <f>IMAGE("https://cdn.verdnatura.es/image/catalog/1600x900/126765")</f>
        <v/>
      </c>
      <c r="L62" s="5" t="n"/>
      <c r="M62" s="6" t="n"/>
      <c r="N62" s="7" t="n"/>
      <c r="O62" s="8" t="n">
        <v>0.32</v>
      </c>
      <c r="P62" s="8" t="n">
        <v>6.4</v>
      </c>
    </row>
    <row r="63" ht="110" customHeight="1">
      <c r="A63" s="3" t="inlineStr">
        <is>
          <t>12858419</t>
        </is>
      </c>
      <c r="B63" s="3" t="inlineStr">
        <is>
          <t>25-05-2026</t>
        </is>
      </c>
      <c r="C63" s="3" t="inlineStr">
        <is>
          <t>Plaza</t>
        </is>
      </c>
      <c r="D63" s="3" t="inlineStr">
        <is>
          <t>119188</t>
        </is>
      </c>
      <c r="E63" s="4" t="inlineStr">
        <is>
          <t>GE Nano Micro Quick</t>
        </is>
      </c>
      <c r="F63" s="4" t="inlineStr">
        <is>
          <t>Holstein Flowers</t>
        </is>
      </c>
      <c r="G63" s="4" t="inlineStr">
        <is>
          <t>COLOR Salmón · ALTURA 50 cm · DIAMETRO 4 cm</t>
        </is>
      </c>
      <c r="H63" s="3" t="inlineStr"/>
      <c r="I63" s="3" t="n">
        <v>20</v>
      </c>
      <c r="J63" s="3" t="inlineStr">
        <is>
          <t>20 шт.</t>
        </is>
      </c>
      <c r="K63" s="4">
        <f>IMAGE("https://cdn.verdnatura.es/image/catalog/1600x900/119188")</f>
        <v/>
      </c>
      <c r="L63" s="5" t="n"/>
      <c r="M63" s="6" t="n"/>
      <c r="N63" s="7" t="n"/>
      <c r="O63" s="8" t="n">
        <v>0.26</v>
      </c>
      <c r="P63" s="8" t="n">
        <v>5.2</v>
      </c>
    </row>
    <row r="64" ht="110" customHeight="1">
      <c r="A64" s="3" t="inlineStr">
        <is>
          <t>12858419</t>
        </is>
      </c>
      <c r="B64" s="3" t="inlineStr">
        <is>
          <t>25-05-2026</t>
        </is>
      </c>
      <c r="C64" s="3" t="inlineStr">
        <is>
          <t>Plaza</t>
        </is>
      </c>
      <c r="D64" s="3" t="inlineStr">
        <is>
          <t>202962</t>
        </is>
      </c>
      <c r="E64" s="4" t="inlineStr">
        <is>
          <t>HYD Royal Crown (Blauw)</t>
        </is>
      </c>
      <c r="F64" s="4" t="inlineStr"/>
      <c r="G64" s="4" t="inlineStr">
        <is>
          <t>COLOR Azul · ALTURA 80 cm · DIAMETRO 19 cm</t>
        </is>
      </c>
      <c r="H64" s="3" t="inlineStr"/>
      <c r="I64" s="3" t="n">
        <v>10</v>
      </c>
      <c r="J64" s="3" t="inlineStr">
        <is>
          <t>10 шт.</t>
        </is>
      </c>
      <c r="K64" s="4">
        <f>IMAGE("https://cdn.verdnatura.es/image/catalog/1600x900/202962")</f>
        <v/>
      </c>
      <c r="L64" s="5" t="n"/>
      <c r="M64" s="6" t="n"/>
      <c r="N64" s="7" t="n"/>
      <c r="O64" s="8" t="n">
        <v>4.63</v>
      </c>
      <c r="P64" s="8" t="n">
        <v>46.3</v>
      </c>
    </row>
    <row r="65" ht="110" customHeight="1">
      <c r="A65" s="3" t="inlineStr">
        <is>
          <t>12858419</t>
        </is>
      </c>
      <c r="B65" s="3" t="inlineStr">
        <is>
          <t>25-05-2026</t>
        </is>
      </c>
      <c r="C65" s="3" t="inlineStr">
        <is>
          <t>Plaza</t>
        </is>
      </c>
      <c r="D65" s="3" t="inlineStr">
        <is>
          <t>26047</t>
        </is>
      </c>
      <c r="E65" s="4" t="inlineStr">
        <is>
          <t>HYD Verena</t>
        </is>
      </c>
      <c r="F65" s="4" t="inlineStr"/>
      <c r="G65" s="4" t="inlineStr">
        <is>
          <t>COLOR Rosa Claro · ALTURA 80 cm · DIAMETRO 19 cm</t>
        </is>
      </c>
      <c r="H65" s="3" t="inlineStr"/>
      <c r="I65" s="3" t="n">
        <v>15</v>
      </c>
      <c r="J65" s="3" t="inlineStr">
        <is>
          <t>15 шт.</t>
        </is>
      </c>
      <c r="K65" s="4">
        <f>IMAGE("https://cdn.verdnatura.es/image/catalog/1600x900/26047")</f>
        <v/>
      </c>
      <c r="L65" s="5" t="n"/>
      <c r="M65" s="6" t="n"/>
      <c r="N65" s="7" t="n"/>
      <c r="O65" s="8" t="n">
        <v>4.91</v>
      </c>
      <c r="P65" s="8" t="n">
        <v>73.65000000000001</v>
      </c>
    </row>
    <row r="66" ht="110" customHeight="1">
      <c r="A66" s="3" t="inlineStr">
        <is>
          <t>12858419</t>
        </is>
      </c>
      <c r="B66" s="3" t="inlineStr">
        <is>
          <t>25-05-2026</t>
        </is>
      </c>
      <c r="C66" s="3" t="inlineStr">
        <is>
          <t>Plaza</t>
        </is>
      </c>
      <c r="D66" s="3" t="inlineStr">
        <is>
          <t>203911</t>
        </is>
      </c>
      <c r="E66" s="4" t="inlineStr">
        <is>
          <t>LIM N SIN China Rosy</t>
        </is>
      </c>
      <c r="F66" s="4" t="inlineStr">
        <is>
          <t>Group Leader</t>
        </is>
      </c>
      <c r="G66" s="4" t="inlineStr">
        <is>
          <t>COLOR Rosa · ALTURA 80 cm · PESO/TALLO 40 gr</t>
        </is>
      </c>
      <c r="H66" s="3" t="inlineStr"/>
      <c r="I66" s="3" t="n">
        <v>25</v>
      </c>
      <c r="J66" s="3" t="inlineStr">
        <is>
          <t>25 шт.</t>
        </is>
      </c>
      <c r="K66" s="4">
        <f>IMAGE("https://cdn.verdnatura.es/image/catalog/1600x900/203911")</f>
        <v/>
      </c>
      <c r="L66" s="5" t="n"/>
      <c r="M66" s="6" t="n"/>
      <c r="N66" s="7" t="n"/>
      <c r="O66" s="8" t="n">
        <v>0.6899999999999999</v>
      </c>
      <c r="P66" s="8" t="n">
        <v>17.25</v>
      </c>
    </row>
    <row r="67" ht="110" customHeight="1">
      <c r="A67" s="3" t="inlineStr">
        <is>
          <t>12858419</t>
        </is>
      </c>
      <c r="B67" s="3" t="inlineStr">
        <is>
          <t>25-05-2026</t>
        </is>
      </c>
      <c r="C67" s="3" t="inlineStr">
        <is>
          <t>Plaza</t>
        </is>
      </c>
      <c r="D67" s="3" t="inlineStr">
        <is>
          <t>201546</t>
        </is>
      </c>
      <c r="E67" s="4" t="inlineStr">
        <is>
          <t>LIM N SIN Pineapple Diamond</t>
        </is>
      </c>
      <c r="F67" s="4" t="inlineStr">
        <is>
          <t>Group Leader</t>
        </is>
      </c>
      <c r="G67" s="4" t="inlineStr">
        <is>
          <t>COLOR Amarillo · ALTURA 80 cm · PESO/TALLO 40 gr</t>
        </is>
      </c>
      <c r="H67" s="3" t="inlineStr"/>
      <c r="I67" s="3" t="n">
        <v>25</v>
      </c>
      <c r="J67" s="3" t="inlineStr">
        <is>
          <t>25 шт.</t>
        </is>
      </c>
      <c r="K67" s="4">
        <f>IMAGE("https://cdn.verdnatura.es/image/catalog/1600x900/201546")</f>
        <v/>
      </c>
      <c r="L67" s="5" t="n"/>
      <c r="M67" s="6" t="n"/>
      <c r="N67" s="7" t="n"/>
      <c r="O67" s="8" t="n">
        <v>0.6899999999999999</v>
      </c>
      <c r="P67" s="8" t="n">
        <v>17.25</v>
      </c>
    </row>
    <row r="68" ht="110" customHeight="1">
      <c r="A68" s="3" t="inlineStr">
        <is>
          <t>12858419</t>
        </is>
      </c>
      <c r="B68" s="3" t="inlineStr">
        <is>
          <t>25-05-2026</t>
        </is>
      </c>
      <c r="C68" s="3" t="inlineStr">
        <is>
          <t>Plaza</t>
        </is>
      </c>
      <c r="D68" s="3" t="inlineStr">
        <is>
          <t>203899</t>
        </is>
      </c>
      <c r="E68" s="4" t="inlineStr">
        <is>
          <t>LIM N SIN Scarlet Diamond</t>
        </is>
      </c>
      <c r="F68" s="4" t="inlineStr">
        <is>
          <t>Group Leader</t>
        </is>
      </c>
      <c r="G68" s="4" t="inlineStr">
        <is>
          <t>COLOR Rojo · ALTURA 80 cm · PESO/TALLO 40 gr</t>
        </is>
      </c>
      <c r="H68" s="3" t="inlineStr"/>
      <c r="I68" s="3" t="n">
        <v>25</v>
      </c>
      <c r="J68" s="3" t="inlineStr">
        <is>
          <t>25 шт.</t>
        </is>
      </c>
      <c r="K68" s="4">
        <f>IMAGE("https://cdn.verdnatura.es/image/catalog/1600x900/203899")</f>
        <v/>
      </c>
      <c r="L68" s="5" t="n"/>
      <c r="M68" s="6" t="n"/>
      <c r="N68" s="7" t="n"/>
      <c r="O68" s="8" t="n">
        <v>0.6899999999999999</v>
      </c>
      <c r="P68" s="8" t="n">
        <v>17.25</v>
      </c>
    </row>
    <row r="69" ht="110" customHeight="1">
      <c r="A69" s="3" t="inlineStr">
        <is>
          <t>12858419</t>
        </is>
      </c>
      <c r="B69" s="3" t="inlineStr">
        <is>
          <t>25-05-2026</t>
        </is>
      </c>
      <c r="C69" s="3" t="inlineStr">
        <is>
          <t>Plaza</t>
        </is>
      </c>
      <c r="D69" s="3" t="inlineStr">
        <is>
          <t>108599</t>
        </is>
      </c>
      <c r="E69" s="4" t="inlineStr">
        <is>
          <t>Lisianthus Doble Corelli Laven</t>
        </is>
      </c>
      <c r="F69" s="4" t="inlineStr">
        <is>
          <t>Berglisianthus</t>
        </is>
      </c>
      <c r="G69" s="4" t="inlineStr">
        <is>
          <t>COLOR Lavanda · ALTURA 70 cm · Nº FLORES 5</t>
        </is>
      </c>
      <c r="H69" s="3" t="inlineStr"/>
      <c r="I69" s="3" t="n">
        <v>10</v>
      </c>
      <c r="J69" s="3" t="inlineStr">
        <is>
          <t>10 шт.</t>
        </is>
      </c>
      <c r="K69" s="4">
        <f>IMAGE("https://cdn.verdnatura.es/image/catalog/1600x900/108599")</f>
        <v/>
      </c>
      <c r="L69" s="5" t="n"/>
      <c r="M69" s="6" t="n"/>
      <c r="N69" s="7" t="n"/>
      <c r="O69" s="8" t="n">
        <v>1.44</v>
      </c>
      <c r="P69" s="8" t="n">
        <v>14.4</v>
      </c>
    </row>
    <row r="70" ht="110" customHeight="1">
      <c r="A70" s="3" t="inlineStr">
        <is>
          <t>12858419</t>
        </is>
      </c>
      <c r="B70" s="3" t="inlineStr">
        <is>
          <t>25-05-2026</t>
        </is>
      </c>
      <c r="C70" s="3" t="inlineStr">
        <is>
          <t>Plaza</t>
        </is>
      </c>
      <c r="D70" s="3" t="inlineStr">
        <is>
          <t>157239</t>
        </is>
      </c>
      <c r="E70" s="4" t="inlineStr">
        <is>
          <t>Lisianthus Doble Green</t>
        </is>
      </c>
      <c r="F70" s="4" t="inlineStr">
        <is>
          <t>Berglisianthus</t>
        </is>
      </c>
      <c r="G70" s="4" t="inlineStr">
        <is>
          <t>COLOR Verde Claro · ALTURA 70 cm · Nº FLORES 5</t>
        </is>
      </c>
      <c r="H70" s="3" t="inlineStr"/>
      <c r="I70" s="3" t="n">
        <v>20</v>
      </c>
      <c r="J70" s="3" t="inlineStr">
        <is>
          <t>20 шт.</t>
        </is>
      </c>
      <c r="K70" s="4">
        <f>IMAGE("https://cdn.verdnatura.es/image/catalog/1600x900/157239")</f>
        <v/>
      </c>
      <c r="L70" s="5" t="n"/>
      <c r="M70" s="6" t="n"/>
      <c r="N70" s="7" t="n"/>
      <c r="O70" s="8" t="n">
        <v>1.33</v>
      </c>
      <c r="P70" s="8" t="n">
        <v>26.6</v>
      </c>
    </row>
    <row r="71" ht="110" customHeight="1">
      <c r="A71" s="3" t="inlineStr">
        <is>
          <t>12858419</t>
        </is>
      </c>
      <c r="B71" s="3" t="inlineStr">
        <is>
          <t>25-05-2026</t>
        </is>
      </c>
      <c r="C71" s="3" t="inlineStr">
        <is>
          <t>Plaza</t>
        </is>
      </c>
      <c r="D71" s="3" t="inlineStr">
        <is>
          <t>174907</t>
        </is>
      </c>
      <c r="E71" s="4" t="inlineStr">
        <is>
          <t>Lisianthus Doble White</t>
        </is>
      </c>
      <c r="F71" s="4" t="inlineStr">
        <is>
          <t>Kwekerij Cornelis-Jan</t>
        </is>
      </c>
      <c r="G71" s="4" t="inlineStr">
        <is>
          <t>COLOR Blanco · ALTURA 70 cm · Nº FLORES 5</t>
        </is>
      </c>
      <c r="H71" s="3" t="inlineStr"/>
      <c r="I71" s="3" t="n">
        <v>10</v>
      </c>
      <c r="J71" s="3" t="inlineStr">
        <is>
          <t>10 шт.</t>
        </is>
      </c>
      <c r="K71" s="4">
        <f>IMAGE("https://cdn.verdnatura.es/image/catalog/1600x900/174907")</f>
        <v/>
      </c>
      <c r="L71" s="5" t="n"/>
      <c r="M71" s="6" t="n"/>
      <c r="N71" s="7" t="n"/>
      <c r="O71" s="8" t="n">
        <v>1.15</v>
      </c>
      <c r="P71" s="8" t="n">
        <v>11.5</v>
      </c>
    </row>
    <row r="72" ht="110" customHeight="1">
      <c r="A72" s="3" t="inlineStr">
        <is>
          <t>12858419</t>
        </is>
      </c>
      <c r="B72" s="3" t="inlineStr">
        <is>
          <t>25-05-2026</t>
        </is>
      </c>
      <c r="C72" s="3" t="inlineStr">
        <is>
          <t>Plaza</t>
        </is>
      </c>
      <c r="D72" s="3" t="inlineStr">
        <is>
          <t>142766</t>
        </is>
      </c>
      <c r="E72" s="4" t="inlineStr">
        <is>
          <t>LO Roselily Samantha 4-5</t>
        </is>
      </c>
      <c r="F72" s="4" t="inlineStr">
        <is>
          <t>Moerman Lilium BV</t>
        </is>
      </c>
      <c r="G72" s="4" t="inlineStr">
        <is>
          <t>COLOR Rosa · ALTURA 80 cm · TAMAÑO BOTON 6-8</t>
        </is>
      </c>
      <c r="H72" s="3" t="inlineStr"/>
      <c r="I72" s="3" t="n">
        <v>10</v>
      </c>
      <c r="J72" s="3" t="inlineStr">
        <is>
          <t>10 шт.</t>
        </is>
      </c>
      <c r="K72" s="4">
        <f>IMAGE("https://cdn.verdnatura.es/image/catalog/1600x900/142766")</f>
        <v/>
      </c>
      <c r="L72" s="5" t="n"/>
      <c r="M72" s="6" t="n"/>
      <c r="N72" s="7" t="n"/>
      <c r="O72" s="8" t="n">
        <v>3.09</v>
      </c>
      <c r="P72" s="8" t="n">
        <v>30.9</v>
      </c>
    </row>
    <row r="73" ht="110" customHeight="1">
      <c r="A73" s="3" t="inlineStr">
        <is>
          <t>12858419</t>
        </is>
      </c>
      <c r="B73" s="3" t="inlineStr">
        <is>
          <t>25-05-2026</t>
        </is>
      </c>
      <c r="C73" s="3" t="inlineStr">
        <is>
          <t>Plaza</t>
        </is>
      </c>
      <c r="D73" s="3" t="inlineStr">
        <is>
          <t>130568</t>
        </is>
      </c>
      <c r="E73" s="4" t="inlineStr">
        <is>
          <t>LSP Goldie</t>
        </is>
      </c>
      <c r="F73" s="4" t="inlineStr">
        <is>
          <t>Flora United Portugal</t>
        </is>
      </c>
      <c r="G73" s="4" t="inlineStr">
        <is>
          <t>COLOR Amarillo/Naranja · ALTURA 30 cm</t>
        </is>
      </c>
      <c r="H73" s="3" t="inlineStr"/>
      <c r="I73" s="3" t="n">
        <v>20</v>
      </c>
      <c r="J73" s="3" t="inlineStr">
        <is>
          <t>20 шт.</t>
        </is>
      </c>
      <c r="K73" s="4">
        <f>IMAGE("https://cdn.verdnatura.es/image/catalog/1600x900/130568")</f>
        <v/>
      </c>
      <c r="L73" s="5" t="n"/>
      <c r="M73" s="6" t="n"/>
      <c r="N73" s="7" t="n"/>
      <c r="O73" s="8" t="n">
        <v>1.06</v>
      </c>
      <c r="P73" s="8" t="n">
        <v>21.2</v>
      </c>
    </row>
    <row r="74" ht="110" customHeight="1">
      <c r="A74" s="3" t="inlineStr">
        <is>
          <t>12858419</t>
        </is>
      </c>
      <c r="B74" s="3" t="inlineStr">
        <is>
          <t>25-05-2026</t>
        </is>
      </c>
      <c r="C74" s="3" t="inlineStr">
        <is>
          <t>Plaza</t>
        </is>
      </c>
      <c r="D74" s="3" t="inlineStr">
        <is>
          <t>131345</t>
        </is>
      </c>
      <c r="E74" s="4" t="inlineStr">
        <is>
          <t>Lunaria 200 gr</t>
        </is>
      </c>
      <c r="F74" s="4" t="inlineStr"/>
      <c r="G74" s="4" t="inlineStr">
        <is>
          <t>COLOR Verde · ALTURA 60 cm</t>
        </is>
      </c>
      <c r="H74" s="3" t="inlineStr">
        <is>
          <t>Paquete</t>
        </is>
      </c>
      <c r="I74" s="3" t="n">
        <v>3</v>
      </c>
      <c r="J74" s="3" t="inlineStr">
        <is>
          <t>3 пачек</t>
        </is>
      </c>
      <c r="K74" s="4">
        <f>IMAGE("https://cdn.verdnatura.es/image/catalog/1600x900/131345")</f>
        <v/>
      </c>
      <c r="L74" s="5" t="n"/>
      <c r="M74" s="6" t="n"/>
      <c r="N74" s="7" t="n"/>
      <c r="O74" s="8" t="n">
        <v>3.7</v>
      </c>
      <c r="P74" s="8" t="n">
        <v>11.1</v>
      </c>
    </row>
    <row r="75" ht="110" customHeight="1">
      <c r="A75" s="3" t="inlineStr">
        <is>
          <t>12858419</t>
        </is>
      </c>
      <c r="B75" s="3" t="inlineStr">
        <is>
          <t>25-05-2026</t>
        </is>
      </c>
      <c r="C75" s="3" t="inlineStr">
        <is>
          <t>Plaza</t>
        </is>
      </c>
      <c r="D75" s="3" t="inlineStr">
        <is>
          <t>11413</t>
        </is>
      </c>
      <c r="E75" s="4" t="inlineStr">
        <is>
          <t>Panicum Fountain</t>
        </is>
      </c>
      <c r="F75" s="4" t="inlineStr">
        <is>
          <t>Del Golfo</t>
        </is>
      </c>
      <c r="G75" s="4" t="inlineStr">
        <is>
          <t>COLOR Verde · ALTURA 75 cm</t>
        </is>
      </c>
      <c r="H75" s="3" t="inlineStr">
        <is>
          <t>Tallo</t>
        </is>
      </c>
      <c r="I75" s="3" t="n">
        <v>50</v>
      </c>
      <c r="J75" s="3" t="inlineStr">
        <is>
          <t>50 стеблей</t>
        </is>
      </c>
      <c r="K75" s="4">
        <f>IMAGE("https://cdn.verdnatura.es/image/catalog/1600x900/11413")</f>
        <v/>
      </c>
      <c r="L75" s="5" t="n"/>
      <c r="M75" s="6" t="n"/>
      <c r="N75" s="7" t="n"/>
      <c r="O75" s="8" t="n">
        <v>0.18</v>
      </c>
      <c r="P75" s="8" t="n">
        <v>9</v>
      </c>
    </row>
    <row r="76" ht="110" customHeight="1">
      <c r="A76" s="3" t="inlineStr">
        <is>
          <t>12858419</t>
        </is>
      </c>
      <c r="B76" s="3" t="inlineStr">
        <is>
          <t>25-05-2026</t>
        </is>
      </c>
      <c r="C76" s="3" t="inlineStr">
        <is>
          <t>Plaza</t>
        </is>
      </c>
      <c r="D76" s="3" t="inlineStr">
        <is>
          <t>42262</t>
        </is>
      </c>
      <c r="E76" s="4" t="inlineStr">
        <is>
          <t>Peonia Flame</t>
        </is>
      </c>
      <c r="F76" s="4" t="inlineStr">
        <is>
          <t>My-Peony</t>
        </is>
      </c>
      <c r="G76" s="4" t="inlineStr">
        <is>
          <t>COLOR Fucsia · ALTURA 60 cm · APERTURA 2-3</t>
        </is>
      </c>
      <c r="H76" s="3" t="inlineStr"/>
      <c r="I76" s="3" t="n">
        <v>50</v>
      </c>
      <c r="J76" s="3" t="inlineStr">
        <is>
          <t>50 шт.</t>
        </is>
      </c>
      <c r="K76" s="4">
        <f>IMAGE("https://cdn.verdnatura.es/image/catalog/1600x900/42262")</f>
        <v/>
      </c>
      <c r="L76" s="5" t="n"/>
      <c r="M76" s="6" t="n"/>
      <c r="N76" s="7" t="n"/>
      <c r="O76" s="8" t="n">
        <v>0.66</v>
      </c>
      <c r="P76" s="8" t="n">
        <v>33</v>
      </c>
    </row>
    <row r="77" ht="110" customHeight="1">
      <c r="A77" s="3" t="inlineStr">
        <is>
          <t>12858419</t>
        </is>
      </c>
      <c r="B77" s="3" t="inlineStr">
        <is>
          <t>25-05-2026</t>
        </is>
      </c>
      <c r="C77" s="3" t="inlineStr">
        <is>
          <t>Plaza</t>
        </is>
      </c>
      <c r="D77" s="3" t="inlineStr">
        <is>
          <t>179136</t>
        </is>
      </c>
      <c r="E77" s="4" t="inlineStr">
        <is>
          <t>Peonia Gardenia</t>
        </is>
      </c>
      <c r="F77" s="4" t="inlineStr">
        <is>
          <t>Dominique</t>
        </is>
      </c>
      <c r="G77" s="4" t="inlineStr">
        <is>
          <t>COLOR Blanco/Rosa · ALTURA 60 cm · APERTURA 2-3</t>
        </is>
      </c>
      <c r="H77" s="3" t="inlineStr"/>
      <c r="I77" s="3" t="n">
        <v>40</v>
      </c>
      <c r="J77" s="3" t="inlineStr">
        <is>
          <t>40 шт.</t>
        </is>
      </c>
      <c r="K77" s="4">
        <f>IMAGE("https://cdn.verdnatura.es/image/catalog/1600x900/179136")</f>
        <v/>
      </c>
      <c r="L77" s="5" t="n"/>
      <c r="M77" s="6" t="n"/>
      <c r="N77" s="7" t="n"/>
      <c r="O77" s="8" t="n">
        <v>1.36</v>
      </c>
      <c r="P77" s="8" t="n">
        <v>54.4</v>
      </c>
    </row>
    <row r="78" ht="110" customHeight="1">
      <c r="A78" s="3" t="inlineStr">
        <is>
          <t>12858419</t>
        </is>
      </c>
      <c r="B78" s="3" t="inlineStr">
        <is>
          <t>25-05-2026</t>
        </is>
      </c>
      <c r="C78" s="3" t="inlineStr">
        <is>
          <t>Plaza</t>
        </is>
      </c>
      <c r="D78" s="3" t="inlineStr">
        <is>
          <t>149</t>
        </is>
      </c>
      <c r="E78" s="4" t="inlineStr">
        <is>
          <t>PITT Nigra 150 gr</t>
        </is>
      </c>
      <c r="F78" s="4" t="inlineStr"/>
      <c r="G78" s="4" t="inlineStr">
        <is>
          <t>COLOR Matizado · ALTURA 50 cm</t>
        </is>
      </c>
      <c r="H78" s="3" t="inlineStr">
        <is>
          <t>Paquete</t>
        </is>
      </c>
      <c r="I78" s="3" t="n">
        <v>5</v>
      </c>
      <c r="J78" s="3" t="inlineStr">
        <is>
          <t>5 пачек</t>
        </is>
      </c>
      <c r="K78" s="4">
        <f>IMAGE("https://cdn.verdnatura.es/image/catalog/1600x900/149")</f>
        <v/>
      </c>
      <c r="L78" s="5" t="n"/>
      <c r="M78" s="6" t="n"/>
      <c r="N78" s="7" t="n"/>
      <c r="O78" s="8" t="n">
        <v>2.4</v>
      </c>
      <c r="P78" s="8" t="n">
        <v>12</v>
      </c>
    </row>
    <row r="79" ht="110" customHeight="1">
      <c r="A79" s="3" t="inlineStr">
        <is>
          <t>12858419</t>
        </is>
      </c>
      <c r="B79" s="3" t="inlineStr">
        <is>
          <t>25-05-2026</t>
        </is>
      </c>
      <c r="C79" s="3" t="inlineStr">
        <is>
          <t>Plaza</t>
        </is>
      </c>
      <c r="D79" s="3" t="inlineStr">
        <is>
          <t>188826</t>
        </is>
      </c>
      <c r="E79" s="4" t="inlineStr">
        <is>
          <t>RS Boogy</t>
        </is>
      </c>
      <c r="F79" s="4" t="inlineStr">
        <is>
          <t>Pride of Africa</t>
        </is>
      </c>
      <c r="G79" s="4" t="inlineStr">
        <is>
          <t>COLOR Fucsia · ALTURA 40 cm · BOTÓN MINIMO 3.5 cm</t>
        </is>
      </c>
      <c r="H79" s="3" t="inlineStr"/>
      <c r="I79" s="3" t="n">
        <v>30</v>
      </c>
      <c r="J79" s="3" t="inlineStr">
        <is>
          <t>30 шт.</t>
        </is>
      </c>
      <c r="K79" s="4">
        <f>IMAGE("https://cdn.verdnatura.es/image/catalog/1600x900/188826")</f>
        <v/>
      </c>
      <c r="L79" s="5" t="n"/>
      <c r="M79" s="6" t="n"/>
      <c r="N79" s="7" t="n"/>
      <c r="O79" s="8" t="n">
        <v>0.2</v>
      </c>
      <c r="P79" s="8" t="n">
        <v>6</v>
      </c>
    </row>
    <row r="80" ht="110" customHeight="1">
      <c r="A80" s="3" t="inlineStr">
        <is>
          <t>12858419</t>
        </is>
      </c>
      <c r="B80" s="3" t="inlineStr">
        <is>
          <t>25-05-2026</t>
        </is>
      </c>
      <c r="C80" s="3" t="inlineStr">
        <is>
          <t>Plaza</t>
        </is>
      </c>
      <c r="D80" s="3" t="inlineStr">
        <is>
          <t>189428</t>
        </is>
      </c>
      <c r="E80" s="4" t="inlineStr">
        <is>
          <t>RS Rainbow Mix</t>
        </is>
      </c>
      <c r="F80" s="4" t="inlineStr">
        <is>
          <t>Alpha Flora</t>
        </is>
      </c>
      <c r="G80" s="4" t="inlineStr">
        <is>
          <t>COLOR Mixto · ALTURA 40 cm</t>
        </is>
      </c>
      <c r="H80" s="3" t="inlineStr"/>
      <c r="I80" s="3" t="n">
        <v>80</v>
      </c>
      <c r="J80" s="3" t="inlineStr">
        <is>
          <t>80 шт.</t>
        </is>
      </c>
      <c r="K80" s="4">
        <f>IMAGE("https://cdn.verdnatura.es/image/catalog/1600x900/189428")</f>
        <v/>
      </c>
      <c r="L80" s="5" t="n"/>
      <c r="M80" s="6" t="n"/>
      <c r="N80" s="7" t="n"/>
      <c r="O80" s="8" t="n">
        <v>0.23</v>
      </c>
      <c r="P80" s="8" t="n">
        <v>18.4</v>
      </c>
    </row>
    <row r="81" ht="110" customHeight="1">
      <c r="A81" s="3" t="inlineStr">
        <is>
          <t>12858419</t>
        </is>
      </c>
      <c r="B81" s="3" t="inlineStr">
        <is>
          <t>25-05-2026</t>
        </is>
      </c>
      <c r="C81" s="3" t="inlineStr">
        <is>
          <t>Plaza</t>
        </is>
      </c>
      <c r="D81" s="3" t="inlineStr">
        <is>
          <t>73611</t>
        </is>
      </c>
      <c r="E81" s="4" t="inlineStr">
        <is>
          <t>Skimmia J Rubella</t>
        </is>
      </c>
      <c r="F81" s="4" t="inlineStr"/>
      <c r="G81" s="4" t="inlineStr">
        <is>
          <t>COLOR Granate · ALTURA 45 cm</t>
        </is>
      </c>
      <c r="H81" s="3" t="inlineStr">
        <is>
          <t>Paquete</t>
        </is>
      </c>
      <c r="I81" s="3" t="n">
        <v>10</v>
      </c>
      <c r="J81" s="3" t="inlineStr">
        <is>
          <t>10 пачек</t>
        </is>
      </c>
      <c r="K81" s="4">
        <f>IMAGE("https://cdn.verdnatura.es/image/catalog/1600x900/73611")</f>
        <v/>
      </c>
      <c r="L81" s="5" t="n"/>
      <c r="M81" s="6" t="n"/>
      <c r="N81" s="7" t="n"/>
      <c r="O81" s="8" t="n">
        <v>5.56</v>
      </c>
      <c r="P81" s="8" t="n">
        <v>55.6</v>
      </c>
    </row>
    <row r="82" ht="110" customHeight="1">
      <c r="A82" s="3" t="inlineStr">
        <is>
          <t>12858419</t>
        </is>
      </c>
      <c r="B82" s="3" t="inlineStr">
        <is>
          <t>25-05-2026</t>
        </is>
      </c>
      <c r="C82" s="3" t="inlineStr">
        <is>
          <t>Plaza</t>
        </is>
      </c>
      <c r="D82" s="3" t="inlineStr">
        <is>
          <t>159547</t>
        </is>
      </c>
      <c r="E82" s="4" t="inlineStr">
        <is>
          <t>Statice Celeste</t>
        </is>
      </c>
      <c r="F82" s="4" t="inlineStr">
        <is>
          <t>Santa Dorotea</t>
        </is>
      </c>
      <c r="G82" s="4" t="inlineStr">
        <is>
          <t>COLOR Lavanda · ALTURA 70 cm · PESO/TALLO 30 gr</t>
        </is>
      </c>
      <c r="H82" s="3" t="inlineStr"/>
      <c r="I82" s="3" t="n">
        <v>25</v>
      </c>
      <c r="J82" s="3" t="inlineStr">
        <is>
          <t>25 шт.</t>
        </is>
      </c>
      <c r="K82" s="4">
        <f>IMAGE("https://cdn.verdnatura.es/image/catalog/1600x900/159547")</f>
        <v/>
      </c>
      <c r="L82" s="5" t="n"/>
      <c r="M82" s="6" t="n"/>
      <c r="N82" s="7" t="n"/>
      <c r="O82" s="8" t="n">
        <v>0.31</v>
      </c>
      <c r="P82" s="8" t="n">
        <v>7.75</v>
      </c>
    </row>
    <row r="83" ht="110" customHeight="1">
      <c r="A83" s="3" t="inlineStr">
        <is>
          <t>12858419</t>
        </is>
      </c>
      <c r="B83" s="3" t="inlineStr">
        <is>
          <t>25-05-2026</t>
        </is>
      </c>
      <c r="C83" s="3" t="inlineStr">
        <is>
          <t>Plaza</t>
        </is>
      </c>
      <c r="D83" s="3" t="inlineStr">
        <is>
          <t>27902</t>
        </is>
      </c>
      <c r="E83" s="4" t="inlineStr">
        <is>
          <t>Statice Rosa</t>
        </is>
      </c>
      <c r="F83" s="4" t="inlineStr">
        <is>
          <t>Santa Dorotea</t>
        </is>
      </c>
      <c r="G83" s="4" t="inlineStr">
        <is>
          <t>COLOR Rosa · ALTURA 70 cm · PESO/TALLO 30 gr</t>
        </is>
      </c>
      <c r="H83" s="3" t="inlineStr"/>
      <c r="I83" s="3" t="n">
        <v>25</v>
      </c>
      <c r="J83" s="3" t="inlineStr">
        <is>
          <t>25 шт.</t>
        </is>
      </c>
      <c r="K83" s="4">
        <f>IMAGE("https://cdn.verdnatura.es/image/catalog/1600x900/27902")</f>
        <v/>
      </c>
      <c r="L83" s="5" t="n"/>
      <c r="M83" s="6" t="n"/>
      <c r="N83" s="7" t="n"/>
      <c r="O83" s="8" t="n">
        <v>0.31</v>
      </c>
      <c r="P83" s="8" t="n">
        <v>7.75</v>
      </c>
    </row>
    <row r="84" ht="110" customHeight="1">
      <c r="A84" s="3" t="inlineStr">
        <is>
          <t>12858419</t>
        </is>
      </c>
      <c r="B84" s="3" t="inlineStr">
        <is>
          <t>25-05-2026</t>
        </is>
      </c>
      <c r="C84" s="3" t="inlineStr">
        <is>
          <t>Plaza</t>
        </is>
      </c>
      <c r="D84" s="3" t="inlineStr">
        <is>
          <t>102785</t>
        </is>
      </c>
      <c r="E84" s="4" t="inlineStr">
        <is>
          <t>Talinum Paniculatum Long John</t>
        </is>
      </c>
      <c r="F84" s="4" t="inlineStr">
        <is>
          <t>Marginpar / BF</t>
        </is>
      </c>
      <c r="G84" s="4" t="inlineStr">
        <is>
          <t>COLOR Marrón · ALTURA 70 cm</t>
        </is>
      </c>
      <c r="H84" s="3" t="inlineStr">
        <is>
          <t>Tallo</t>
        </is>
      </c>
      <c r="I84" s="3" t="n">
        <v>50</v>
      </c>
      <c r="J84" s="3" t="inlineStr">
        <is>
          <t>50 стеблей</t>
        </is>
      </c>
      <c r="K84" s="4">
        <f>IMAGE("https://cdn.verdnatura.es/image/catalog/1600x900/102785")</f>
        <v/>
      </c>
      <c r="L84" s="5" t="n"/>
      <c r="M84" s="6" t="n"/>
      <c r="N84" s="7" t="n"/>
      <c r="O84" s="8" t="n">
        <v>0.36</v>
      </c>
      <c r="P84" s="8" t="n">
        <v>18</v>
      </c>
    </row>
    <row r="85" ht="110" customHeight="1">
      <c r="A85" s="3" t="inlineStr">
        <is>
          <t>12858419</t>
        </is>
      </c>
      <c r="B85" s="3" t="inlineStr">
        <is>
          <t>25-05-2026</t>
        </is>
      </c>
      <c r="C85" s="3" t="inlineStr">
        <is>
          <t>Plaza</t>
        </is>
      </c>
      <c r="D85" s="3" t="inlineStr">
        <is>
          <t>151526</t>
        </is>
      </c>
      <c r="E85" s="4" t="inlineStr">
        <is>
          <t>TUL Estella Rijnveld</t>
        </is>
      </c>
      <c r="F85" s="4" t="inlineStr"/>
      <c r="G85" s="4" t="inlineStr">
        <is>
          <t>COLOR Rojo/Blanco · ALTURA 40 cm · PESO/TALLO 34 gr</t>
        </is>
      </c>
      <c r="H85" s="3" t="inlineStr"/>
      <c r="I85" s="3" t="n">
        <v>50</v>
      </c>
      <c r="J85" s="3" t="inlineStr">
        <is>
          <t>50 шт.</t>
        </is>
      </c>
      <c r="K85" s="4">
        <f>IMAGE("https://cdn.verdnatura.es/image/catalog/1600x900/151526")</f>
        <v/>
      </c>
      <c r="L85" s="5" t="n"/>
      <c r="M85" s="6" t="n"/>
      <c r="N85" s="7" t="n"/>
      <c r="O85" s="8" t="n">
        <v>0.53</v>
      </c>
      <c r="P85" s="8" t="n">
        <v>26.5</v>
      </c>
    </row>
    <row r="86" ht="110" customHeight="1">
      <c r="A86" s="3" t="inlineStr">
        <is>
          <t>12858419</t>
        </is>
      </c>
      <c r="B86" s="3" t="inlineStr">
        <is>
          <t>25-05-2026</t>
        </is>
      </c>
      <c r="C86" s="3" t="inlineStr">
        <is>
          <t>Plaza</t>
        </is>
      </c>
      <c r="D86" s="3" t="inlineStr">
        <is>
          <t>16148</t>
        </is>
      </c>
      <c r="E86" s="4" t="inlineStr">
        <is>
          <t>TUL Icoon Double</t>
        </is>
      </c>
      <c r="F86" s="4" t="inlineStr"/>
      <c r="G86" s="4" t="inlineStr">
        <is>
          <t>COLOR Naranja · ALTURA 36 cm · PESO/TALLO 31 gr</t>
        </is>
      </c>
      <c r="H86" s="3" t="inlineStr"/>
      <c r="I86" s="3" t="n">
        <v>50</v>
      </c>
      <c r="J86" s="3" t="inlineStr">
        <is>
          <t>50 шт.</t>
        </is>
      </c>
      <c r="K86" s="4">
        <f>IMAGE("https://cdn.verdnatura.es/image/catalog/1600x900/16148")</f>
        <v/>
      </c>
      <c r="L86" s="5" t="n"/>
      <c r="M86" s="6" t="n"/>
      <c r="N86" s="7" t="n"/>
      <c r="O86" s="8" t="n">
        <v>0.29</v>
      </c>
      <c r="P86" s="8" t="n">
        <v>14.5</v>
      </c>
    </row>
    <row r="87" ht="110" customHeight="1">
      <c r="A87" s="3" t="inlineStr">
        <is>
          <t>12858419</t>
        </is>
      </c>
      <c r="B87" s="3" t="inlineStr">
        <is>
          <t>25-05-2026</t>
        </is>
      </c>
      <c r="C87" s="3" t="inlineStr">
        <is>
          <t>Plaza</t>
        </is>
      </c>
      <c r="D87" s="3" t="inlineStr">
        <is>
          <t>131458</t>
        </is>
      </c>
      <c r="E87" s="4" t="inlineStr">
        <is>
          <t>TUL Mark Design</t>
        </is>
      </c>
      <c r="F87" s="4" t="inlineStr"/>
      <c r="G87" s="4" t="inlineStr">
        <is>
          <t>COLOR Rosa · ALTURA 36 cm · PESO/TALLO 24 gr</t>
        </is>
      </c>
      <c r="H87" s="3" t="inlineStr"/>
      <c r="I87" s="3" t="n">
        <v>100</v>
      </c>
      <c r="J87" s="3" t="inlineStr">
        <is>
          <t>100 шт.</t>
        </is>
      </c>
      <c r="K87" s="4">
        <f>IMAGE("https://cdn.verdnatura.es/image/catalog/1600x900/131458")</f>
        <v/>
      </c>
      <c r="L87" s="5" t="n"/>
      <c r="M87" s="6" t="n"/>
      <c r="N87" s="7" t="n"/>
      <c r="O87" s="8" t="n">
        <v>0.26</v>
      </c>
      <c r="P87" s="8" t="n">
        <v>26</v>
      </c>
    </row>
    <row r="88" ht="110" customHeight="1">
      <c r="A88" s="3" t="inlineStr">
        <is>
          <t>12858419</t>
        </is>
      </c>
      <c r="B88" s="3" t="inlineStr">
        <is>
          <t>25-05-2026</t>
        </is>
      </c>
      <c r="C88" s="3" t="inlineStr">
        <is>
          <t>Plaza</t>
        </is>
      </c>
      <c r="D88" s="3" t="inlineStr">
        <is>
          <t>32013</t>
        </is>
      </c>
      <c r="E88" s="4" t="inlineStr">
        <is>
          <t>TUL Prinses Irene</t>
        </is>
      </c>
      <c r="F88" s="4" t="inlineStr"/>
      <c r="G88" s="4" t="inlineStr">
        <is>
          <t>COLOR Naranja · ALTURA 36 cm · PESO/TALLO 27 gr</t>
        </is>
      </c>
      <c r="H88" s="3" t="inlineStr"/>
      <c r="I88" s="3" t="n">
        <v>50</v>
      </c>
      <c r="J88" s="3" t="inlineStr">
        <is>
          <t>50 шт.</t>
        </is>
      </c>
      <c r="K88" s="4">
        <f>IMAGE("https://cdn.verdnatura.es/image/catalog/1600x900/32013")</f>
        <v/>
      </c>
      <c r="L88" s="5" t="n"/>
      <c r="M88" s="6" t="n"/>
      <c r="N88" s="7" t="n"/>
      <c r="O88" s="8" t="n">
        <v>0.29</v>
      </c>
      <c r="P88" s="8" t="n">
        <v>14.5</v>
      </c>
    </row>
    <row r="89" ht="110" customHeight="1">
      <c r="A89" s="3" t="inlineStr">
        <is>
          <t>12858419</t>
        </is>
      </c>
      <c r="B89" s="3" t="inlineStr">
        <is>
          <t>25-05-2026</t>
        </is>
      </c>
      <c r="C89" s="3" t="inlineStr">
        <is>
          <t>Plaza</t>
        </is>
      </c>
      <c r="D89" s="3" t="inlineStr">
        <is>
          <t>17598</t>
        </is>
      </c>
      <c r="E89" s="4" t="inlineStr">
        <is>
          <t>Viburn Tinus Marfull</t>
        </is>
      </c>
      <c r="F89" s="4" t="inlineStr"/>
      <c r="G89" s="4" t="inlineStr">
        <is>
          <t>COLOR Verde · ALTURA 70 cm</t>
        </is>
      </c>
      <c r="H89" s="3" t="inlineStr">
        <is>
          <t>Paquete</t>
        </is>
      </c>
      <c r="I89" s="3" t="n">
        <v>5</v>
      </c>
      <c r="J89" s="3" t="inlineStr">
        <is>
          <t>5 пачек</t>
        </is>
      </c>
      <c r="K89" s="4">
        <f>IMAGE("https://cdn.verdnatura.es/image/catalog/1600x900/17598")</f>
        <v/>
      </c>
      <c r="L89" s="5" t="n"/>
      <c r="M89" s="6" t="n"/>
      <c r="N89" s="7" t="n"/>
      <c r="O89" s="8" t="n">
        <v>2.84</v>
      </c>
      <c r="P89" s="8" t="n">
        <v>14.2</v>
      </c>
    </row>
    <row r="90" ht="26" customHeight="1">
      <c r="A90" s="2" t="inlineStr">
        <is>
          <t>📦  Накладная #12858613  ·  25-05-2026  ·  Plaza  ·  5 позиций  ·  bultos: 5</t>
        </is>
      </c>
    </row>
    <row r="91" ht="110" customHeight="1">
      <c r="A91" s="3" t="inlineStr">
        <is>
          <t>12858613</t>
        </is>
      </c>
      <c r="B91" s="3" t="inlineStr">
        <is>
          <t>25-05-2026</t>
        </is>
      </c>
      <c r="C91" s="3" t="inlineStr">
        <is>
          <t>Plaza</t>
        </is>
      </c>
      <c r="D91" s="3" t="inlineStr">
        <is>
          <t>184556</t>
        </is>
      </c>
      <c r="E91" s="4" t="inlineStr">
        <is>
          <t>Cesta Leticia M</t>
        </is>
      </c>
      <c r="F91" s="4" t="inlineStr">
        <is>
          <t>Verdnatura</t>
        </is>
      </c>
      <c r="G91" s="4" t="inlineStr">
        <is>
          <t>ALTURA CON ASA 29 cm · ALTURA 22 cm · DIAMETRO 22 cm</t>
        </is>
      </c>
      <c r="H91" s="3" t="inlineStr"/>
      <c r="I91" s="3" t="n">
        <v>4</v>
      </c>
      <c r="J91" s="3" t="inlineStr">
        <is>
          <t>4 шт.</t>
        </is>
      </c>
      <c r="K91" s="4">
        <f>IMAGE("https://cdn.verdnatura.es/image/catalog/1600x900/184556")</f>
        <v/>
      </c>
      <c r="L91" s="5" t="n"/>
      <c r="M91" s="6" t="n"/>
      <c r="N91" s="7" t="n"/>
      <c r="O91" s="8" t="n">
        <v>4.47</v>
      </c>
      <c r="P91" s="8" t="n">
        <v>17.88</v>
      </c>
    </row>
    <row r="92" ht="110" customHeight="1">
      <c r="A92" s="3" t="inlineStr">
        <is>
          <t>12858613</t>
        </is>
      </c>
      <c r="B92" s="3" t="inlineStr">
        <is>
          <t>25-05-2026</t>
        </is>
      </c>
      <c r="C92" s="3" t="inlineStr">
        <is>
          <t>Plaza</t>
        </is>
      </c>
      <c r="D92" s="3" t="inlineStr">
        <is>
          <t>114094</t>
        </is>
      </c>
      <c r="E92" s="4" t="inlineStr">
        <is>
          <t>Copa Emperatriz</t>
        </is>
      </c>
      <c r="F92" s="4" t="inlineStr">
        <is>
          <t>Verdnatura</t>
        </is>
      </c>
      <c r="G92" s="4" t="inlineStr">
        <is>
          <t>ALTURA 17.7 cm · DIAMETRO 28.5 cm · DIAMETRO BOCA 25.5 cm</t>
        </is>
      </c>
      <c r="H92" s="3" t="inlineStr"/>
      <c r="I92" s="3" t="n">
        <v>4</v>
      </c>
      <c r="J92" s="3" t="inlineStr">
        <is>
          <t>4 шт.</t>
        </is>
      </c>
      <c r="K92" s="4">
        <f>IMAGE("https://cdn.verdnatura.es/image/catalog/1600x900/114094")</f>
        <v/>
      </c>
      <c r="L92" s="5" t="n"/>
      <c r="M92" s="6" t="n"/>
      <c r="N92" s="7" t="n"/>
      <c r="O92" s="8" t="n">
        <v>9.09</v>
      </c>
      <c r="P92" s="8" t="n">
        <v>36.36</v>
      </c>
    </row>
    <row r="93" ht="110" customHeight="1">
      <c r="A93" s="3" t="inlineStr">
        <is>
          <t>12858613</t>
        </is>
      </c>
      <c r="B93" s="3" t="inlineStr">
        <is>
          <t>25-05-2026</t>
        </is>
      </c>
      <c r="C93" s="3" t="inlineStr">
        <is>
          <t>Plaza</t>
        </is>
      </c>
      <c r="D93" s="3" t="inlineStr">
        <is>
          <t>23469</t>
        </is>
      </c>
      <c r="E93" s="4" t="inlineStr">
        <is>
          <t>DENDRO Berry Oda (Orchid Colle</t>
        </is>
      </c>
      <c r="F93" s="4" t="inlineStr">
        <is>
          <t>Bos - Orchids</t>
        </is>
      </c>
      <c r="G93" s="4" t="inlineStr">
        <is>
          <t>COLOR Fucsia · ALTURA 40 cm · MACETA 12</t>
        </is>
      </c>
      <c r="H93" s="3" t="inlineStr"/>
      <c r="I93" s="3" t="n">
        <v>6</v>
      </c>
      <c r="J93" s="3" t="inlineStr">
        <is>
          <t>6 шт.</t>
        </is>
      </c>
      <c r="K93" s="4">
        <f>IMAGE("https://cdn.verdnatura.es/image/catalog/1600x900/23469")</f>
        <v/>
      </c>
      <c r="L93" s="5" t="n"/>
      <c r="M93" s="6" t="n"/>
      <c r="N93" s="7" t="n"/>
      <c r="O93" s="8" t="n">
        <v>8.18</v>
      </c>
      <c r="P93" s="8" t="n">
        <v>49.08</v>
      </c>
    </row>
    <row r="94" ht="110" customHeight="1">
      <c r="A94" s="3" t="inlineStr">
        <is>
          <t>12858613</t>
        </is>
      </c>
      <c r="B94" s="3" t="inlineStr">
        <is>
          <t>25-05-2026</t>
        </is>
      </c>
      <c r="C94" s="3" t="inlineStr">
        <is>
          <t>Plaza</t>
        </is>
      </c>
      <c r="D94" s="3" t="inlineStr">
        <is>
          <t>203438</t>
        </is>
      </c>
      <c r="E94" s="4" t="inlineStr">
        <is>
          <t>Echeveria Agav Ebony</t>
        </is>
      </c>
      <c r="F94" s="4" t="inlineStr">
        <is>
          <t>Euro Cactus BV</t>
        </is>
      </c>
      <c r="G94" s="4" t="inlineStr">
        <is>
          <t>COLOR Rojo/Verde · ALTURA 18 cm · MACETA 12</t>
        </is>
      </c>
      <c r="H94" s="3" t="inlineStr"/>
      <c r="I94" s="3" t="n">
        <v>6</v>
      </c>
      <c r="J94" s="3" t="inlineStr">
        <is>
          <t>6 шт.</t>
        </is>
      </c>
      <c r="K94" s="4">
        <f>IMAGE("https://cdn.verdnatura.es/image/catalog/1600x900/203438")</f>
        <v/>
      </c>
      <c r="L94" s="5" t="n"/>
      <c r="M94" s="6" t="n"/>
      <c r="N94" s="7" t="n"/>
      <c r="O94" s="8" t="n">
        <v>2.91</v>
      </c>
      <c r="P94" s="8" t="n">
        <v>17.46</v>
      </c>
    </row>
    <row r="95" ht="110" customHeight="1">
      <c r="A95" s="3" t="inlineStr">
        <is>
          <t>12858613</t>
        </is>
      </c>
      <c r="B95" s="3" t="inlineStr">
        <is>
          <t>25-05-2026</t>
        </is>
      </c>
      <c r="C95" s="3" t="inlineStr">
        <is>
          <t>Plaza</t>
        </is>
      </c>
      <c r="D95" s="3" t="inlineStr">
        <is>
          <t>170218</t>
        </is>
      </c>
      <c r="E95" s="4" t="inlineStr">
        <is>
          <t>Suculentas Mix</t>
        </is>
      </c>
      <c r="F95" s="4" t="inlineStr">
        <is>
          <t>VP</t>
        </is>
      </c>
      <c r="G95" s="4" t="inlineStr">
        <is>
          <t>COLOR Verde · ALTURA 16 cm · MACETA 8.5</t>
        </is>
      </c>
      <c r="H95" s="3" t="inlineStr"/>
      <c r="I95" s="3" t="n">
        <v>12</v>
      </c>
      <c r="J95" s="3" t="inlineStr">
        <is>
          <t>12 шт.</t>
        </is>
      </c>
      <c r="K95" s="4">
        <f>IMAGE("https://cdn.verdnatura.es/image/catalog/1600x900/170218")</f>
        <v/>
      </c>
      <c r="L95" s="5" t="n"/>
      <c r="M95" s="6" t="n"/>
      <c r="N95" s="7" t="n"/>
      <c r="O95" s="8" t="n">
        <v>1.05</v>
      </c>
      <c r="P95" s="8" t="n">
        <v>12.6</v>
      </c>
    </row>
    <row r="96" ht="26" customHeight="1">
      <c r="A96" s="2" t="inlineStr">
        <is>
          <t>📦  Накладная #12858675  ·  25-05-2026  ·  Plaza  ·  1 позиций  ·  bultos: 1</t>
        </is>
      </c>
    </row>
    <row r="97" ht="110" customHeight="1">
      <c r="A97" s="3" t="inlineStr">
        <is>
          <t>12858675</t>
        </is>
      </c>
      <c r="B97" s="3" t="inlineStr">
        <is>
          <t>25-05-2026</t>
        </is>
      </c>
      <c r="C97" s="3" t="inlineStr">
        <is>
          <t>Plaza</t>
        </is>
      </c>
      <c r="D97" s="3" t="inlineStr">
        <is>
          <t>166346</t>
        </is>
      </c>
      <c r="E97" s="4" t="inlineStr">
        <is>
          <t>Set de 2 Cesta Asa Corel</t>
        </is>
      </c>
      <c r="F97" s="4" t="inlineStr">
        <is>
          <t>Verdnatura</t>
        </is>
      </c>
      <c r="G97" s="4" t="inlineStr">
        <is>
          <t>ALTURA CON ASA 21 cm · ALTURA 15 cm · DIAMETRO 27 cm</t>
        </is>
      </c>
      <c r="H97" s="3" t="inlineStr"/>
      <c r="I97" s="3" t="n">
        <v>1</v>
      </c>
      <c r="J97" s="3" t="inlineStr">
        <is>
          <t>1 шт.</t>
        </is>
      </c>
      <c r="K97" s="4">
        <f>IMAGE("https://cdn.verdnatura.es/image/catalog/1600x900/166346")</f>
        <v/>
      </c>
      <c r="L97" s="5" t="n"/>
      <c r="M97" s="6" t="n"/>
      <c r="N97" s="7" t="n"/>
      <c r="O97" s="8" t="n">
        <v>7.95</v>
      </c>
      <c r="P97" s="8" t="n">
        <v>7.95</v>
      </c>
    </row>
    <row r="98" ht="26" customHeight="1">
      <c r="A98" s="2" t="inlineStr">
        <is>
          <t>📦  Накладная #12859913  ·  25-05-2026  ·  Plaza  ·  29 позиций  ·  bultos: 4</t>
        </is>
      </c>
    </row>
    <row r="99" ht="110" customHeight="1">
      <c r="A99" s="3" t="inlineStr">
        <is>
          <t>12859913</t>
        </is>
      </c>
      <c r="B99" s="3" t="inlineStr">
        <is>
          <t>25-05-2026</t>
        </is>
      </c>
      <c r="C99" s="3" t="inlineStr">
        <is>
          <t>Plaza</t>
        </is>
      </c>
      <c r="D99" s="3" t="inlineStr">
        <is>
          <t>163899</t>
        </is>
      </c>
      <c r="E99" s="4" t="inlineStr">
        <is>
          <t>CL Kiss Teñido</t>
        </is>
      </c>
      <c r="F99" s="4" t="inlineStr">
        <is>
          <t>Santa Dorotea EXPORT</t>
        </is>
      </c>
      <c r="G99" s="4" t="inlineStr">
        <is>
          <t>COLOR Purpura/Rosa · ALTURA 70 cm · Nº TALLOS 20</t>
        </is>
      </c>
      <c r="H99" s="3" t="inlineStr"/>
      <c r="I99" s="3" t="n">
        <v>20</v>
      </c>
      <c r="J99" s="3" t="inlineStr">
        <is>
          <t>20 шт.</t>
        </is>
      </c>
      <c r="K99" s="4">
        <f>IMAGE("https://cdn.verdnatura.es/image/catalog/1600x900/163899")</f>
        <v/>
      </c>
      <c r="L99" s="5" t="n"/>
      <c r="M99" s="6" t="n"/>
      <c r="N99" s="7" t="n"/>
      <c r="O99" s="8" t="n">
        <v>0.38</v>
      </c>
      <c r="P99" s="8" t="n">
        <v>7.6</v>
      </c>
    </row>
    <row r="100" ht="110" customHeight="1">
      <c r="A100" s="3" t="inlineStr">
        <is>
          <t>12859913</t>
        </is>
      </c>
      <c r="B100" s="3" t="inlineStr">
        <is>
          <t>25-05-2026</t>
        </is>
      </c>
      <c r="C100" s="3" t="inlineStr">
        <is>
          <t>Plaza</t>
        </is>
      </c>
      <c r="D100" s="3" t="inlineStr">
        <is>
          <t>95338</t>
        </is>
      </c>
      <c r="E100" s="4" t="inlineStr">
        <is>
          <t>CR Molly Yellow</t>
        </is>
      </c>
      <c r="F100" s="4" t="inlineStr">
        <is>
          <t>Benchmark</t>
        </is>
      </c>
      <c r="G100" s="4" t="inlineStr">
        <is>
          <t>COLOR Amarillo · ALTURA 70 cm</t>
        </is>
      </c>
      <c r="H100" s="3" t="inlineStr"/>
      <c r="I100" s="3" t="n">
        <v>20</v>
      </c>
      <c r="J100" s="3" t="inlineStr">
        <is>
          <t>20 шт.</t>
        </is>
      </c>
      <c r="K100" s="4">
        <f>IMAGE("https://cdn.verdnatura.es/image/catalog/1600x900/95338")</f>
        <v/>
      </c>
      <c r="L100" s="5" t="n"/>
      <c r="M100" s="6" t="n"/>
      <c r="N100" s="7" t="n"/>
      <c r="O100" s="8" t="n">
        <v>0.36</v>
      </c>
      <c r="P100" s="8" t="n">
        <v>7.2</v>
      </c>
    </row>
    <row r="101" ht="110" customHeight="1">
      <c r="A101" s="3" t="inlineStr">
        <is>
          <t>12859913</t>
        </is>
      </c>
      <c r="B101" s="3" t="inlineStr">
        <is>
          <t>25-05-2026</t>
        </is>
      </c>
      <c r="C101" s="3" t="inlineStr">
        <is>
          <t>Plaza</t>
        </is>
      </c>
      <c r="D101" s="3" t="inlineStr">
        <is>
          <t>147758</t>
        </is>
      </c>
      <c r="E101" s="4" t="inlineStr">
        <is>
          <t>CRU Anastasia Green</t>
        </is>
      </c>
      <c r="F101" s="4" t="inlineStr">
        <is>
          <t>Sayonara</t>
        </is>
      </c>
      <c r="G101" s="4" t="inlineStr">
        <is>
          <t>COLOR Verde · ALTURA 70 cm</t>
        </is>
      </c>
      <c r="H101" s="3" t="inlineStr"/>
      <c r="I101" s="3" t="n">
        <v>20</v>
      </c>
      <c r="J101" s="3" t="inlineStr">
        <is>
          <t>20 шт.</t>
        </is>
      </c>
      <c r="K101" s="4">
        <f>IMAGE("https://cdn.verdnatura.es/image/catalog/1600x900/147758")</f>
        <v/>
      </c>
      <c r="L101" s="5" t="n"/>
      <c r="M101" s="6" t="n"/>
      <c r="N101" s="7" t="n"/>
      <c r="O101" s="8" t="n">
        <v>0.48</v>
      </c>
      <c r="P101" s="8" t="n">
        <v>9.6</v>
      </c>
    </row>
    <row r="102" ht="110" customHeight="1">
      <c r="A102" s="3" t="inlineStr">
        <is>
          <t>12859913</t>
        </is>
      </c>
      <c r="B102" s="3" t="inlineStr">
        <is>
          <t>25-05-2026</t>
        </is>
      </c>
      <c r="C102" s="3" t="inlineStr">
        <is>
          <t>Plaza</t>
        </is>
      </c>
      <c r="D102" s="3" t="inlineStr">
        <is>
          <t>14615</t>
        </is>
      </c>
      <c r="E102" s="4" t="inlineStr">
        <is>
          <t>CRU Anastasia Lavender</t>
        </is>
      </c>
      <c r="F102" s="4" t="inlineStr">
        <is>
          <t>Benchmark</t>
        </is>
      </c>
      <c r="G102" s="4" t="inlineStr">
        <is>
          <t>COLOR Lavanda · ALTURA 70 cm · PESO/TALLO 40-45 gr</t>
        </is>
      </c>
      <c r="H102" s="3" t="inlineStr"/>
      <c r="I102" s="3" t="n">
        <v>20</v>
      </c>
      <c r="J102" s="3" t="inlineStr">
        <is>
          <t>20 шт.</t>
        </is>
      </c>
      <c r="K102" s="4">
        <f>IMAGE("https://cdn.verdnatura.es/image/catalog/1600x900/14615")</f>
        <v/>
      </c>
      <c r="L102" s="5" t="n"/>
      <c r="M102" s="6" t="n"/>
      <c r="N102" s="7" t="n"/>
      <c r="O102" s="8" t="n">
        <v>0.49</v>
      </c>
      <c r="P102" s="8" t="n">
        <v>9.800000000000001</v>
      </c>
    </row>
    <row r="103" ht="110" customHeight="1">
      <c r="A103" s="3" t="inlineStr">
        <is>
          <t>12859913</t>
        </is>
      </c>
      <c r="B103" s="3" t="inlineStr">
        <is>
          <t>25-05-2026</t>
        </is>
      </c>
      <c r="C103" s="3" t="inlineStr">
        <is>
          <t>Plaza</t>
        </is>
      </c>
      <c r="D103" s="3" t="inlineStr">
        <is>
          <t>14612</t>
        </is>
      </c>
      <c r="E103" s="4" t="inlineStr">
        <is>
          <t>CRU Anastasia Yellow</t>
        </is>
      </c>
      <c r="F103" s="4" t="inlineStr">
        <is>
          <t>Benchmark</t>
        </is>
      </c>
      <c r="G103" s="4" t="inlineStr">
        <is>
          <t>COLOR Amarillo · ALTURA 70 cm · PESO/TALLO 35-40 gr</t>
        </is>
      </c>
      <c r="H103" s="3" t="inlineStr"/>
      <c r="I103" s="3" t="n">
        <v>20</v>
      </c>
      <c r="J103" s="3" t="inlineStr">
        <is>
          <t>20 шт.</t>
        </is>
      </c>
      <c r="K103" s="4">
        <f>IMAGE("https://cdn.verdnatura.es/image/catalog/1600x900/14612")</f>
        <v/>
      </c>
      <c r="L103" s="5" t="n"/>
      <c r="M103" s="6" t="n"/>
      <c r="N103" s="7" t="n"/>
      <c r="O103" s="8" t="n">
        <v>0.49</v>
      </c>
      <c r="P103" s="8" t="n">
        <v>9.800000000000001</v>
      </c>
    </row>
    <row r="104" ht="110" customHeight="1">
      <c r="A104" s="3" t="inlineStr">
        <is>
          <t>12859913</t>
        </is>
      </c>
      <c r="B104" s="3" t="inlineStr">
        <is>
          <t>25-05-2026</t>
        </is>
      </c>
      <c r="C104" s="3" t="inlineStr">
        <is>
          <t>Plaza</t>
        </is>
      </c>
      <c r="D104" s="3" t="inlineStr">
        <is>
          <t>145546</t>
        </is>
      </c>
      <c r="E104" s="4" t="inlineStr">
        <is>
          <t>CRU Topspin</t>
        </is>
      </c>
      <c r="F104" s="4" t="inlineStr">
        <is>
          <t>Sayonara</t>
        </is>
      </c>
      <c r="G104" s="4" t="inlineStr">
        <is>
          <t>COLOR Blanco · ALTURA 70 cm</t>
        </is>
      </c>
      <c r="H104" s="3" t="inlineStr"/>
      <c r="I104" s="3" t="n">
        <v>20</v>
      </c>
      <c r="J104" s="3" t="inlineStr">
        <is>
          <t>20 шт.</t>
        </is>
      </c>
      <c r="K104" s="4">
        <f>IMAGE("https://cdn.verdnatura.es/image/catalog/1600x900/145546")</f>
        <v/>
      </c>
      <c r="L104" s="5" t="n"/>
      <c r="M104" s="6" t="n"/>
      <c r="N104" s="7" t="n"/>
      <c r="O104" s="8" t="n">
        <v>0.48</v>
      </c>
      <c r="P104" s="8" t="n">
        <v>9.6</v>
      </c>
    </row>
    <row r="105" ht="110" customHeight="1">
      <c r="A105" s="3" t="inlineStr">
        <is>
          <t>12859913</t>
        </is>
      </c>
      <c r="B105" s="3" t="inlineStr">
        <is>
          <t>25-05-2026</t>
        </is>
      </c>
      <c r="C105" s="3" t="inlineStr">
        <is>
          <t>Plaza</t>
        </is>
      </c>
      <c r="D105" s="3" t="inlineStr">
        <is>
          <t>135580</t>
        </is>
      </c>
      <c r="E105" s="4" t="inlineStr">
        <is>
          <t>GRS Pink Ohara</t>
        </is>
      </c>
      <c r="F105" s="4" t="inlineStr">
        <is>
          <t>Alexandra</t>
        </is>
      </c>
      <c r="G105" s="4" t="inlineStr">
        <is>
          <t>COLOR Rosa · ALTURA 40 cm · BOTÓN MINIMO 5.0 cm</t>
        </is>
      </c>
      <c r="H105" s="3" t="inlineStr"/>
      <c r="I105" s="3" t="n">
        <v>36</v>
      </c>
      <c r="J105" s="3" t="inlineStr">
        <is>
          <t>36 шт.</t>
        </is>
      </c>
      <c r="K105" s="4">
        <f>IMAGE("https://cdn.verdnatura.es/image/catalog/1600x900/135580")</f>
        <v/>
      </c>
      <c r="L105" s="5" t="n"/>
      <c r="M105" s="6" t="n"/>
      <c r="N105" s="7" t="n"/>
      <c r="O105" s="8" t="n">
        <v>0.93</v>
      </c>
      <c r="P105" s="8" t="n">
        <v>33.48</v>
      </c>
    </row>
    <row r="106" ht="110" customHeight="1">
      <c r="A106" s="3" t="inlineStr">
        <is>
          <t>12859913</t>
        </is>
      </c>
      <c r="B106" s="3" t="inlineStr">
        <is>
          <t>25-05-2026</t>
        </is>
      </c>
      <c r="C106" s="3" t="inlineStr">
        <is>
          <t>Plaza</t>
        </is>
      </c>
      <c r="D106" s="3" t="inlineStr">
        <is>
          <t>167811</t>
        </is>
      </c>
      <c r="E106" s="4" t="inlineStr">
        <is>
          <t>GRS Pink Ohara</t>
        </is>
      </c>
      <c r="F106" s="4" t="inlineStr">
        <is>
          <t>Monterosas</t>
        </is>
      </c>
      <c r="G106" s="4" t="inlineStr">
        <is>
          <t>COLOR Rosa · ALTURA 60 cm · BOTÓN MINIMO 5.0 cm</t>
        </is>
      </c>
      <c r="H106" s="3" t="inlineStr"/>
      <c r="I106" s="3" t="n">
        <v>50</v>
      </c>
      <c r="J106" s="3" t="inlineStr">
        <is>
          <t>50 шт.</t>
        </is>
      </c>
      <c r="K106" s="4">
        <f>IMAGE("https://cdn.verdnatura.es/image/catalog/1600x900/167811")</f>
        <v/>
      </c>
      <c r="L106" s="5" t="n"/>
      <c r="M106" s="6" t="n"/>
      <c r="N106" s="7" t="n"/>
      <c r="O106" s="8" t="n">
        <v>1.24</v>
      </c>
      <c r="P106" s="8" t="n">
        <v>62</v>
      </c>
    </row>
    <row r="107" ht="110" customHeight="1">
      <c r="A107" s="3" t="inlineStr">
        <is>
          <t>12859913</t>
        </is>
      </c>
      <c r="B107" s="3" t="inlineStr">
        <is>
          <t>25-05-2026</t>
        </is>
      </c>
      <c r="C107" s="3" t="inlineStr">
        <is>
          <t>Plaza</t>
        </is>
      </c>
      <c r="D107" s="3" t="inlineStr">
        <is>
          <t>171390</t>
        </is>
      </c>
      <c r="E107" s="4" t="inlineStr">
        <is>
          <t>GRS Sunny days</t>
        </is>
      </c>
      <c r="F107" s="4" t="inlineStr">
        <is>
          <t>Monterosas</t>
        </is>
      </c>
      <c r="G107" s="4" t="inlineStr">
        <is>
          <t>COLOR Amarillo · ALTURA 60 cm</t>
        </is>
      </c>
      <c r="H107" s="3" t="inlineStr"/>
      <c r="I107" s="3" t="n">
        <v>25</v>
      </c>
      <c r="J107" s="3" t="inlineStr">
        <is>
          <t>25 шт.</t>
        </is>
      </c>
      <c r="K107" s="4">
        <f>IMAGE("https://cdn.verdnatura.es/image/catalog/1600x900/171390")</f>
        <v/>
      </c>
      <c r="L107" s="5" t="n"/>
      <c r="M107" s="6" t="n"/>
      <c r="N107" s="7" t="n"/>
      <c r="O107" s="8" t="n">
        <v>0.92</v>
      </c>
      <c r="P107" s="8" t="n">
        <v>23</v>
      </c>
    </row>
    <row r="108" ht="110" customHeight="1">
      <c r="A108" s="3" t="inlineStr">
        <is>
          <t>12859913</t>
        </is>
      </c>
      <c r="B108" s="3" t="inlineStr">
        <is>
          <t>25-05-2026</t>
        </is>
      </c>
      <c r="C108" s="3" t="inlineStr">
        <is>
          <t>Plaza</t>
        </is>
      </c>
      <c r="D108" s="3" t="inlineStr">
        <is>
          <t>196381</t>
        </is>
      </c>
      <c r="E108" s="4" t="inlineStr">
        <is>
          <t>HYD Elite Purple PRE</t>
        </is>
      </c>
      <c r="F108" s="4" t="inlineStr">
        <is>
          <t>Santa Dorotea</t>
        </is>
      </c>
      <c r="G108" s="4" t="inlineStr">
        <is>
          <t>COLOR Morado · ALTURA 60 cm · DIAMETRO 18 cm</t>
        </is>
      </c>
      <c r="H108" s="3" t="inlineStr"/>
      <c r="I108" s="3" t="n">
        <v>20</v>
      </c>
      <c r="J108" s="3" t="inlineStr">
        <is>
          <t>20 шт.</t>
        </is>
      </c>
      <c r="K108" s="4">
        <f>IMAGE("https://cdn.verdnatura.es/image/catalog/1600x900/196381")</f>
        <v/>
      </c>
      <c r="L108" s="5" t="n"/>
      <c r="M108" s="6" t="n"/>
      <c r="N108" s="7" t="n"/>
      <c r="O108" s="8" t="n">
        <v>2.22</v>
      </c>
      <c r="P108" s="8" t="n">
        <v>44.4</v>
      </c>
    </row>
    <row r="109" ht="110" customHeight="1">
      <c r="A109" s="3" t="inlineStr">
        <is>
          <t>12859913</t>
        </is>
      </c>
      <c r="B109" s="3" t="inlineStr">
        <is>
          <t>25-05-2026</t>
        </is>
      </c>
      <c r="C109" s="3" t="inlineStr">
        <is>
          <t>Plaza</t>
        </is>
      </c>
      <c r="D109" s="3" t="inlineStr">
        <is>
          <t>23709</t>
        </is>
      </c>
      <c r="E109" s="4" t="inlineStr">
        <is>
          <t>HYD Green Emerald PRE</t>
        </is>
      </c>
      <c r="F109" s="4" t="inlineStr">
        <is>
          <t>Eden Flowers</t>
        </is>
      </c>
      <c r="G109" s="4" t="inlineStr">
        <is>
          <t>COLOR Verde · ALTURA 60 cm · DIAMETRO 18 cm</t>
        </is>
      </c>
      <c r="H109" s="3" t="inlineStr"/>
      <c r="I109" s="3" t="n">
        <v>15</v>
      </c>
      <c r="J109" s="3" t="inlineStr">
        <is>
          <t>15 шт.</t>
        </is>
      </c>
      <c r="K109" s="4">
        <f>IMAGE("https://cdn.verdnatura.es/image/catalog/1600x900/23709")</f>
        <v/>
      </c>
      <c r="L109" s="5" t="n"/>
      <c r="M109" s="6" t="n"/>
      <c r="N109" s="7" t="n"/>
      <c r="O109" s="8" t="n">
        <v>1.4</v>
      </c>
      <c r="P109" s="8" t="n">
        <v>21</v>
      </c>
    </row>
    <row r="110" ht="110" customHeight="1">
      <c r="A110" s="3" t="inlineStr">
        <is>
          <t>12859913</t>
        </is>
      </c>
      <c r="B110" s="3" t="inlineStr">
        <is>
          <t>25-05-2026</t>
        </is>
      </c>
      <c r="C110" s="3" t="inlineStr">
        <is>
          <t>Plaza</t>
        </is>
      </c>
      <c r="D110" s="3" t="inlineStr">
        <is>
          <t>117024</t>
        </is>
      </c>
      <c r="E110" s="4" t="inlineStr">
        <is>
          <t>HYD Shocking Blue SEL</t>
        </is>
      </c>
      <c r="F110" s="4" t="inlineStr">
        <is>
          <t>Gutimilko</t>
        </is>
      </c>
      <c r="G110" s="4" t="inlineStr">
        <is>
          <t>COLOR Azul · ALTURA 60 cm · DIAMETRO 16 cm</t>
        </is>
      </c>
      <c r="H110" s="3" t="inlineStr"/>
      <c r="I110" s="3" t="n">
        <v>20</v>
      </c>
      <c r="J110" s="3" t="inlineStr">
        <is>
          <t>20 шт.</t>
        </is>
      </c>
      <c r="K110" s="4">
        <f>IMAGE("https://cdn.verdnatura.es/image/catalog/1600x900/117024")</f>
        <v/>
      </c>
      <c r="L110" s="5" t="n"/>
      <c r="M110" s="6" t="n"/>
      <c r="N110" s="7" t="n"/>
      <c r="O110" s="8" t="n">
        <v>1.03</v>
      </c>
      <c r="P110" s="8" t="n">
        <v>20.6</v>
      </c>
    </row>
    <row r="111" ht="110" customHeight="1">
      <c r="A111" s="3" t="inlineStr">
        <is>
          <t>12859913</t>
        </is>
      </c>
      <c r="B111" s="3" t="inlineStr">
        <is>
          <t>25-05-2026</t>
        </is>
      </c>
      <c r="C111" s="3" t="inlineStr">
        <is>
          <t>Plaza</t>
        </is>
      </c>
      <c r="D111" s="3" t="inlineStr">
        <is>
          <t>177502</t>
        </is>
      </c>
      <c r="E111" s="4" t="inlineStr">
        <is>
          <t>Porta Phalaen Kraft</t>
        </is>
      </c>
      <c r="F111" s="4" t="inlineStr"/>
      <c r="G111" s="4" t="inlineStr">
        <is>
          <t>ALTURA 35 cm · ANCHO 11 cm · COLOR Blanco</t>
        </is>
      </c>
      <c r="H111" s="3" t="inlineStr"/>
      <c r="I111" s="3" t="n">
        <v>10</v>
      </c>
      <c r="J111" s="3" t="inlineStr">
        <is>
          <t>10 шт.</t>
        </is>
      </c>
      <c r="K111" s="4">
        <f>IMAGE("https://cdn.verdnatura.es/image/catalog/1600x900/177502")</f>
        <v/>
      </c>
      <c r="L111" s="5" t="n"/>
      <c r="M111" s="6" t="n"/>
      <c r="N111" s="7" t="n"/>
      <c r="O111" s="8" t="n">
        <v>0.99</v>
      </c>
      <c r="P111" s="8" t="n">
        <v>9.9</v>
      </c>
    </row>
    <row r="112" ht="110" customHeight="1">
      <c r="A112" s="3" t="inlineStr">
        <is>
          <t>12859913</t>
        </is>
      </c>
      <c r="B112" s="3" t="inlineStr">
        <is>
          <t>25-05-2026</t>
        </is>
      </c>
      <c r="C112" s="3" t="inlineStr">
        <is>
          <t>Plaza</t>
        </is>
      </c>
      <c r="D112" s="3" t="inlineStr">
        <is>
          <t>138977</t>
        </is>
      </c>
      <c r="E112" s="4" t="inlineStr">
        <is>
          <t>RS Country home PRE</t>
        </is>
      </c>
      <c r="F112" s="4" t="inlineStr">
        <is>
          <t>Santa Dorotea</t>
        </is>
      </c>
      <c r="G112" s="4" t="inlineStr">
        <is>
          <t>COLOR Salmón · ALTURA 50 cm · BOTÓN MINIMO 6 cm</t>
        </is>
      </c>
      <c r="H112" s="3" t="inlineStr"/>
      <c r="I112" s="3" t="n">
        <v>25</v>
      </c>
      <c r="J112" s="3" t="inlineStr">
        <is>
          <t>25 шт.</t>
        </is>
      </c>
      <c r="K112" s="4">
        <f>IMAGE("https://cdn.verdnatura.es/image/catalog/1600x900/138977")</f>
        <v/>
      </c>
      <c r="L112" s="5" t="n"/>
      <c r="M112" s="6" t="n"/>
      <c r="N112" s="7" t="n"/>
      <c r="O112" s="8" t="n">
        <v>0.73</v>
      </c>
      <c r="P112" s="8" t="n">
        <v>18.25</v>
      </c>
    </row>
    <row r="113" ht="110" customHeight="1">
      <c r="A113" s="3" t="inlineStr">
        <is>
          <t>12859913</t>
        </is>
      </c>
      <c r="B113" s="3" t="inlineStr">
        <is>
          <t>25-05-2026</t>
        </is>
      </c>
      <c r="C113" s="3" t="inlineStr">
        <is>
          <t>Plaza</t>
        </is>
      </c>
      <c r="D113" s="3" t="inlineStr">
        <is>
          <t>177191</t>
        </is>
      </c>
      <c r="E113" s="4" t="inlineStr">
        <is>
          <t>RS Explorer EXT</t>
        </is>
      </c>
      <c r="F113" s="4" t="inlineStr">
        <is>
          <t>Ecuador</t>
        </is>
      </c>
      <c r="G113" s="4" t="inlineStr">
        <is>
          <t>COLOR Rojo · ALTURA 70 cm · BOTÓN MINIMO 6.5 cm</t>
        </is>
      </c>
      <c r="H113" s="3" t="inlineStr"/>
      <c r="I113" s="3" t="n">
        <v>75</v>
      </c>
      <c r="J113" s="3" t="inlineStr">
        <is>
          <t>75 шт.</t>
        </is>
      </c>
      <c r="K113" s="4">
        <f>IMAGE("https://cdn.verdnatura.es/image/catalog/1600x900/177191")</f>
        <v/>
      </c>
      <c r="L113" s="5" t="n"/>
      <c r="M113" s="6" t="n"/>
      <c r="N113" s="7" t="n"/>
      <c r="O113" s="8" t="n">
        <v>0.8100000000000001</v>
      </c>
      <c r="P113" s="8" t="n">
        <v>60.75</v>
      </c>
    </row>
    <row r="114" ht="110" customHeight="1">
      <c r="A114" s="3" t="inlineStr">
        <is>
          <t>12859913</t>
        </is>
      </c>
      <c r="B114" s="3" t="inlineStr">
        <is>
          <t>25-05-2026</t>
        </is>
      </c>
      <c r="C114" s="3" t="inlineStr">
        <is>
          <t>Plaza</t>
        </is>
      </c>
      <c r="D114" s="3" t="inlineStr">
        <is>
          <t>203548</t>
        </is>
      </c>
      <c r="E114" s="4" t="inlineStr">
        <is>
          <t>RS Free Spirit PRE</t>
        </is>
      </c>
      <c r="F114" s="4" t="inlineStr">
        <is>
          <t>Rosaprima</t>
        </is>
      </c>
      <c r="G114" s="4" t="inlineStr">
        <is>
          <t>COLOR Coral · ALTURA 60 cm · BOTÓN MINIMO 5 cm</t>
        </is>
      </c>
      <c r="H114" s="3" t="inlineStr"/>
      <c r="I114" s="3" t="n">
        <v>25</v>
      </c>
      <c r="J114" s="3" t="inlineStr">
        <is>
          <t>25 шт.</t>
        </is>
      </c>
      <c r="K114" s="4">
        <f>IMAGE("https://cdn.verdnatura.es/image/catalog/1600x900/203548")</f>
        <v/>
      </c>
      <c r="L114" s="5" t="n"/>
      <c r="M114" s="6" t="n"/>
      <c r="N114" s="7" t="n"/>
      <c r="O114" s="8" t="n">
        <v>0.65</v>
      </c>
      <c r="P114" s="8" t="n">
        <v>16.25</v>
      </c>
    </row>
    <row r="115" ht="110" customHeight="1">
      <c r="A115" s="3" t="inlineStr">
        <is>
          <t>12859913</t>
        </is>
      </c>
      <c r="B115" s="3" t="inlineStr">
        <is>
          <t>25-05-2026</t>
        </is>
      </c>
      <c r="C115" s="3" t="inlineStr">
        <is>
          <t>Plaza</t>
        </is>
      </c>
      <c r="D115" s="3" t="inlineStr">
        <is>
          <t>70641</t>
        </is>
      </c>
      <c r="E115" s="4" t="inlineStr">
        <is>
          <t>RS Hot Explorer EXT</t>
        </is>
      </c>
      <c r="F115" s="4" t="inlineStr">
        <is>
          <t>Floraroma</t>
        </is>
      </c>
      <c r="G115" s="4" t="inlineStr">
        <is>
          <t>COLOR Fucsia · ALTURA 60 cm · BOTÓN MINIMO 7.5 cm</t>
        </is>
      </c>
      <c r="H115" s="3" t="inlineStr"/>
      <c r="I115" s="3" t="n">
        <v>25</v>
      </c>
      <c r="J115" s="3" t="inlineStr">
        <is>
          <t>25 шт.</t>
        </is>
      </c>
      <c r="K115" s="4">
        <f>IMAGE("https://cdn.verdnatura.es/image/catalog/1600x900/70641")</f>
        <v/>
      </c>
      <c r="L115" s="5" t="n"/>
      <c r="M115" s="6" t="n"/>
      <c r="N115" s="7" t="n"/>
      <c r="O115" s="8" t="n">
        <v>0.63</v>
      </c>
      <c r="P115" s="8" t="n">
        <v>15.75</v>
      </c>
    </row>
    <row r="116" ht="110" customHeight="1">
      <c r="A116" s="3" t="inlineStr">
        <is>
          <t>12859913</t>
        </is>
      </c>
      <c r="B116" s="3" t="inlineStr">
        <is>
          <t>25-05-2026</t>
        </is>
      </c>
      <c r="C116" s="3" t="inlineStr">
        <is>
          <t>Plaza</t>
        </is>
      </c>
      <c r="D116" s="3" t="inlineStr">
        <is>
          <t>202611</t>
        </is>
      </c>
      <c r="E116" s="4" t="inlineStr">
        <is>
          <t>RS Miss Piggy SEL</t>
        </is>
      </c>
      <c r="F116" s="4" t="inlineStr">
        <is>
          <t>Cantiza Flowers</t>
        </is>
      </c>
      <c r="G116" s="4" t="inlineStr">
        <is>
          <t>COLOR Rosa · ALTURA 50 cm · BOTÓN MINIMO 5.5 cm</t>
        </is>
      </c>
      <c r="H116" s="3" t="inlineStr"/>
      <c r="I116" s="3" t="n">
        <v>25</v>
      </c>
      <c r="J116" s="3" t="inlineStr">
        <is>
          <t>25 шт.</t>
        </is>
      </c>
      <c r="K116" s="4">
        <f>IMAGE("https://cdn.verdnatura.es/image/catalog/1600x900/202611")</f>
        <v/>
      </c>
      <c r="L116" s="5" t="n"/>
      <c r="M116" s="6" t="n"/>
      <c r="N116" s="7" t="n"/>
      <c r="O116" s="8" t="n">
        <v>0.61</v>
      </c>
      <c r="P116" s="8" t="n">
        <v>15.25</v>
      </c>
    </row>
    <row r="117" ht="110" customHeight="1">
      <c r="A117" s="3" t="inlineStr">
        <is>
          <t>12859913</t>
        </is>
      </c>
      <c r="B117" s="3" t="inlineStr">
        <is>
          <t>25-05-2026</t>
        </is>
      </c>
      <c r="C117" s="3" t="inlineStr">
        <is>
          <t>Plaza</t>
        </is>
      </c>
      <c r="D117" s="3" t="inlineStr">
        <is>
          <t>136755</t>
        </is>
      </c>
      <c r="E117" s="4" t="inlineStr">
        <is>
          <t>RS Mondial PRE</t>
        </is>
      </c>
      <c r="F117" s="4" t="inlineStr">
        <is>
          <t>Santa Dorotea</t>
        </is>
      </c>
      <c r="G117" s="4" t="inlineStr">
        <is>
          <t>COLOR Blanco · ALTURA 60 cm · BOTÓN MINIMO 6 cm</t>
        </is>
      </c>
      <c r="H117" s="3" t="inlineStr"/>
      <c r="I117" s="3" t="n">
        <v>25</v>
      </c>
      <c r="J117" s="3" t="inlineStr">
        <is>
          <t>25 шт.</t>
        </is>
      </c>
      <c r="K117" s="4">
        <f>IMAGE("https://cdn.verdnatura.es/image/catalog/1600x900/136755")</f>
        <v/>
      </c>
      <c r="L117" s="5" t="n"/>
      <c r="M117" s="6" t="n"/>
      <c r="N117" s="7" t="n"/>
      <c r="O117" s="8" t="n">
        <v>0.8100000000000001</v>
      </c>
      <c r="P117" s="8" t="n">
        <v>20.25</v>
      </c>
    </row>
    <row r="118" ht="110" customHeight="1">
      <c r="A118" s="3" t="inlineStr">
        <is>
          <t>12859913</t>
        </is>
      </c>
      <c r="B118" s="3" t="inlineStr">
        <is>
          <t>25-05-2026</t>
        </is>
      </c>
      <c r="C118" s="3" t="inlineStr">
        <is>
          <t>Plaza</t>
        </is>
      </c>
      <c r="D118" s="3" t="inlineStr">
        <is>
          <t>137608</t>
        </is>
      </c>
      <c r="E118" s="4" t="inlineStr">
        <is>
          <t>RS Phoenix SEL</t>
        </is>
      </c>
      <c r="F118" s="4" t="inlineStr">
        <is>
          <t>Agrivaldani</t>
        </is>
      </c>
      <c r="G118" s="4" t="inlineStr">
        <is>
          <t>COLOR Salmón · ALTURA 60 cm · BOTÓN MINIMO 6 cm</t>
        </is>
      </c>
      <c r="H118" s="3" t="inlineStr"/>
      <c r="I118" s="3" t="n">
        <v>25</v>
      </c>
      <c r="J118" s="3" t="inlineStr">
        <is>
          <t>25 шт.</t>
        </is>
      </c>
      <c r="K118" s="4">
        <f>IMAGE("https://cdn.verdnatura.es/image/catalog/1600x900/137608")</f>
        <v/>
      </c>
      <c r="L118" s="5" t="n"/>
      <c r="M118" s="6" t="n"/>
      <c r="N118" s="7" t="n"/>
      <c r="O118" s="8" t="n">
        <v>0.6899999999999999</v>
      </c>
      <c r="P118" s="8" t="n">
        <v>17.25</v>
      </c>
    </row>
    <row r="119" ht="110" customHeight="1">
      <c r="A119" s="3" t="inlineStr">
        <is>
          <t>12859913</t>
        </is>
      </c>
      <c r="B119" s="3" t="inlineStr">
        <is>
          <t>25-05-2026</t>
        </is>
      </c>
      <c r="C119" s="3" t="inlineStr">
        <is>
          <t>Plaza</t>
        </is>
      </c>
      <c r="D119" s="3" t="inlineStr">
        <is>
          <t>177201</t>
        </is>
      </c>
      <c r="E119" s="4" t="inlineStr">
        <is>
          <t>RS Quick Sand EXT</t>
        </is>
      </c>
      <c r="F119" s="4" t="inlineStr">
        <is>
          <t>Ecuador</t>
        </is>
      </c>
      <c r="G119" s="4" t="inlineStr">
        <is>
          <t>COLOR Crema · ALTURA 50 cm · BOTÓN MINIMO 4.6 cm</t>
        </is>
      </c>
      <c r="H119" s="3" t="inlineStr"/>
      <c r="I119" s="3" t="n">
        <v>25</v>
      </c>
      <c r="J119" s="3" t="inlineStr">
        <is>
          <t>25 шт.</t>
        </is>
      </c>
      <c r="K119" s="4">
        <f>IMAGE("https://cdn.verdnatura.es/image/catalog/1600x900/177201")</f>
        <v/>
      </c>
      <c r="L119" s="5" t="n"/>
      <c r="M119" s="6" t="n"/>
      <c r="N119" s="7" t="n"/>
      <c r="O119" s="8" t="n">
        <v>0.5600000000000001</v>
      </c>
      <c r="P119" s="8" t="n">
        <v>14</v>
      </c>
    </row>
    <row r="120" ht="110" customHeight="1">
      <c r="A120" s="3" t="inlineStr">
        <is>
          <t>12859913</t>
        </is>
      </c>
      <c r="B120" s="3" t="inlineStr">
        <is>
          <t>25-05-2026</t>
        </is>
      </c>
      <c r="C120" s="3" t="inlineStr">
        <is>
          <t>Plaza</t>
        </is>
      </c>
      <c r="D120" s="3" t="inlineStr">
        <is>
          <t>116158</t>
        </is>
      </c>
      <c r="E120" s="4" t="inlineStr">
        <is>
          <t>RS Super Sun SEL</t>
        </is>
      </c>
      <c r="F120" s="4" t="inlineStr">
        <is>
          <t>Native</t>
        </is>
      </c>
      <c r="G120" s="4" t="inlineStr">
        <is>
          <t>COLOR Amarillo · ALTURA 50 cm · BOTÓN MINIMO 5.5 cm</t>
        </is>
      </c>
      <c r="H120" s="3" t="inlineStr"/>
      <c r="I120" s="3" t="n">
        <v>25</v>
      </c>
      <c r="J120" s="3" t="inlineStr">
        <is>
          <t>25 шт.</t>
        </is>
      </c>
      <c r="K120" s="4">
        <f>IMAGE("https://cdn.verdnatura.es/image/catalog/1600x900/116158")</f>
        <v/>
      </c>
      <c r="L120" s="5" t="n"/>
      <c r="M120" s="6" t="n"/>
      <c r="N120" s="7" t="n"/>
      <c r="O120" s="8" t="n">
        <v>0.49</v>
      </c>
      <c r="P120" s="8" t="n">
        <v>12.25</v>
      </c>
    </row>
    <row r="121" ht="110" customHeight="1">
      <c r="A121" s="3" t="inlineStr">
        <is>
          <t>12859913</t>
        </is>
      </c>
      <c r="B121" s="3" t="inlineStr">
        <is>
          <t>25-05-2026</t>
        </is>
      </c>
      <c r="C121" s="3" t="inlineStr">
        <is>
          <t>Plaza</t>
        </is>
      </c>
      <c r="D121" s="3" t="inlineStr">
        <is>
          <t>198760</t>
        </is>
      </c>
      <c r="E121" s="4" t="inlineStr">
        <is>
          <t>Scabiosa Raspberry Scoop</t>
        </is>
      </c>
      <c r="F121" s="4" t="inlineStr">
        <is>
          <t>Florsani</t>
        </is>
      </c>
      <c r="G121" s="4" t="inlineStr">
        <is>
          <t>COLOR Cereza · ALTURA 60 cm</t>
        </is>
      </c>
      <c r="H121" s="3" t="inlineStr"/>
      <c r="I121" s="3" t="n">
        <v>20</v>
      </c>
      <c r="J121" s="3" t="inlineStr">
        <is>
          <t>20 шт.</t>
        </is>
      </c>
      <c r="K121" s="4">
        <f>IMAGE("https://cdn.verdnatura.es/image/catalog/1600x900/198760")</f>
        <v/>
      </c>
      <c r="L121" s="5" t="n"/>
      <c r="M121" s="6" t="n"/>
      <c r="N121" s="7" t="n"/>
      <c r="O121" s="8" t="n">
        <v>0.5</v>
      </c>
      <c r="P121" s="8" t="n">
        <v>10</v>
      </c>
    </row>
    <row r="122" ht="110" customHeight="1">
      <c r="A122" s="3" t="inlineStr">
        <is>
          <t>12859913</t>
        </is>
      </c>
      <c r="B122" s="3" t="inlineStr">
        <is>
          <t>25-05-2026</t>
        </is>
      </c>
      <c r="C122" s="3" t="inlineStr">
        <is>
          <t>Plaza</t>
        </is>
      </c>
      <c r="D122" s="3" t="inlineStr">
        <is>
          <t>5110</t>
        </is>
      </c>
      <c r="E122" s="4" t="inlineStr">
        <is>
          <t>Spray</t>
        </is>
      </c>
      <c r="F122" s="4" t="inlineStr">
        <is>
          <t>Oasis</t>
        </is>
      </c>
      <c r="G122" s="4" t="inlineStr">
        <is>
          <t>COLOR Blanco · CONTENIDO 400 ml</t>
        </is>
      </c>
      <c r="H122" s="3" t="inlineStr"/>
      <c r="I122" s="3" t="n">
        <v>1</v>
      </c>
      <c r="J122" s="3" t="inlineStr">
        <is>
          <t>1 шт.</t>
        </is>
      </c>
      <c r="K122" s="4">
        <f>IMAGE("https://cdn.verdnatura.es/image/catalog/1600x900/5110")</f>
        <v/>
      </c>
      <c r="L122" s="5" t="n"/>
      <c r="M122" s="6" t="n"/>
      <c r="N122" s="7" t="n"/>
      <c r="O122" s="8" t="n">
        <v>8.630000000000001</v>
      </c>
      <c r="P122" s="8" t="n">
        <v>8.630000000000001</v>
      </c>
    </row>
    <row r="123" ht="110" customHeight="1">
      <c r="A123" s="3" t="inlineStr">
        <is>
          <t>12859913</t>
        </is>
      </c>
      <c r="B123" s="3" t="inlineStr">
        <is>
          <t>25-05-2026</t>
        </is>
      </c>
      <c r="C123" s="3" t="inlineStr">
        <is>
          <t>Plaza</t>
        </is>
      </c>
      <c r="D123" s="3" t="inlineStr">
        <is>
          <t>93271</t>
        </is>
      </c>
      <c r="E123" s="4" t="inlineStr">
        <is>
          <t>Spray Aqua</t>
        </is>
      </c>
      <c r="F123" s="4" t="inlineStr">
        <is>
          <t>Oasis</t>
        </is>
      </c>
      <c r="G123" s="4" t="inlineStr">
        <is>
          <t>COLOR Azul · CONTENIDO 400 ml</t>
        </is>
      </c>
      <c r="H123" s="3" t="inlineStr"/>
      <c r="I123" s="3" t="n">
        <v>1</v>
      </c>
      <c r="J123" s="3" t="inlineStr">
        <is>
          <t>1 шт.</t>
        </is>
      </c>
      <c r="K123" s="4">
        <f>IMAGE("https://cdn.verdnatura.es/image/catalog/1600x900/93271")</f>
        <v/>
      </c>
      <c r="L123" s="5" t="n"/>
      <c r="M123" s="6" t="n"/>
      <c r="N123" s="7" t="n"/>
      <c r="O123" s="8" t="n">
        <v>13.66</v>
      </c>
      <c r="P123" s="8" t="n">
        <v>13.66</v>
      </c>
    </row>
    <row r="124" ht="110" customHeight="1">
      <c r="A124" s="3" t="inlineStr">
        <is>
          <t>12859913</t>
        </is>
      </c>
      <c r="B124" s="3" t="inlineStr">
        <is>
          <t>25-05-2026</t>
        </is>
      </c>
      <c r="C124" s="3" t="inlineStr">
        <is>
          <t>Plaza</t>
        </is>
      </c>
      <c r="D124" s="3" t="inlineStr">
        <is>
          <t>188185</t>
        </is>
      </c>
      <c r="E124" s="4" t="inlineStr">
        <is>
          <t>X Hortensia Nature</t>
        </is>
      </c>
      <c r="F124" s="4" t="inlineStr">
        <is>
          <t>Verdnatura</t>
        </is>
      </c>
      <c r="G124" s="4" t="inlineStr">
        <is>
          <t>COLOR Verde · ALTURA 46 cm</t>
        </is>
      </c>
      <c r="H124" s="3" t="inlineStr"/>
      <c r="I124" s="3" t="n">
        <v>12</v>
      </c>
      <c r="J124" s="3" t="inlineStr">
        <is>
          <t>12 шт.</t>
        </is>
      </c>
      <c r="K124" s="4">
        <f>IMAGE("https://cdn.verdnatura.es/image/catalog/1600x900/188185")</f>
        <v/>
      </c>
      <c r="L124" s="5" t="n"/>
      <c r="M124" s="6" t="n"/>
      <c r="N124" s="7" t="n"/>
      <c r="O124" s="8" t="n">
        <v>1.84</v>
      </c>
      <c r="P124" s="8" t="n">
        <v>22.08</v>
      </c>
    </row>
    <row r="125" ht="110" customHeight="1">
      <c r="A125" s="3" t="inlineStr">
        <is>
          <t>12859913</t>
        </is>
      </c>
      <c r="B125" s="3" t="inlineStr">
        <is>
          <t>25-05-2026</t>
        </is>
      </c>
      <c r="C125" s="3" t="inlineStr">
        <is>
          <t>Plaza</t>
        </is>
      </c>
      <c r="D125" s="3" t="inlineStr">
        <is>
          <t>169295</t>
        </is>
      </c>
      <c r="E125" s="4" t="inlineStr">
        <is>
          <t>X Hortensia Hidrangea Nature</t>
        </is>
      </c>
      <c r="F125" s="4" t="inlineStr">
        <is>
          <t>Verdnatura</t>
        </is>
      </c>
      <c r="G125" s="4" t="inlineStr">
        <is>
          <t>COLOR Azul · ALTURA 46 cm</t>
        </is>
      </c>
      <c r="H125" s="3" t="inlineStr"/>
      <c r="I125" s="3" t="n">
        <v>3</v>
      </c>
      <c r="J125" s="3" t="inlineStr">
        <is>
          <t>3 шт.</t>
        </is>
      </c>
      <c r="K125" s="4">
        <f>IMAGE("https://cdn.verdnatura.es/image/catalog/1600x900/169295")</f>
        <v/>
      </c>
      <c r="L125" s="5" t="n"/>
      <c r="M125" s="6" t="n"/>
      <c r="N125" s="7" t="n"/>
      <c r="O125" s="8" t="n">
        <v>2.97</v>
      </c>
      <c r="P125" s="8" t="n">
        <v>8.91</v>
      </c>
    </row>
    <row r="126" ht="110" customHeight="1">
      <c r="A126" s="3" t="inlineStr">
        <is>
          <t>12859913</t>
        </is>
      </c>
      <c r="B126" s="3" t="inlineStr">
        <is>
          <t>25-05-2026</t>
        </is>
      </c>
      <c r="C126" s="3" t="inlineStr">
        <is>
          <t>Plaza</t>
        </is>
      </c>
      <c r="D126" s="3" t="inlineStr">
        <is>
          <t>169296</t>
        </is>
      </c>
      <c r="E126" s="4" t="inlineStr">
        <is>
          <t>X Hortensia Hidrangea Nature</t>
        </is>
      </c>
      <c r="F126" s="4" t="inlineStr">
        <is>
          <t>Verdnatura</t>
        </is>
      </c>
      <c r="G126" s="4" t="inlineStr">
        <is>
          <t>COLOR Naranja · ALTURA 46 cm</t>
        </is>
      </c>
      <c r="H126" s="3" t="inlineStr"/>
      <c r="I126" s="3" t="n">
        <v>14</v>
      </c>
      <c r="J126" s="3" t="inlineStr">
        <is>
          <t>14 шт.</t>
        </is>
      </c>
      <c r="K126" s="4">
        <f>IMAGE("https://cdn.verdnatura.es/image/catalog/1600x900/169296")</f>
        <v/>
      </c>
      <c r="L126" s="5" t="n"/>
      <c r="M126" s="6" t="n"/>
      <c r="N126" s="7" t="n"/>
      <c r="O126" s="8" t="n">
        <v>2.93</v>
      </c>
      <c r="P126" s="8" t="n">
        <v>41.02</v>
      </c>
    </row>
    <row r="127" ht="110" customHeight="1">
      <c r="A127" s="3" t="inlineStr">
        <is>
          <t>12859913</t>
        </is>
      </c>
      <c r="B127" s="3" t="inlineStr">
        <is>
          <t>25-05-2026</t>
        </is>
      </c>
      <c r="C127" s="3" t="inlineStr">
        <is>
          <t>Plaza</t>
        </is>
      </c>
      <c r="D127" s="3" t="inlineStr">
        <is>
          <t>169289</t>
        </is>
      </c>
      <c r="E127" s="4" t="inlineStr">
        <is>
          <t>X Hortensia Select Nature</t>
        </is>
      </c>
      <c r="F127" s="4" t="inlineStr">
        <is>
          <t>Verdnatura</t>
        </is>
      </c>
      <c r="G127" s="4" t="inlineStr">
        <is>
          <t>COLOR Lavanda · ALTURA 50 cm</t>
        </is>
      </c>
      <c r="H127" s="3" t="inlineStr"/>
      <c r="I127" s="3" t="n">
        <v>24</v>
      </c>
      <c r="J127" s="3" t="inlineStr">
        <is>
          <t>24 шт.</t>
        </is>
      </c>
      <c r="K127" s="4">
        <f>IMAGE("https://cdn.verdnatura.es/image/catalog/1600x900/169289")</f>
        <v/>
      </c>
      <c r="L127" s="5" t="n"/>
      <c r="M127" s="6" t="n"/>
      <c r="N127" s="7" t="n"/>
      <c r="O127" s="8" t="n">
        <v>1.78</v>
      </c>
      <c r="P127" s="8" t="n">
        <v>42.72</v>
      </c>
    </row>
    <row r="128" ht="26" customHeight="1">
      <c r="A128" s="2" t="inlineStr">
        <is>
          <t>📦  Накладная #12859942  ·  25-05-2026  ·  Plaza  ·  10 позиций  ·  bultos: 1</t>
        </is>
      </c>
    </row>
    <row r="129" ht="110" customHeight="1">
      <c r="A129" s="3" t="inlineStr">
        <is>
          <t>12859942</t>
        </is>
      </c>
      <c r="B129" s="3" t="inlineStr">
        <is>
          <t>25-05-2026</t>
        </is>
      </c>
      <c r="C129" s="3" t="inlineStr">
        <is>
          <t>Plaza</t>
        </is>
      </c>
      <c r="D129" s="3" t="inlineStr">
        <is>
          <t>118147</t>
        </is>
      </c>
      <c r="E129" s="4" t="inlineStr">
        <is>
          <t>CL Yukari Oscuro FCY</t>
        </is>
      </c>
      <c r="F129" s="4" t="inlineStr">
        <is>
          <t>Inverpalmas</t>
        </is>
      </c>
      <c r="G129" s="4" t="inlineStr">
        <is>
          <t>COLOR Purpura/Rosa · ALTURA 60 cm · Nº TALLOS 20</t>
        </is>
      </c>
      <c r="H129" s="3" t="inlineStr"/>
      <c r="I129" s="3" t="n">
        <v>40</v>
      </c>
      <c r="J129" s="3" t="inlineStr">
        <is>
          <t>40 шт.</t>
        </is>
      </c>
      <c r="K129" s="4">
        <f>IMAGE("https://cdn.verdnatura.es/image/catalog/1600x900/118147")</f>
        <v/>
      </c>
      <c r="L129" s="5" t="n"/>
      <c r="M129" s="6" t="n"/>
      <c r="N129" s="7" t="n"/>
      <c r="O129" s="8" t="n">
        <v>0.28</v>
      </c>
      <c r="P129" s="8" t="n">
        <v>11.2</v>
      </c>
    </row>
    <row r="130" ht="110" customHeight="1">
      <c r="A130" s="3" t="inlineStr">
        <is>
          <t>12859942</t>
        </is>
      </c>
      <c r="B130" s="3" t="inlineStr">
        <is>
          <t>25-05-2026</t>
        </is>
      </c>
      <c r="C130" s="3" t="inlineStr">
        <is>
          <t>Plaza</t>
        </is>
      </c>
      <c r="D130" s="3" t="inlineStr">
        <is>
          <t>95338</t>
        </is>
      </c>
      <c r="E130" s="4" t="inlineStr">
        <is>
          <t>CR Molly Yellow</t>
        </is>
      </c>
      <c r="F130" s="4" t="inlineStr">
        <is>
          <t>Benchmark</t>
        </is>
      </c>
      <c r="G130" s="4" t="inlineStr">
        <is>
          <t>COLOR Amarillo · ALTURA 70 cm</t>
        </is>
      </c>
      <c r="H130" s="3" t="inlineStr"/>
      <c r="I130" s="3" t="n">
        <v>20</v>
      </c>
      <c r="J130" s="3" t="inlineStr">
        <is>
          <t>20 шт.</t>
        </is>
      </c>
      <c r="K130" s="4">
        <f>IMAGE("https://cdn.verdnatura.es/image/catalog/1600x900/95338")</f>
        <v/>
      </c>
      <c r="L130" s="5" t="n"/>
      <c r="M130" s="6" t="n"/>
      <c r="N130" s="7" t="n"/>
      <c r="O130" s="8" t="n">
        <v>0.36</v>
      </c>
      <c r="P130" s="8" t="n">
        <v>7.2</v>
      </c>
    </row>
    <row r="131" ht="110" customHeight="1">
      <c r="A131" s="3" t="inlineStr">
        <is>
          <t>12859942</t>
        </is>
      </c>
      <c r="B131" s="3" t="inlineStr">
        <is>
          <t>25-05-2026</t>
        </is>
      </c>
      <c r="C131" s="3" t="inlineStr">
        <is>
          <t>Plaza</t>
        </is>
      </c>
      <c r="D131" s="3" t="inlineStr">
        <is>
          <t>177175</t>
        </is>
      </c>
      <c r="E131" s="4" t="inlineStr">
        <is>
          <t>RS Explorer EXT</t>
        </is>
      </c>
      <c r="F131" s="4" t="inlineStr">
        <is>
          <t>Ecuador</t>
        </is>
      </c>
      <c r="G131" s="4" t="inlineStr">
        <is>
          <t>COLOR Rojo · ALTURA 60 cm · BOTÓN MINIMO 6 cm</t>
        </is>
      </c>
      <c r="H131" s="3" t="inlineStr"/>
      <c r="I131" s="3" t="n">
        <v>50</v>
      </c>
      <c r="J131" s="3" t="inlineStr">
        <is>
          <t>50 шт.</t>
        </is>
      </c>
      <c r="K131" s="4">
        <f>IMAGE("https://cdn.verdnatura.es/image/catalog/1600x900/177175")</f>
        <v/>
      </c>
      <c r="L131" s="5" t="n"/>
      <c r="M131" s="6" t="n"/>
      <c r="N131" s="7" t="n"/>
      <c r="O131" s="8" t="n">
        <v>0.74</v>
      </c>
      <c r="P131" s="8" t="n">
        <v>37</v>
      </c>
    </row>
    <row r="132" ht="110" customHeight="1">
      <c r="A132" s="3" t="inlineStr">
        <is>
          <t>12859942</t>
        </is>
      </c>
      <c r="B132" s="3" t="inlineStr">
        <is>
          <t>25-05-2026</t>
        </is>
      </c>
      <c r="C132" s="3" t="inlineStr">
        <is>
          <t>Plaza</t>
        </is>
      </c>
      <c r="D132" s="3" t="inlineStr">
        <is>
          <t>136949</t>
        </is>
      </c>
      <c r="E132" s="4" t="inlineStr">
        <is>
          <t>RS Free Spirit PRE</t>
        </is>
      </c>
      <c r="F132" s="4" t="inlineStr">
        <is>
          <t>Santa Dorotea</t>
        </is>
      </c>
      <c r="G132" s="4" t="inlineStr">
        <is>
          <t>COLOR Coral · ALTURA 50cm · BOTÓN MINIMO 5 cm</t>
        </is>
      </c>
      <c r="H132" s="3" t="inlineStr"/>
      <c r="I132" s="3" t="n">
        <v>25</v>
      </c>
      <c r="J132" s="3" t="inlineStr">
        <is>
          <t>25 шт.</t>
        </is>
      </c>
      <c r="K132" s="4">
        <f>IMAGE("https://cdn.verdnatura.es/image/catalog/1600x900/136949")</f>
        <v/>
      </c>
      <c r="L132" s="5" t="n"/>
      <c r="M132" s="6" t="n"/>
      <c r="N132" s="7" t="n"/>
      <c r="O132" s="8" t="n">
        <v>0.62</v>
      </c>
      <c r="P132" s="8" t="n">
        <v>15.5</v>
      </c>
    </row>
    <row r="133" ht="110" customHeight="1">
      <c r="A133" s="3" t="inlineStr">
        <is>
          <t>12859942</t>
        </is>
      </c>
      <c r="B133" s="3" t="inlineStr">
        <is>
          <t>25-05-2026</t>
        </is>
      </c>
      <c r="C133" s="3" t="inlineStr">
        <is>
          <t>Plaza</t>
        </is>
      </c>
      <c r="D133" s="3" t="inlineStr">
        <is>
          <t>70641</t>
        </is>
      </c>
      <c r="E133" s="4" t="inlineStr">
        <is>
          <t>RS Hot Explorer EXT</t>
        </is>
      </c>
      <c r="F133" s="4" t="inlineStr">
        <is>
          <t>Floraroma</t>
        </is>
      </c>
      <c r="G133" s="4" t="inlineStr">
        <is>
          <t>COLOR Fucsia · ALTURA 60 cm · BOTÓN MINIMO 7.5 cm</t>
        </is>
      </c>
      <c r="H133" s="3" t="inlineStr"/>
      <c r="I133" s="3" t="n">
        <v>25</v>
      </c>
      <c r="J133" s="3" t="inlineStr">
        <is>
          <t>25 шт.</t>
        </is>
      </c>
      <c r="K133" s="4">
        <f>IMAGE("https://cdn.verdnatura.es/image/catalog/1600x900/70641")</f>
        <v/>
      </c>
      <c r="L133" s="5" t="n"/>
      <c r="M133" s="6" t="n"/>
      <c r="N133" s="7" t="n"/>
      <c r="O133" s="8" t="n">
        <v>0.63</v>
      </c>
      <c r="P133" s="8" t="n">
        <v>15.75</v>
      </c>
    </row>
    <row r="134" ht="110" customHeight="1">
      <c r="A134" s="3" t="inlineStr">
        <is>
          <t>12859942</t>
        </is>
      </c>
      <c r="B134" s="3" t="inlineStr">
        <is>
          <t>25-05-2026</t>
        </is>
      </c>
      <c r="C134" s="3" t="inlineStr">
        <is>
          <t>Plaza</t>
        </is>
      </c>
      <c r="D134" s="3" t="inlineStr">
        <is>
          <t>187492</t>
        </is>
      </c>
      <c r="E134" s="4" t="inlineStr">
        <is>
          <t>RS Miss Piggy EXT</t>
        </is>
      </c>
      <c r="F134" s="4" t="inlineStr">
        <is>
          <t>Monterosas</t>
        </is>
      </c>
      <c r="G134" s="4" t="inlineStr">
        <is>
          <t>COLOR Rosa · ALTURA 50 cm · BOTÓN MINIMO 6 cm</t>
        </is>
      </c>
      <c r="H134" s="3" t="inlineStr"/>
      <c r="I134" s="3" t="n">
        <v>25</v>
      </c>
      <c r="J134" s="3" t="inlineStr">
        <is>
          <t>25 шт.</t>
        </is>
      </c>
      <c r="K134" s="4">
        <f>IMAGE("https://cdn.verdnatura.es/image/catalog/1600x900/187492")</f>
        <v/>
      </c>
      <c r="L134" s="5" t="n"/>
      <c r="M134" s="6" t="n"/>
      <c r="N134" s="7" t="n"/>
      <c r="O134" s="8" t="n">
        <v>0.65</v>
      </c>
      <c r="P134" s="8" t="n">
        <v>16.25</v>
      </c>
    </row>
    <row r="135" ht="110" customHeight="1">
      <c r="A135" s="3" t="inlineStr">
        <is>
          <t>12859942</t>
        </is>
      </c>
      <c r="B135" s="3" t="inlineStr">
        <is>
          <t>25-05-2026</t>
        </is>
      </c>
      <c r="C135" s="3" t="inlineStr">
        <is>
          <t>Plaza</t>
        </is>
      </c>
      <c r="D135" s="3" t="inlineStr">
        <is>
          <t>47267</t>
        </is>
      </c>
      <c r="E135" s="4" t="inlineStr">
        <is>
          <t>RS Mondial EXT</t>
        </is>
      </c>
      <c r="F135" s="4" t="inlineStr">
        <is>
          <t>Floraroma</t>
        </is>
      </c>
      <c r="G135" s="4" t="inlineStr">
        <is>
          <t>COLOR Blanco · ALTURA 60 cm · BOTÓN MINIMO 6 cm</t>
        </is>
      </c>
      <c r="H135" s="3" t="inlineStr"/>
      <c r="I135" s="3" t="n">
        <v>25</v>
      </c>
      <c r="J135" s="3" t="inlineStr">
        <is>
          <t>25 шт.</t>
        </is>
      </c>
      <c r="K135" s="4">
        <f>IMAGE("https://cdn.verdnatura.es/image/catalog/1600x900/47267")</f>
        <v/>
      </c>
      <c r="L135" s="5" t="n"/>
      <c r="M135" s="6" t="n"/>
      <c r="N135" s="7" t="n"/>
      <c r="O135" s="8" t="n">
        <v>0.6899999999999999</v>
      </c>
      <c r="P135" s="8" t="n">
        <v>17.25</v>
      </c>
    </row>
    <row r="136" ht="110" customHeight="1">
      <c r="A136" s="3" t="inlineStr">
        <is>
          <t>12859942</t>
        </is>
      </c>
      <c r="B136" s="3" t="inlineStr">
        <is>
          <t>25-05-2026</t>
        </is>
      </c>
      <c r="C136" s="3" t="inlineStr">
        <is>
          <t>Plaza</t>
        </is>
      </c>
      <c r="D136" s="3" t="inlineStr">
        <is>
          <t>177201</t>
        </is>
      </c>
      <c r="E136" s="4" t="inlineStr">
        <is>
          <t>RS Quick Sand EXT</t>
        </is>
      </c>
      <c r="F136" s="4" t="inlineStr">
        <is>
          <t>Ecuador</t>
        </is>
      </c>
      <c r="G136" s="4" t="inlineStr">
        <is>
          <t>COLOR Crema · ALTURA 50 cm · BOTÓN MINIMO 4.6 cm</t>
        </is>
      </c>
      <c r="H136" s="3" t="inlineStr"/>
      <c r="I136" s="3" t="n">
        <v>25</v>
      </c>
      <c r="J136" s="3" t="inlineStr">
        <is>
          <t>25 шт.</t>
        </is>
      </c>
      <c r="K136" s="4">
        <f>IMAGE("https://cdn.verdnatura.es/image/catalog/1600x900/177201")</f>
        <v/>
      </c>
      <c r="L136" s="5" t="n"/>
      <c r="M136" s="6" t="n"/>
      <c r="N136" s="7" t="n"/>
      <c r="O136" s="8" t="n">
        <v>0.5600000000000001</v>
      </c>
      <c r="P136" s="8" t="n">
        <v>14</v>
      </c>
    </row>
    <row r="137" ht="110" customHeight="1">
      <c r="A137" s="3" t="inlineStr">
        <is>
          <t>12859942</t>
        </is>
      </c>
      <c r="B137" s="3" t="inlineStr">
        <is>
          <t>25-05-2026</t>
        </is>
      </c>
      <c r="C137" s="3" t="inlineStr">
        <is>
          <t>Plaza</t>
        </is>
      </c>
      <c r="D137" s="3" t="inlineStr">
        <is>
          <t>116158</t>
        </is>
      </c>
      <c r="E137" s="4" t="inlineStr">
        <is>
          <t>RS Super Sun SEL</t>
        </is>
      </c>
      <c r="F137" s="4" t="inlineStr">
        <is>
          <t>Native</t>
        </is>
      </c>
      <c r="G137" s="4" t="inlineStr">
        <is>
          <t>COLOR Amarillo · ALTURA 50 cm · BOTÓN MINIMO 5.5 cm</t>
        </is>
      </c>
      <c r="H137" s="3" t="inlineStr"/>
      <c r="I137" s="3" t="n">
        <v>25</v>
      </c>
      <c r="J137" s="3" t="inlineStr">
        <is>
          <t>25 шт.</t>
        </is>
      </c>
      <c r="K137" s="4">
        <f>IMAGE("https://cdn.verdnatura.es/image/catalog/1600x900/116158")</f>
        <v/>
      </c>
      <c r="L137" s="5" t="n"/>
      <c r="M137" s="6" t="n"/>
      <c r="N137" s="7" t="n"/>
      <c r="O137" s="8" t="n">
        <v>0.49</v>
      </c>
      <c r="P137" s="8" t="n">
        <v>12.25</v>
      </c>
    </row>
    <row r="138" ht="110" customHeight="1">
      <c r="A138" s="3" t="inlineStr">
        <is>
          <t>12859942</t>
        </is>
      </c>
      <c r="B138" s="3" t="inlineStr">
        <is>
          <t>25-05-2026</t>
        </is>
      </c>
      <c r="C138" s="3" t="inlineStr">
        <is>
          <t>Plaza</t>
        </is>
      </c>
      <c r="D138" s="3" t="inlineStr">
        <is>
          <t>148542</t>
        </is>
      </c>
      <c r="E138" s="4" t="inlineStr">
        <is>
          <t>Solidago Tara</t>
        </is>
      </c>
      <c r="F138" s="4" t="inlineStr">
        <is>
          <t>Gutimilko</t>
        </is>
      </c>
      <c r="G138" s="4" t="inlineStr">
        <is>
          <t>COLOR Amarillo · ALTURA 70 cm · PESO/TALLO 25 gr</t>
        </is>
      </c>
      <c r="H138" s="3" t="inlineStr"/>
      <c r="I138" s="3" t="n">
        <v>30</v>
      </c>
      <c r="J138" s="3" t="inlineStr">
        <is>
          <t>30 шт.</t>
        </is>
      </c>
      <c r="K138" s="4">
        <f>IMAGE("https://cdn.verdnatura.es/image/catalog/1600x900/148542")</f>
        <v/>
      </c>
      <c r="L138" s="5" t="n"/>
      <c r="M138" s="6" t="n"/>
      <c r="N138" s="7" t="n"/>
      <c r="O138" s="8" t="n">
        <v>0.23</v>
      </c>
      <c r="P138" s="8" t="n">
        <v>6.9</v>
      </c>
    </row>
    <row r="139" ht="26" customHeight="1">
      <c r="A139" s="2" t="inlineStr">
        <is>
          <t>📦  Накладная #12855590  ·  26-05-2026  ·  Plaza  ·  1 позиций  ·  bultos: 0</t>
        </is>
      </c>
    </row>
    <row r="140" ht="110" customHeight="1">
      <c r="A140" s="3" t="inlineStr">
        <is>
          <t>12855590</t>
        </is>
      </c>
      <c r="B140" s="3" t="inlineStr">
        <is>
          <t>26-05-2026</t>
        </is>
      </c>
      <c r="C140" s="3" t="inlineStr">
        <is>
          <t>Plaza</t>
        </is>
      </c>
      <c r="D140" s="3" t="inlineStr">
        <is>
          <t>203791</t>
        </is>
      </c>
      <c r="E140" s="4" t="inlineStr">
        <is>
          <t>HYD Dark Green MI</t>
        </is>
      </c>
      <c r="F140" s="4" t="inlineStr">
        <is>
          <t>Gutimilko</t>
        </is>
      </c>
      <c r="G140" s="4" t="inlineStr">
        <is>
          <t>COLOR Verde · ALTURA 50 cm · DIAMETRO 8 cm</t>
        </is>
      </c>
      <c r="H140" s="3" t="inlineStr"/>
      <c r="I140" s="3" t="n">
        <v>25</v>
      </c>
      <c r="J140" s="3" t="inlineStr">
        <is>
          <t>25 шт.</t>
        </is>
      </c>
      <c r="K140" s="4">
        <f>IMAGE("https://cdn.verdnatura.es/image/catalog/1600x900/203791")</f>
        <v/>
      </c>
      <c r="L140" s="5" t="n"/>
      <c r="M140" s="6" t="n"/>
      <c r="N140" s="7" t="n"/>
      <c r="O140" s="8" t="n">
        <v>0.71</v>
      </c>
      <c r="P140" s="8" t="n">
        <v>17.75</v>
      </c>
    </row>
    <row r="141" ht="26" customHeight="1">
      <c r="A141" s="2" t="inlineStr">
        <is>
          <t>📦  Накладная #12877338  ·  27-05-2026  ·  Plaza  ·  1 позиций  ·  bultos: 0</t>
        </is>
      </c>
    </row>
    <row r="142" ht="110" customHeight="1">
      <c r="A142" s="3" t="inlineStr">
        <is>
          <t>12877338</t>
        </is>
      </c>
      <c r="B142" s="3" t="inlineStr">
        <is>
          <t>27-05-2026</t>
        </is>
      </c>
      <c r="C142" s="3" t="inlineStr">
        <is>
          <t>Plaza</t>
        </is>
      </c>
      <c r="D142" s="3" t="inlineStr">
        <is>
          <t>179136</t>
        </is>
      </c>
      <c r="E142" s="4" t="inlineStr">
        <is>
          <t>Peonia Gardenia</t>
        </is>
      </c>
      <c r="F142" s="4" t="inlineStr">
        <is>
          <t>Dominique</t>
        </is>
      </c>
      <c r="G142" s="4" t="inlineStr">
        <is>
          <t>COLOR Blanco/Rosa · ALTURA 60 cm · APERTURA 2-3</t>
        </is>
      </c>
      <c r="H142" s="3" t="inlineStr"/>
      <c r="I142" s="3" t="n">
        <v>-15</v>
      </c>
      <c r="J142" s="3" t="inlineStr">
        <is>
          <t>-15 шт.</t>
        </is>
      </c>
      <c r="K142" s="4">
        <f>IMAGE("https://cdn.verdnatura.es/image/catalog/1600x900/179136")</f>
        <v/>
      </c>
      <c r="L142" s="5" t="n"/>
      <c r="M142" s="6" t="n"/>
      <c r="N142" s="7" t="n"/>
      <c r="O142" s="8" t="n">
        <v>1.36</v>
      </c>
      <c r="P142" s="8" t="n">
        <v>-20.4</v>
      </c>
    </row>
  </sheetData>
  <mergeCells count="10">
    <mergeCell ref="A141:P141"/>
    <mergeCell ref="A6:P6"/>
    <mergeCell ref="A35:P35"/>
    <mergeCell ref="A4:P4"/>
    <mergeCell ref="A139:P139"/>
    <mergeCell ref="A96:P96"/>
    <mergeCell ref="A128:P128"/>
    <mergeCell ref="A98:P98"/>
    <mergeCell ref="A90:P90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2026-06-22T21:40:36Z</dcterms:created>
  <dcterms:modified xmlns:dcterms="http://purl.org/dc/terms/" xmlns:xsi="http://www.w3.org/2001/XMLSchema-instance" xsi:type="dcterms:W3CDTF">2026-06-22T21:40:36Z</dcterms:modified>
</cp:coreProperties>
</file>