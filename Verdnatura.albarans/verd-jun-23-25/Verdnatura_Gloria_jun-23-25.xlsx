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lor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 €"/>
  </numFmts>
  <fonts count="5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6B4423"/>
      <sz val="12"/>
    </font>
    <font>
      <name val="Calibri"/>
      <b val="1"/>
      <color rgb="00C00000"/>
      <sz val="18"/>
    </font>
    <font>
      <name val="Calibri"/>
      <b val="1"/>
      <color rgb="000070C0"/>
      <sz val="18"/>
    </font>
  </fonts>
  <fills count="5">
    <fill>
      <patternFill/>
    </fill>
    <fill>
      <patternFill patternType="gray125"/>
    </fill>
    <fill>
      <patternFill patternType="solid">
        <fgColor rgb="002C5282"/>
        <bgColor rgb="002C5282"/>
      </patternFill>
    </fill>
    <fill>
      <patternFill patternType="solid">
        <fgColor rgb="00FFE4B5"/>
        <bgColor rgb="00FFE4B5"/>
      </patternFill>
    </fill>
    <fill>
      <patternFill patternType="solid">
        <fgColor rgb="00E6F4EA"/>
        <bgColor rgb="00E6F4EA"/>
      </patternFill>
    </fill>
  </fills>
  <borders count="2">
    <border>
      <left/>
      <right/>
      <top/>
      <bottom/>
      <diagonal/>
    </border>
    <border>
      <left style="thin">
        <color rgb="00C0C0C0"/>
      </left>
      <right style="thin">
        <color rgb="00C0C0C0"/>
      </right>
      <top style="thin">
        <color rgb="00C0C0C0"/>
      </top>
      <bottom style="thin">
        <color rgb="00C0C0C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center" inden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left" vertical="center" wrapText="1"/>
    </xf>
    <xf numFmtId="164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hidden="1" width="11" customWidth="1" min="1" max="1"/>
    <col hidden="1" width="9" customWidth="1" min="2" max="2"/>
    <col hidden="1" width="8" customWidth="1" min="3" max="3"/>
    <col width="9" customWidth="1" min="4" max="4"/>
    <col width="22" customWidth="1" min="5" max="5"/>
    <col hidden="1" width="18" customWidth="1" min="6" max="6"/>
    <col width="22" customWidth="1" min="7" max="7"/>
    <col hidden="1" width="10" customWidth="1" min="8" max="8"/>
    <col width="9" customWidth="1" min="9" max="9"/>
    <col width="14" customWidth="1" min="10" max="10"/>
    <col width="20" customWidth="1" min="11" max="11"/>
    <col width="10" customWidth="1" min="12" max="12"/>
    <col width="10" customWidth="1" min="13" max="13"/>
    <col width="22" customWidth="1" min="14" max="14"/>
    <col hidden="1" width="9" customWidth="1" min="15" max="15"/>
    <col hidden="1" width="10" customWidth="1" min="16" max="16"/>
  </cols>
  <sheetData>
    <row r="1" ht="36" customHeight="1">
      <c r="A1" s="1" t="inlineStr">
        <is>
          <t>№ накладной</t>
        </is>
      </c>
      <c r="B1" s="1" t="inlineStr">
        <is>
          <t>Дата</t>
        </is>
      </c>
      <c r="C1" s="1" t="inlineStr">
        <is>
          <t>Магазин</t>
        </is>
      </c>
      <c r="D1" s="1" t="inlineStr">
        <is>
          <t>Codigo</t>
        </is>
      </c>
      <c r="E1" s="1" t="inlineStr">
        <is>
          <t>Concepto</t>
        </is>
      </c>
      <c r="F1" s="1" t="inlineStr">
        <is>
          <t>Productor</t>
        </is>
      </c>
      <c r="G1" s="1" t="inlineStr">
        <is>
          <t>Атрибуты</t>
        </is>
      </c>
      <c r="H1" s="1" t="inlineStr">
        <is>
          <t>UD. VENTA</t>
        </is>
      </c>
      <c r="I1" s="1" t="inlineStr">
        <is>
          <t>Заявлено</t>
        </is>
      </c>
      <c r="J1" s="1" t="inlineStr">
        <is>
          <t>Подсказка</t>
        </is>
      </c>
      <c r="K1" s="1" t="inlineStr">
        <is>
          <t>Фото</t>
        </is>
      </c>
      <c r="L1" s="1" t="inlineStr">
        <is>
          <t>Принято
пачек</t>
        </is>
      </c>
      <c r="M1" s="1" t="inlineStr">
        <is>
          <t>Принято
штук</t>
        </is>
      </c>
      <c r="N1" s="1" t="inlineStr">
        <is>
          <t>Комментарий
флориста</t>
        </is>
      </c>
      <c r="O1" s="1" t="inlineStr">
        <is>
          <t>PVP/u, €</t>
        </is>
      </c>
      <c r="P1" s="1" t="inlineStr">
        <is>
          <t>Importe, €</t>
        </is>
      </c>
    </row>
    <row r="2" ht="26" customHeight="1">
      <c r="A2" s="2" t="inlineStr">
        <is>
          <t>📦  Накладная #12991710  ·  22-06-2026  ·  Gloria  ·  1 позиций  ·  bultos: 1</t>
        </is>
      </c>
    </row>
    <row r="3" ht="110" customHeight="1">
      <c r="A3" s="3" t="inlineStr">
        <is>
          <t>12991710</t>
        </is>
      </c>
      <c r="B3" s="3" t="inlineStr">
        <is>
          <t>22-06-2026</t>
        </is>
      </c>
      <c r="C3" s="3" t="inlineStr">
        <is>
          <t>Gloria</t>
        </is>
      </c>
      <c r="D3" s="3" t="inlineStr">
        <is>
          <t>206755</t>
        </is>
      </c>
      <c r="E3" s="4" t="inlineStr">
        <is>
          <t>PHAL 5T Evia</t>
        </is>
      </c>
      <c r="F3" s="4" t="inlineStr">
        <is>
          <t>Bonito Plant</t>
        </is>
      </c>
      <c r="G3" s="4" t="inlineStr">
        <is>
          <t>COLOR Blanco · ALTURA 35 cm · MACETA 12</t>
        </is>
      </c>
      <c r="H3" s="3" t="inlineStr"/>
      <c r="I3" s="3" t="n">
        <v>6</v>
      </c>
      <c r="J3" s="3" t="inlineStr">
        <is>
          <t>6 шт.</t>
        </is>
      </c>
      <c r="K3" s="4">
        <f>IMAGE("https://cdn.verdnatura.es/image/catalog/1600x900/206755")</f>
        <v/>
      </c>
      <c r="L3" s="5" t="n"/>
      <c r="M3" s="6" t="n"/>
      <c r="N3" s="7" t="n"/>
      <c r="O3" s="8" t="n">
        <v>7.92</v>
      </c>
      <c r="P3" s="8" t="n">
        <v>47.52</v>
      </c>
    </row>
    <row r="4" ht="26" customHeight="1">
      <c r="A4" s="2" t="inlineStr">
        <is>
          <t>📦  Накладная #13001652  ·  22-06-2026  ·  Gloria  ·  26 позиций  ·  bultos: 4</t>
        </is>
      </c>
    </row>
    <row r="5" ht="110" customHeight="1">
      <c r="A5" s="3" t="inlineStr">
        <is>
          <t>13001652</t>
        </is>
      </c>
      <c r="B5" s="3" t="inlineStr">
        <is>
          <t>22-06-2026</t>
        </is>
      </c>
      <c r="C5" s="3" t="inlineStr">
        <is>
          <t>Gloria</t>
        </is>
      </c>
      <c r="D5" s="3" t="inlineStr">
        <is>
          <t>154085</t>
        </is>
      </c>
      <c r="E5" s="4" t="inlineStr">
        <is>
          <t>ANT Mix x16</t>
        </is>
      </c>
      <c r="F5" s="4" t="inlineStr"/>
      <c r="G5" s="4" t="inlineStr">
        <is>
          <t>COLOR Mixto · ALTURA 40-50 cm · DIAMETRO 10-12 cm</t>
        </is>
      </c>
      <c r="H5" s="3" t="inlineStr"/>
      <c r="I5" s="3" t="n">
        <v>16</v>
      </c>
      <c r="J5" s="3" t="inlineStr">
        <is>
          <t>16 шт.</t>
        </is>
      </c>
      <c r="K5" s="4">
        <f>IMAGE("https://cdn.verdnatura.es/image/catalog/1600x900/154085")</f>
        <v/>
      </c>
      <c r="L5" s="5" t="n"/>
      <c r="M5" s="6" t="n"/>
      <c r="N5" s="7" t="n"/>
      <c r="O5" s="8" t="n">
        <v>1.45</v>
      </c>
      <c r="P5" s="8" t="n">
        <v>23.2</v>
      </c>
    </row>
    <row r="6" ht="110" customHeight="1">
      <c r="A6" s="3" t="inlineStr">
        <is>
          <t>13001652</t>
        </is>
      </c>
      <c r="B6" s="3" t="inlineStr">
        <is>
          <t>22-06-2026</t>
        </is>
      </c>
      <c r="C6" s="3" t="inlineStr">
        <is>
          <t>Gloria</t>
        </is>
      </c>
      <c r="D6" s="3" t="inlineStr">
        <is>
          <t>132809</t>
        </is>
      </c>
      <c r="E6" s="4" t="inlineStr">
        <is>
          <t>Astrantia Billion Stars XL</t>
        </is>
      </c>
      <c r="F6" s="4" t="inlineStr"/>
      <c r="G6" s="4" t="inlineStr">
        <is>
          <t>COLOR Blanco · ALTURA 50 cm</t>
        </is>
      </c>
      <c r="H6" s="3" t="inlineStr"/>
      <c r="I6" s="3" t="n">
        <v>25</v>
      </c>
      <c r="J6" s="3" t="inlineStr">
        <is>
          <t>25 шт.</t>
        </is>
      </c>
      <c r="K6" s="4">
        <f>IMAGE("https://cdn.verdnatura.es/image/catalog/1600x900/132809")</f>
        <v/>
      </c>
      <c r="L6" s="5" t="n"/>
      <c r="M6" s="6" t="n"/>
      <c r="N6" s="7" t="n"/>
      <c r="O6" s="8" t="n">
        <v>0.3</v>
      </c>
      <c r="P6" s="8" t="n">
        <v>7.5</v>
      </c>
    </row>
    <row r="7" ht="110" customHeight="1">
      <c r="A7" s="3" t="inlineStr">
        <is>
          <t>13001652</t>
        </is>
      </c>
      <c r="B7" s="3" t="inlineStr">
        <is>
          <t>22-06-2026</t>
        </is>
      </c>
      <c r="C7" s="3" t="inlineStr">
        <is>
          <t>Gloria</t>
        </is>
      </c>
      <c r="D7" s="3" t="inlineStr">
        <is>
          <t>157233</t>
        </is>
      </c>
      <c r="E7" s="4" t="inlineStr">
        <is>
          <t>Astrantia Roma</t>
        </is>
      </c>
      <c r="F7" s="4" t="inlineStr"/>
      <c r="G7" s="4" t="inlineStr">
        <is>
          <t>COLOR Fucsia · ALTURA 50 cm</t>
        </is>
      </c>
      <c r="H7" s="3" t="inlineStr"/>
      <c r="I7" s="3" t="n">
        <v>25</v>
      </c>
      <c r="J7" s="3" t="inlineStr">
        <is>
          <t>25 шт.</t>
        </is>
      </c>
      <c r="K7" s="4">
        <f>IMAGE("https://cdn.verdnatura.es/image/catalog/1600x900/157233")</f>
        <v/>
      </c>
      <c r="L7" s="5" t="n"/>
      <c r="M7" s="6" t="n"/>
      <c r="N7" s="7" t="n"/>
      <c r="O7" s="8" t="n">
        <v>0.22</v>
      </c>
      <c r="P7" s="8" t="n">
        <v>5.5</v>
      </c>
    </row>
    <row r="8" ht="110" customHeight="1">
      <c r="A8" s="3" t="inlineStr">
        <is>
          <t>13001652</t>
        </is>
      </c>
      <c r="B8" s="3" t="inlineStr">
        <is>
          <t>22-06-2026</t>
        </is>
      </c>
      <c r="C8" s="3" t="inlineStr">
        <is>
          <t>Gloria</t>
        </is>
      </c>
      <c r="D8" s="3" t="inlineStr">
        <is>
          <t>33183</t>
        </is>
      </c>
      <c r="E8" s="4" t="inlineStr">
        <is>
          <t>Cala Sumatra</t>
        </is>
      </c>
      <c r="F8" s="4" t="inlineStr"/>
      <c r="G8" s="4" t="inlineStr">
        <is>
          <t>COLOR Fucsia · ALTURA 50 cm</t>
        </is>
      </c>
      <c r="H8" s="3" t="inlineStr"/>
      <c r="I8" s="3" t="n">
        <v>20</v>
      </c>
      <c r="J8" s="3" t="inlineStr">
        <is>
          <t>20 шт.</t>
        </is>
      </c>
      <c r="K8" s="4">
        <f>IMAGE("https://cdn.verdnatura.es/image/catalog/1600x900/33183")</f>
        <v/>
      </c>
      <c r="L8" s="5" t="n"/>
      <c r="M8" s="6" t="n"/>
      <c r="N8" s="7" t="n"/>
      <c r="O8" s="8" t="n">
        <v>1.06</v>
      </c>
      <c r="P8" s="8" t="n">
        <v>21.2</v>
      </c>
    </row>
    <row r="9" ht="110" customHeight="1">
      <c r="A9" s="3" t="inlineStr">
        <is>
          <t>13001652</t>
        </is>
      </c>
      <c r="B9" s="3" t="inlineStr">
        <is>
          <t>22-06-2026</t>
        </is>
      </c>
      <c r="C9" s="3" t="inlineStr">
        <is>
          <t>Gloria</t>
        </is>
      </c>
      <c r="D9" s="3" t="inlineStr">
        <is>
          <t>198749</t>
        </is>
      </c>
      <c r="E9" s="4" t="inlineStr">
        <is>
          <t>CR Altaj Galaxy</t>
        </is>
      </c>
      <c r="F9" s="4" t="inlineStr">
        <is>
          <t>Zentoo</t>
        </is>
      </c>
      <c r="G9" s="4" t="inlineStr">
        <is>
          <t>COLOR Purpura/Rosa · ALTURA 70 cm · PESO/TALLO 105 gr</t>
        </is>
      </c>
      <c r="H9" s="3" t="inlineStr"/>
      <c r="I9" s="3" t="n">
        <v>30</v>
      </c>
      <c r="J9" s="3" t="inlineStr">
        <is>
          <t>30 шт.</t>
        </is>
      </c>
      <c r="K9" s="4">
        <f>IMAGE("https://cdn.verdnatura.es/image/catalog/1600x900/198749")</f>
        <v/>
      </c>
      <c r="L9" s="5" t="n"/>
      <c r="M9" s="6" t="n"/>
      <c r="N9" s="7" t="n"/>
      <c r="O9" s="8" t="n">
        <v>0.97</v>
      </c>
      <c r="P9" s="8" t="n">
        <v>29.1</v>
      </c>
    </row>
    <row r="10" ht="110" customHeight="1">
      <c r="A10" s="3" t="inlineStr">
        <is>
          <t>13001652</t>
        </is>
      </c>
      <c r="B10" s="3" t="inlineStr">
        <is>
          <t>22-06-2026</t>
        </is>
      </c>
      <c r="C10" s="3" t="inlineStr">
        <is>
          <t>Gloria</t>
        </is>
      </c>
      <c r="D10" s="3" t="inlineStr">
        <is>
          <t>204436</t>
        </is>
      </c>
      <c r="E10" s="4" t="inlineStr">
        <is>
          <t>CR Altaj Red</t>
        </is>
      </c>
      <c r="F10" s="4" t="inlineStr">
        <is>
          <t>Zentoo</t>
        </is>
      </c>
      <c r="G10" s="4" t="inlineStr">
        <is>
          <t>COLOR Rojo · ALTURA 70 cm · PESO/TALLO 60 gr</t>
        </is>
      </c>
      <c r="H10" s="3" t="inlineStr"/>
      <c r="I10" s="3" t="n">
        <v>30</v>
      </c>
      <c r="J10" s="3" t="inlineStr">
        <is>
          <t>30 шт.</t>
        </is>
      </c>
      <c r="K10" s="4">
        <f>IMAGE("https://cdn.verdnatura.es/image/catalog/1600x900/204436")</f>
        <v/>
      </c>
      <c r="L10" s="5" t="n"/>
      <c r="M10" s="6" t="n"/>
      <c r="N10" s="7" t="n"/>
      <c r="O10" s="8" t="n">
        <v>0.9</v>
      </c>
      <c r="P10" s="8" t="n">
        <v>27</v>
      </c>
    </row>
    <row r="11" ht="110" customHeight="1">
      <c r="A11" s="3" t="inlineStr">
        <is>
          <t>13001652</t>
        </is>
      </c>
      <c r="B11" s="3" t="inlineStr">
        <is>
          <t>22-06-2026</t>
        </is>
      </c>
      <c r="C11" s="3" t="inlineStr">
        <is>
          <t>Gloria</t>
        </is>
      </c>
      <c r="D11" s="3" t="inlineStr">
        <is>
          <t>198746</t>
        </is>
      </c>
      <c r="E11" s="4" t="inlineStr">
        <is>
          <t>CR Altaj Soft Pink</t>
        </is>
      </c>
      <c r="F11" s="4" t="inlineStr">
        <is>
          <t>Zentoo</t>
        </is>
      </c>
      <c r="G11" s="4" t="inlineStr">
        <is>
          <t>COLOR Rosa Claro · ALTURA 70 cm</t>
        </is>
      </c>
      <c r="H11" s="3" t="inlineStr"/>
      <c r="I11" s="3" t="n">
        <v>25</v>
      </c>
      <c r="J11" s="3" t="inlineStr">
        <is>
          <t>25 шт.</t>
        </is>
      </c>
      <c r="K11" s="4">
        <f>IMAGE("https://cdn.verdnatura.es/image/catalog/1600x900/198746")</f>
        <v/>
      </c>
      <c r="L11" s="5" t="n"/>
      <c r="M11" s="6" t="n"/>
      <c r="N11" s="7" t="n"/>
      <c r="O11" s="8" t="n">
        <v>0.97</v>
      </c>
      <c r="P11" s="8" t="n">
        <v>24.25</v>
      </c>
    </row>
    <row r="12" ht="110" customHeight="1">
      <c r="A12" s="3" t="inlineStr">
        <is>
          <t>13001652</t>
        </is>
      </c>
      <c r="B12" s="3" t="inlineStr">
        <is>
          <t>22-06-2026</t>
        </is>
      </c>
      <c r="C12" s="3" t="inlineStr">
        <is>
          <t>Gloria</t>
        </is>
      </c>
      <c r="D12" s="3" t="inlineStr">
        <is>
          <t>206513</t>
        </is>
      </c>
      <c r="E12" s="4" t="inlineStr">
        <is>
          <t>CR SANT Blossom Mix</t>
        </is>
      </c>
      <c r="F12" s="4" t="inlineStr">
        <is>
          <t>Zentoo</t>
        </is>
      </c>
      <c r="G12" s="4" t="inlineStr">
        <is>
          <t>COLOR Mixto · ALTURA 55 cm · PESO/PAQUETE 1200 gr</t>
        </is>
      </c>
      <c r="H12" s="3" t="inlineStr"/>
      <c r="I12" s="3" t="n">
        <v>50</v>
      </c>
      <c r="J12" s="3" t="inlineStr">
        <is>
          <t>50 шт.</t>
        </is>
      </c>
      <c r="K12" s="4">
        <f>IMAGE("https://cdn.verdnatura.es/image/catalog/1600x900/206513")</f>
        <v/>
      </c>
      <c r="L12" s="5" t="n"/>
      <c r="M12" s="6" t="n"/>
      <c r="N12" s="7" t="n"/>
      <c r="O12" s="8" t="n">
        <v>0.41</v>
      </c>
      <c r="P12" s="8" t="n">
        <v>20.5</v>
      </c>
    </row>
    <row r="13" ht="110" customHeight="1">
      <c r="A13" s="3" t="inlineStr">
        <is>
          <t>13001652</t>
        </is>
      </c>
      <c r="B13" s="3" t="inlineStr">
        <is>
          <t>22-06-2026</t>
        </is>
      </c>
      <c r="C13" s="3" t="inlineStr">
        <is>
          <t>Gloria</t>
        </is>
      </c>
      <c r="D13" s="3" t="inlineStr">
        <is>
          <t>201981</t>
        </is>
      </c>
      <c r="E13" s="4" t="inlineStr">
        <is>
          <t>CR SANT Mix Ying Yang</t>
        </is>
      </c>
      <c r="F13" s="4" t="inlineStr">
        <is>
          <t>Zentoo</t>
        </is>
      </c>
      <c r="G13" s="4" t="inlineStr">
        <is>
          <t>COLOR Mixto · ALTURA 55 cm · PESO/PAQUETE 1100 gr</t>
        </is>
      </c>
      <c r="H13" s="3" t="inlineStr"/>
      <c r="I13" s="3" t="n">
        <v>25</v>
      </c>
      <c r="J13" s="3" t="inlineStr">
        <is>
          <t>25 шт.</t>
        </is>
      </c>
      <c r="K13" s="4">
        <f>IMAGE("https://cdn.verdnatura.es/image/catalog/1600x900/201981")</f>
        <v/>
      </c>
      <c r="L13" s="5" t="n"/>
      <c r="M13" s="6" t="n"/>
      <c r="N13" s="7" t="n"/>
      <c r="O13" s="8" t="n">
        <v>0.4</v>
      </c>
      <c r="P13" s="8" t="n">
        <v>10</v>
      </c>
    </row>
    <row r="14" ht="110" customHeight="1">
      <c r="A14" s="3" t="inlineStr">
        <is>
          <t>13001652</t>
        </is>
      </c>
      <c r="B14" s="3" t="inlineStr">
        <is>
          <t>22-06-2026</t>
        </is>
      </c>
      <c r="C14" s="3" t="inlineStr">
        <is>
          <t>Gloria</t>
        </is>
      </c>
      <c r="D14" s="3" t="inlineStr">
        <is>
          <t>14640</t>
        </is>
      </c>
      <c r="E14" s="4" t="inlineStr">
        <is>
          <t>Eryngium SuperNova</t>
        </is>
      </c>
      <c r="F14" s="4" t="inlineStr"/>
      <c r="G14" s="4" t="inlineStr">
        <is>
          <t>COLOR Azul/Verde · ALTURA 50 cm</t>
        </is>
      </c>
      <c r="H14" s="3" t="inlineStr"/>
      <c r="I14" s="3" t="n">
        <v>40</v>
      </c>
      <c r="J14" s="3" t="inlineStr">
        <is>
          <t>40 шт.</t>
        </is>
      </c>
      <c r="K14" s="4">
        <f>IMAGE("https://cdn.verdnatura.es/image/catalog/1600x900/14640")</f>
        <v/>
      </c>
      <c r="L14" s="5" t="n"/>
      <c r="M14" s="6" t="n"/>
      <c r="N14" s="7" t="n"/>
      <c r="O14" s="8" t="n">
        <v>0.36</v>
      </c>
      <c r="P14" s="8" t="n">
        <v>14.4</v>
      </c>
    </row>
    <row r="15" ht="110" customHeight="1">
      <c r="A15" s="3" t="inlineStr">
        <is>
          <t>13001652</t>
        </is>
      </c>
      <c r="B15" s="3" t="inlineStr">
        <is>
          <t>22-06-2026</t>
        </is>
      </c>
      <c r="C15" s="3" t="inlineStr">
        <is>
          <t>Gloria</t>
        </is>
      </c>
      <c r="D15" s="3" t="inlineStr">
        <is>
          <t>134889</t>
        </is>
      </c>
      <c r="E15" s="4" t="inlineStr">
        <is>
          <t>Girasol Vincent s Choice</t>
        </is>
      </c>
      <c r="F15" s="4" t="inlineStr">
        <is>
          <t>Canaraflor</t>
        </is>
      </c>
      <c r="G15" s="4" t="inlineStr">
        <is>
          <t>COLOR Naranja claro · ALTURA 70 cm</t>
        </is>
      </c>
      <c r="H15" s="3" t="inlineStr"/>
      <c r="I15" s="3" t="n">
        <v>30</v>
      </c>
      <c r="J15" s="3" t="inlineStr">
        <is>
          <t>30 шт.</t>
        </is>
      </c>
      <c r="K15" s="4">
        <f>IMAGE("https://cdn.verdnatura.es/image/catalog/1600x900/134889")</f>
        <v/>
      </c>
      <c r="L15" s="5" t="n"/>
      <c r="M15" s="6" t="n"/>
      <c r="N15" s="7" t="n"/>
      <c r="O15" s="8" t="n">
        <v>0.5</v>
      </c>
      <c r="P15" s="8" t="n">
        <v>15</v>
      </c>
    </row>
    <row r="16" ht="110" customHeight="1">
      <c r="A16" s="3" t="inlineStr">
        <is>
          <t>13001652</t>
        </is>
      </c>
      <c r="B16" s="3" t="inlineStr">
        <is>
          <t>22-06-2026</t>
        </is>
      </c>
      <c r="C16" s="3" t="inlineStr">
        <is>
          <t>Gloria</t>
        </is>
      </c>
      <c r="D16" s="3" t="inlineStr">
        <is>
          <t>55133</t>
        </is>
      </c>
      <c r="E16" s="4" t="inlineStr">
        <is>
          <t>GRS Northanger Abbey</t>
        </is>
      </c>
      <c r="F16" s="4" t="inlineStr">
        <is>
          <t>Wans Roses</t>
        </is>
      </c>
      <c r="G16" s="4" t="inlineStr">
        <is>
          <t>COLOR Rosa · ALTURA 40 cm · BOTÓN MINIMO 3.0 cm</t>
        </is>
      </c>
      <c r="H16" s="3" t="inlineStr"/>
      <c r="I16" s="3" t="n">
        <v>30</v>
      </c>
      <c r="J16" s="3" t="inlineStr">
        <is>
          <t>30 шт.</t>
        </is>
      </c>
      <c r="K16" s="4">
        <f>IMAGE("https://cdn.verdnatura.es/image/catalog/1600x900/55133")</f>
        <v/>
      </c>
      <c r="L16" s="5" t="n"/>
      <c r="M16" s="6" t="n"/>
      <c r="N16" s="7" t="n"/>
      <c r="O16" s="8" t="n">
        <v>0.88</v>
      </c>
      <c r="P16" s="8" t="n">
        <v>26.4</v>
      </c>
    </row>
    <row r="17" ht="110" customHeight="1">
      <c r="A17" s="3" t="inlineStr">
        <is>
          <t>13001652</t>
        </is>
      </c>
      <c r="B17" s="3" t="inlineStr">
        <is>
          <t>22-06-2026</t>
        </is>
      </c>
      <c r="C17" s="3" t="inlineStr">
        <is>
          <t>Gloria</t>
        </is>
      </c>
      <c r="D17" s="3" t="inlineStr">
        <is>
          <t>205789</t>
        </is>
      </c>
      <c r="E17" s="4" t="inlineStr">
        <is>
          <t>Helleborus Magnificent Bells</t>
        </is>
      </c>
      <c r="F17" s="4" t="inlineStr">
        <is>
          <t>Promoflor</t>
        </is>
      </c>
      <c r="G17" s="4" t="inlineStr">
        <is>
          <t>COLOR Blanco/Verde · ALTURA 30-35 cm</t>
        </is>
      </c>
      <c r="H17" s="3" t="inlineStr"/>
      <c r="I17" s="3" t="n">
        <v>50</v>
      </c>
      <c r="J17" s="3" t="inlineStr">
        <is>
          <t>50 шт.</t>
        </is>
      </c>
      <c r="K17" s="4">
        <f>IMAGE("https://cdn.verdnatura.es/image/catalog/1600x900/205789")</f>
        <v/>
      </c>
      <c r="L17" s="5" t="n"/>
      <c r="M17" s="6" t="n"/>
      <c r="N17" s="7" t="n"/>
      <c r="O17" s="8" t="n">
        <v>0.57</v>
      </c>
      <c r="P17" s="8" t="n">
        <v>28.5</v>
      </c>
    </row>
    <row r="18" ht="110" customHeight="1">
      <c r="A18" s="3" t="inlineStr">
        <is>
          <t>13001652</t>
        </is>
      </c>
      <c r="B18" s="3" t="inlineStr">
        <is>
          <t>22-06-2026</t>
        </is>
      </c>
      <c r="C18" s="3" t="inlineStr">
        <is>
          <t>Gloria</t>
        </is>
      </c>
      <c r="D18" s="3" t="inlineStr">
        <is>
          <t>94229</t>
        </is>
      </c>
      <c r="E18" s="4" t="inlineStr">
        <is>
          <t>Lavanda Angustifolia 200 gr</t>
        </is>
      </c>
      <c r="F18" s="4" t="inlineStr"/>
      <c r="G18" s="4" t="inlineStr">
        <is>
          <t>COLOR Morado · ALTURA 50 cm</t>
        </is>
      </c>
      <c r="H18" s="3" t="inlineStr">
        <is>
          <t>Paquete</t>
        </is>
      </c>
      <c r="I18" s="3" t="n">
        <v>5</v>
      </c>
      <c r="J18" s="3" t="inlineStr">
        <is>
          <t>5 пачек</t>
        </is>
      </c>
      <c r="K18" s="4">
        <f>IMAGE("https://cdn.verdnatura.es/image/catalog/1600x900/94229")</f>
        <v/>
      </c>
      <c r="L18" s="5" t="n"/>
      <c r="M18" s="6" t="n"/>
      <c r="N18" s="7" t="n"/>
      <c r="O18" s="8" t="n">
        <v>3.55</v>
      </c>
      <c r="P18" s="8" t="n">
        <v>17.75</v>
      </c>
    </row>
    <row r="19" ht="110" customHeight="1">
      <c r="A19" s="3" t="inlineStr">
        <is>
          <t>13001652</t>
        </is>
      </c>
      <c r="B19" s="3" t="inlineStr">
        <is>
          <t>22-06-2026</t>
        </is>
      </c>
      <c r="C19" s="3" t="inlineStr">
        <is>
          <t>Gloria</t>
        </is>
      </c>
      <c r="D19" s="3" t="inlineStr">
        <is>
          <t>204547</t>
        </is>
      </c>
      <c r="E19" s="4" t="inlineStr">
        <is>
          <t>Lilium Roselily Doble Anouska</t>
        </is>
      </c>
      <c r="F19" s="4" t="inlineStr">
        <is>
          <t>Moerman Lilium BV</t>
        </is>
      </c>
      <c r="G19" s="4" t="inlineStr">
        <is>
          <t>COLOR Blanco/Rosa · ALTURA 90 cm</t>
        </is>
      </c>
      <c r="H19" s="3" t="inlineStr"/>
      <c r="I19" s="3" t="n">
        <v>10</v>
      </c>
      <c r="J19" s="3" t="inlineStr">
        <is>
          <t>10 шт.</t>
        </is>
      </c>
      <c r="K19" s="4">
        <f>IMAGE("https://cdn.verdnatura.es/image/catalog/1600x900/204547")</f>
        <v/>
      </c>
      <c r="L19" s="5" t="n"/>
      <c r="M19" s="6" t="n"/>
      <c r="N19" s="7" t="n"/>
      <c r="O19" s="8" t="n">
        <v>2.22</v>
      </c>
      <c r="P19" s="8" t="n">
        <v>22.2</v>
      </c>
    </row>
    <row r="20" ht="110" customHeight="1">
      <c r="A20" s="3" t="inlineStr">
        <is>
          <t>13001652</t>
        </is>
      </c>
      <c r="B20" s="3" t="inlineStr">
        <is>
          <t>22-06-2026</t>
        </is>
      </c>
      <c r="C20" s="3" t="inlineStr">
        <is>
          <t>Gloria</t>
        </is>
      </c>
      <c r="D20" s="3" t="inlineStr">
        <is>
          <t>164209</t>
        </is>
      </c>
      <c r="E20" s="4" t="inlineStr">
        <is>
          <t>LO Doble Roselily Viola 5</t>
        </is>
      </c>
      <c r="F20" s="4" t="inlineStr">
        <is>
          <t>Moerman Lilium BV</t>
        </is>
      </c>
      <c r="G20" s="4" t="inlineStr">
        <is>
          <t>COLOR Rosa · ALTURA 100 cm</t>
        </is>
      </c>
      <c r="H20" s="3" t="inlineStr"/>
      <c r="I20" s="3" t="n">
        <v>10</v>
      </c>
      <c r="J20" s="3" t="inlineStr">
        <is>
          <t>10 шт.</t>
        </is>
      </c>
      <c r="K20" s="4">
        <f>IMAGE("https://cdn.verdnatura.es/image/catalog/1600x900/164209")</f>
        <v/>
      </c>
      <c r="L20" s="5" t="n"/>
      <c r="M20" s="6" t="n"/>
      <c r="N20" s="7" t="n"/>
      <c r="O20" s="8" t="n">
        <v>2.64</v>
      </c>
      <c r="P20" s="8" t="n">
        <v>26.4</v>
      </c>
    </row>
    <row r="21" ht="110" customHeight="1">
      <c r="A21" s="3" t="inlineStr">
        <is>
          <t>13001652</t>
        </is>
      </c>
      <c r="B21" s="3" t="inlineStr">
        <is>
          <t>22-06-2026</t>
        </is>
      </c>
      <c r="C21" s="3" t="inlineStr">
        <is>
          <t>Gloria</t>
        </is>
      </c>
      <c r="D21" s="3" t="inlineStr">
        <is>
          <t>206569</t>
        </is>
      </c>
      <c r="E21" s="4" t="inlineStr">
        <is>
          <t>Pennisetum Ov Red</t>
        </is>
      </c>
      <c r="F21" s="4" t="inlineStr">
        <is>
          <t>Kwekerij van Zeil</t>
        </is>
      </c>
      <c r="G21" s="4" t="inlineStr">
        <is>
          <t>COLOR Rojo · ALTURA 65 cm</t>
        </is>
      </c>
      <c r="H21" s="3" t="inlineStr">
        <is>
          <t>Tallo</t>
        </is>
      </c>
      <c r="I21" s="3" t="n">
        <v>50</v>
      </c>
      <c r="J21" s="3" t="inlineStr">
        <is>
          <t>50 стеблей</t>
        </is>
      </c>
      <c r="K21" s="4">
        <f>IMAGE("https://cdn.verdnatura.es/image/catalog/1600x900/206569")</f>
        <v/>
      </c>
      <c r="L21" s="5" t="n"/>
      <c r="M21" s="6" t="n"/>
      <c r="N21" s="7" t="n"/>
      <c r="O21" s="8" t="n">
        <v>0.15</v>
      </c>
      <c r="P21" s="8" t="n">
        <v>7.5</v>
      </c>
    </row>
    <row r="22" ht="110" customHeight="1">
      <c r="A22" s="3" t="inlineStr">
        <is>
          <t>13001652</t>
        </is>
      </c>
      <c r="B22" s="3" t="inlineStr">
        <is>
          <t>22-06-2026</t>
        </is>
      </c>
      <c r="C22" s="3" t="inlineStr">
        <is>
          <t>Gloria</t>
        </is>
      </c>
      <c r="D22" s="3" t="inlineStr">
        <is>
          <t>166977</t>
        </is>
      </c>
      <c r="E22" s="4" t="inlineStr">
        <is>
          <t>RS Mix</t>
        </is>
      </c>
      <c r="F22" s="4" t="inlineStr">
        <is>
          <t>Holla Roses BV</t>
        </is>
      </c>
      <c r="G22" s="4" t="inlineStr">
        <is>
          <t>COLOR Mixto · ALTURA 50 cm</t>
        </is>
      </c>
      <c r="H22" s="3" t="inlineStr"/>
      <c r="I22" s="3" t="n">
        <v>40</v>
      </c>
      <c r="J22" s="3" t="inlineStr">
        <is>
          <t>40 шт.</t>
        </is>
      </c>
      <c r="K22" s="4">
        <f>IMAGE("https://cdn.verdnatura.es/image/catalog/1600x900/166977")</f>
        <v/>
      </c>
      <c r="L22" s="5" t="n"/>
      <c r="M22" s="6" t="n"/>
      <c r="N22" s="7" t="n"/>
      <c r="O22" s="8" t="n">
        <v>0.27</v>
      </c>
      <c r="P22" s="8" t="n">
        <v>10.8</v>
      </c>
    </row>
    <row r="23" ht="110" customHeight="1">
      <c r="A23" s="3" t="inlineStr">
        <is>
          <t>13001652</t>
        </is>
      </c>
      <c r="B23" s="3" t="inlineStr">
        <is>
          <t>22-06-2026</t>
        </is>
      </c>
      <c r="C23" s="3" t="inlineStr">
        <is>
          <t>Gloria</t>
        </is>
      </c>
      <c r="D23" s="3" t="inlineStr">
        <is>
          <t>31241</t>
        </is>
      </c>
      <c r="E23" s="4" t="inlineStr">
        <is>
          <t>RS Orchestra</t>
        </is>
      </c>
      <c r="F23" s="4" t="inlineStr">
        <is>
          <t>Rosa Plaza</t>
        </is>
      </c>
      <c r="G23" s="4" t="inlineStr">
        <is>
          <t>COLOR Fucsia · ALTURA 70 cm · BOTÓN MINIMO 4.0 cm</t>
        </is>
      </c>
      <c r="H23" s="3" t="inlineStr"/>
      <c r="I23" s="3" t="n">
        <v>40</v>
      </c>
      <c r="J23" s="3" t="inlineStr">
        <is>
          <t>40 шт.</t>
        </is>
      </c>
      <c r="K23" s="4">
        <f>IMAGE("https://cdn.verdnatura.es/image/catalog/1600x900/31241")</f>
        <v/>
      </c>
      <c r="L23" s="5" t="n"/>
      <c r="M23" s="6" t="n"/>
      <c r="N23" s="7" t="n"/>
      <c r="O23" s="8" t="n">
        <v>0.26</v>
      </c>
      <c r="P23" s="8" t="n">
        <v>10.4</v>
      </c>
    </row>
    <row r="24" ht="110" customHeight="1">
      <c r="A24" s="3" t="inlineStr">
        <is>
          <t>13001652</t>
        </is>
      </c>
      <c r="B24" s="3" t="inlineStr">
        <is>
          <t>22-06-2026</t>
        </is>
      </c>
      <c r="C24" s="3" t="inlineStr">
        <is>
          <t>Gloria</t>
        </is>
      </c>
      <c r="D24" s="3" t="inlineStr">
        <is>
          <t>191334</t>
        </is>
      </c>
      <c r="E24" s="4" t="inlineStr">
        <is>
          <t>RSR Rainbow</t>
        </is>
      </c>
      <c r="F24" s="4" t="inlineStr">
        <is>
          <t>Holla Roses BV</t>
        </is>
      </c>
      <c r="G24" s="4" t="inlineStr">
        <is>
          <t>COLOR Mixto · ALTURA 40 cm · TAMAÑO BOTON Pequeño</t>
        </is>
      </c>
      <c r="H24" s="3" t="inlineStr"/>
      <c r="I24" s="3" t="n">
        <v>60</v>
      </c>
      <c r="J24" s="3" t="inlineStr">
        <is>
          <t>60 шт.</t>
        </is>
      </c>
      <c r="K24" s="4">
        <f>IMAGE("https://cdn.verdnatura.es/image/catalog/1600x900/191334")</f>
        <v/>
      </c>
      <c r="L24" s="5" t="n"/>
      <c r="M24" s="6" t="n"/>
      <c r="N24" s="7" t="n"/>
      <c r="O24" s="8" t="n">
        <v>0.23</v>
      </c>
      <c r="P24" s="8" t="n">
        <v>13.8</v>
      </c>
    </row>
    <row r="25" ht="110" customHeight="1">
      <c r="A25" s="3" t="inlineStr">
        <is>
          <t>13001652</t>
        </is>
      </c>
      <c r="B25" s="3" t="inlineStr">
        <is>
          <t>22-06-2026</t>
        </is>
      </c>
      <c r="C25" s="3" t="inlineStr">
        <is>
          <t>Gloria</t>
        </is>
      </c>
      <c r="D25" s="3" t="inlineStr">
        <is>
          <t>206522</t>
        </is>
      </c>
      <c r="E25" s="4" t="inlineStr">
        <is>
          <t>RSR Royal Blush Jardín</t>
        </is>
      </c>
      <c r="F25" s="4" t="inlineStr">
        <is>
          <t>Vip Roses by Sassen</t>
        </is>
      </c>
      <c r="G25" s="4" t="inlineStr">
        <is>
          <t>COLOR Rosa Claro · ALTURA 60 cm</t>
        </is>
      </c>
      <c r="H25" s="3" t="inlineStr"/>
      <c r="I25" s="3" t="n">
        <v>20</v>
      </c>
      <c r="J25" s="3" t="inlineStr">
        <is>
          <t>20 шт.</t>
        </is>
      </c>
      <c r="K25" s="4">
        <f>IMAGE("https://cdn.verdnatura.es/image/catalog/1600x900/206522")</f>
        <v/>
      </c>
      <c r="L25" s="5" t="n"/>
      <c r="M25" s="6" t="n"/>
      <c r="N25" s="7" t="n"/>
      <c r="O25" s="8" t="n">
        <v>1.57</v>
      </c>
      <c r="P25" s="8" t="n">
        <v>31.4</v>
      </c>
    </row>
    <row r="26" ht="110" customHeight="1">
      <c r="A26" s="3" t="inlineStr">
        <is>
          <t>13001652</t>
        </is>
      </c>
      <c r="B26" s="3" t="inlineStr">
        <is>
          <t>22-06-2026</t>
        </is>
      </c>
      <c r="C26" s="3" t="inlineStr">
        <is>
          <t>Gloria</t>
        </is>
      </c>
      <c r="D26" s="3" t="inlineStr">
        <is>
          <t>185413</t>
        </is>
      </c>
      <c r="E26" s="4" t="inlineStr">
        <is>
          <t>RSR Vanessa</t>
        </is>
      </c>
      <c r="F26" s="4" t="inlineStr">
        <is>
          <t>Braam Roses</t>
        </is>
      </c>
      <c r="G26" s="4" t="inlineStr">
        <is>
          <t>COLOR Blanco/Rosa · ALTURA 50 cm · TAMAÑO BOTON Mediano</t>
        </is>
      </c>
      <c r="H26" s="3" t="inlineStr"/>
      <c r="I26" s="3" t="n">
        <v>50</v>
      </c>
      <c r="J26" s="3" t="inlineStr">
        <is>
          <t>50 шт.</t>
        </is>
      </c>
      <c r="K26" s="4">
        <f>IMAGE("https://cdn.verdnatura.es/image/catalog/1600x900/185413")</f>
        <v/>
      </c>
      <c r="L26" s="5" t="n"/>
      <c r="M26" s="6" t="n"/>
      <c r="N26" s="7" t="n"/>
      <c r="O26" s="8" t="n">
        <v>0.43</v>
      </c>
      <c r="P26" s="8" t="n">
        <v>21.5</v>
      </c>
    </row>
    <row r="27" ht="110" customHeight="1">
      <c r="A27" s="3" t="inlineStr">
        <is>
          <t>13001652</t>
        </is>
      </c>
      <c r="B27" s="3" t="inlineStr">
        <is>
          <t>22-06-2026</t>
        </is>
      </c>
      <c r="C27" s="3" t="inlineStr">
        <is>
          <t>Gloria</t>
        </is>
      </c>
      <c r="D27" s="3" t="inlineStr">
        <is>
          <t>149659</t>
        </is>
      </c>
      <c r="E27" s="4" t="inlineStr">
        <is>
          <t>Sanguisorba Officinalis Red Dr</t>
        </is>
      </c>
      <c r="F27" s="4" t="inlineStr">
        <is>
          <t>Marginpar / ET</t>
        </is>
      </c>
      <c r="G27" s="4" t="inlineStr">
        <is>
          <t>COLOR Rojo · ALTURA 60 cm</t>
        </is>
      </c>
      <c r="H27" s="3" t="inlineStr">
        <is>
          <t>Tallo</t>
        </is>
      </c>
      <c r="I27" s="3" t="n">
        <v>50</v>
      </c>
      <c r="J27" s="3" t="inlineStr">
        <is>
          <t>50 стеблей</t>
        </is>
      </c>
      <c r="K27" s="4">
        <f>IMAGE("https://cdn.verdnatura.es/image/catalog/1600x900/149659")</f>
        <v/>
      </c>
      <c r="L27" s="5" t="n"/>
      <c r="M27" s="6" t="n"/>
      <c r="N27" s="7" t="n"/>
      <c r="O27" s="8" t="n">
        <v>0.25</v>
      </c>
      <c r="P27" s="8" t="n">
        <v>12.5</v>
      </c>
    </row>
    <row r="28" ht="110" customHeight="1">
      <c r="A28" s="3" t="inlineStr">
        <is>
          <t>13001652</t>
        </is>
      </c>
      <c r="B28" s="3" t="inlineStr">
        <is>
          <t>22-06-2026</t>
        </is>
      </c>
      <c r="C28" s="3" t="inlineStr">
        <is>
          <t>Gloria</t>
        </is>
      </c>
      <c r="D28" s="3" t="inlineStr">
        <is>
          <t>153780</t>
        </is>
      </c>
      <c r="E28" s="4" t="inlineStr">
        <is>
          <t>Scabiosa Stellata Arlecchino</t>
        </is>
      </c>
      <c r="F28" s="4" t="inlineStr"/>
      <c r="G28" s="4" t="inlineStr">
        <is>
          <t>COLOR Mixto · ALTURA 50 cm</t>
        </is>
      </c>
      <c r="H28" s="3" t="inlineStr"/>
      <c r="I28" s="3" t="n">
        <v>50</v>
      </c>
      <c r="J28" s="3" t="inlineStr">
        <is>
          <t>50 шт.</t>
        </is>
      </c>
      <c r="K28" s="4">
        <f>IMAGE("https://cdn.verdnatura.es/image/catalog/1600x900/153780")</f>
        <v/>
      </c>
      <c r="L28" s="5" t="n"/>
      <c r="M28" s="6" t="n"/>
      <c r="N28" s="7" t="n"/>
      <c r="O28" s="8" t="n">
        <v>0.58</v>
      </c>
      <c r="P28" s="8" t="n">
        <v>29</v>
      </c>
    </row>
    <row r="29" ht="110" customHeight="1">
      <c r="A29" s="3" t="inlineStr">
        <is>
          <t>13001652</t>
        </is>
      </c>
      <c r="B29" s="3" t="inlineStr">
        <is>
          <t>22-06-2026</t>
        </is>
      </c>
      <c r="C29" s="3" t="inlineStr">
        <is>
          <t>Gloria</t>
        </is>
      </c>
      <c r="D29" s="3" t="inlineStr">
        <is>
          <t>32141</t>
        </is>
      </c>
      <c r="E29" s="4" t="inlineStr">
        <is>
          <t>TUL Carola</t>
        </is>
      </c>
      <c r="F29" s="4" t="inlineStr"/>
      <c r="G29" s="4" t="inlineStr">
        <is>
          <t>COLOR Fucsia · ALTURA 39 cm · PESO/TALLO 34 gr</t>
        </is>
      </c>
      <c r="H29" s="3" t="inlineStr"/>
      <c r="I29" s="3" t="n">
        <v>50</v>
      </c>
      <c r="J29" s="3" t="inlineStr">
        <is>
          <t>50 шт.</t>
        </is>
      </c>
      <c r="K29" s="4">
        <f>IMAGE("https://cdn.verdnatura.es/image/catalog/1600x900/32141")</f>
        <v/>
      </c>
      <c r="L29" s="5" t="n"/>
      <c r="M29" s="6" t="n"/>
      <c r="N29" s="7" t="n"/>
      <c r="O29" s="8" t="n">
        <v>0.73</v>
      </c>
      <c r="P29" s="8" t="n">
        <v>36.5</v>
      </c>
    </row>
    <row r="30" ht="110" customHeight="1">
      <c r="A30" s="3" t="inlineStr">
        <is>
          <t>13001652</t>
        </is>
      </c>
      <c r="B30" s="3" t="inlineStr">
        <is>
          <t>22-06-2026</t>
        </is>
      </c>
      <c r="C30" s="3" t="inlineStr">
        <is>
          <t>Gloria</t>
        </is>
      </c>
      <c r="D30" s="3" t="inlineStr">
        <is>
          <t>33</t>
        </is>
      </c>
      <c r="E30" s="4" t="inlineStr">
        <is>
          <t>TUL Marit</t>
        </is>
      </c>
      <c r="F30" s="4" t="inlineStr"/>
      <c r="G30" s="4" t="inlineStr">
        <is>
          <t>COLOR Amarillo/Naranja · ALTURA 42 cm · PESO/TALLO 55 gr</t>
        </is>
      </c>
      <c r="H30" s="3" t="inlineStr"/>
      <c r="I30" s="3" t="n">
        <v>50</v>
      </c>
      <c r="J30" s="3" t="inlineStr">
        <is>
          <t>50 шт.</t>
        </is>
      </c>
      <c r="K30" s="4">
        <f>IMAGE("https://cdn.verdnatura.es/image/catalog/1600x900/33")</f>
        <v/>
      </c>
      <c r="L30" s="5" t="n"/>
      <c r="M30" s="6" t="n"/>
      <c r="N30" s="7" t="n"/>
      <c r="O30" s="8" t="n">
        <v>0.6899999999999999</v>
      </c>
      <c r="P30" s="8" t="n">
        <v>34.5</v>
      </c>
    </row>
    <row r="31" ht="26" customHeight="1">
      <c r="A31" s="2" t="inlineStr">
        <is>
          <t>📦  Накладная #13002273  ·  22-06-2026  ·  Gloria  ·  11 позиций  ·  bultos: 2</t>
        </is>
      </c>
    </row>
    <row r="32" ht="110" customHeight="1">
      <c r="A32" s="3" t="inlineStr">
        <is>
          <t>13002273</t>
        </is>
      </c>
      <c r="B32" s="3" t="inlineStr">
        <is>
          <t>22-06-2026</t>
        </is>
      </c>
      <c r="C32" s="3" t="inlineStr">
        <is>
          <t>Gloria</t>
        </is>
      </c>
      <c r="D32" s="3" t="inlineStr">
        <is>
          <t>134536</t>
        </is>
      </c>
      <c r="E32" s="4" t="inlineStr">
        <is>
          <t>+ Peonia Gardenia</t>
        </is>
      </c>
      <c r="F32" s="4" t="inlineStr">
        <is>
          <t>My-Peony</t>
        </is>
      </c>
      <c r="G32" s="4" t="inlineStr">
        <is>
          <t>COLOR Blanco/Rosa · ALTURA 60 cm · APERTURA 2-3</t>
        </is>
      </c>
      <c r="H32" s="3" t="inlineStr"/>
      <c r="I32" s="3" t="n">
        <v>50</v>
      </c>
      <c r="J32" s="3" t="inlineStr">
        <is>
          <t>50 шт.</t>
        </is>
      </c>
      <c r="K32" s="4">
        <f>IMAGE("https://cdn.verdnatura.es/image/catalog/1600x900/134536")</f>
        <v/>
      </c>
      <c r="L32" s="5" t="n"/>
      <c r="M32" s="6" t="n"/>
      <c r="N32" s="7" t="n"/>
      <c r="O32" s="8" t="n">
        <v>0.77</v>
      </c>
      <c r="P32" s="8" t="n">
        <v>38.5</v>
      </c>
    </row>
    <row r="33" ht="110" customHeight="1">
      <c r="A33" s="3" t="inlineStr">
        <is>
          <t>13002273</t>
        </is>
      </c>
      <c r="B33" s="3" t="inlineStr">
        <is>
          <t>22-06-2026</t>
        </is>
      </c>
      <c r="C33" s="3" t="inlineStr">
        <is>
          <t>Gloria</t>
        </is>
      </c>
      <c r="D33" s="3" t="inlineStr">
        <is>
          <t>14614</t>
        </is>
      </c>
      <c r="E33" s="4" t="inlineStr">
        <is>
          <t>CRU Anastasia Purple</t>
        </is>
      </c>
      <c r="F33" s="4" t="inlineStr">
        <is>
          <t>Benchmark</t>
        </is>
      </c>
      <c r="G33" s="4" t="inlineStr">
        <is>
          <t>COLOR Morado · ALTURA 70 cm · PESO/TALLO 45-50 gr</t>
        </is>
      </c>
      <c r="H33" s="3" t="inlineStr"/>
      <c r="I33" s="3" t="n">
        <v>20</v>
      </c>
      <c r="J33" s="3" t="inlineStr">
        <is>
          <t>20 шт.</t>
        </is>
      </c>
      <c r="K33" s="4">
        <f>IMAGE("https://cdn.verdnatura.es/image/catalog/1600x900/14614")</f>
        <v/>
      </c>
      <c r="L33" s="5" t="n"/>
      <c r="M33" s="6" t="n"/>
      <c r="N33" s="7" t="n"/>
      <c r="O33" s="8" t="n">
        <v>0.48</v>
      </c>
      <c r="P33" s="8" t="n">
        <v>9.6</v>
      </c>
    </row>
    <row r="34" ht="110" customHeight="1">
      <c r="A34" s="3" t="inlineStr">
        <is>
          <t>13002273</t>
        </is>
      </c>
      <c r="B34" s="3" t="inlineStr">
        <is>
          <t>22-06-2026</t>
        </is>
      </c>
      <c r="C34" s="3" t="inlineStr">
        <is>
          <t>Gloria</t>
        </is>
      </c>
      <c r="D34" s="3" t="inlineStr">
        <is>
          <t>36794</t>
        </is>
      </c>
      <c r="E34" s="4" t="inlineStr">
        <is>
          <t>CRU Gustav Lychee</t>
        </is>
      </c>
      <c r="F34" s="4" t="inlineStr">
        <is>
          <t>Benchmark</t>
        </is>
      </c>
      <c r="G34" s="4" t="inlineStr">
        <is>
          <t>COLOR Morado · ALTURA 70 cm</t>
        </is>
      </c>
      <c r="H34" s="3" t="inlineStr"/>
      <c r="I34" s="3" t="n">
        <v>20</v>
      </c>
      <c r="J34" s="3" t="inlineStr">
        <is>
          <t>20 шт.</t>
        </is>
      </c>
      <c r="K34" s="4">
        <f>IMAGE("https://cdn.verdnatura.es/image/catalog/1600x900/36794")</f>
        <v/>
      </c>
      <c r="L34" s="5" t="n"/>
      <c r="M34" s="6" t="n"/>
      <c r="N34" s="7" t="n"/>
      <c r="O34" s="8" t="n">
        <v>0.48</v>
      </c>
      <c r="P34" s="8" t="n">
        <v>9.6</v>
      </c>
    </row>
    <row r="35" ht="110" customHeight="1">
      <c r="A35" s="3" t="inlineStr">
        <is>
          <t>13002273</t>
        </is>
      </c>
      <c r="B35" s="3" t="inlineStr">
        <is>
          <t>22-06-2026</t>
        </is>
      </c>
      <c r="C35" s="3" t="inlineStr">
        <is>
          <t>Gloria</t>
        </is>
      </c>
      <c r="D35" s="3" t="inlineStr">
        <is>
          <t>164058</t>
        </is>
      </c>
      <c r="E35" s="4" t="inlineStr">
        <is>
          <t>CRU Marcela</t>
        </is>
      </c>
      <c r="F35" s="4" t="inlineStr">
        <is>
          <t>Benchmark</t>
        </is>
      </c>
      <c r="G35" s="4" t="inlineStr">
        <is>
          <t>COLOR Rosa · ALTURA 70 cm · PESO/TALLO 65-70 gr</t>
        </is>
      </c>
      <c r="H35" s="3" t="inlineStr"/>
      <c r="I35" s="3" t="n">
        <v>20</v>
      </c>
      <c r="J35" s="3" t="inlineStr">
        <is>
          <t>20 шт.</t>
        </is>
      </c>
      <c r="K35" s="4">
        <f>IMAGE("https://cdn.verdnatura.es/image/catalog/1600x900/164058")</f>
        <v/>
      </c>
      <c r="L35" s="5" t="n"/>
      <c r="M35" s="6" t="n"/>
      <c r="N35" s="7" t="n"/>
      <c r="O35" s="8" t="n">
        <v>0.5</v>
      </c>
      <c r="P35" s="8" t="n">
        <v>10</v>
      </c>
    </row>
    <row r="36" ht="110" customHeight="1">
      <c r="A36" s="3" t="inlineStr">
        <is>
          <t>13002273</t>
        </is>
      </c>
      <c r="B36" s="3" t="inlineStr">
        <is>
          <t>22-06-2026</t>
        </is>
      </c>
      <c r="C36" s="3" t="inlineStr">
        <is>
          <t>Gloria</t>
        </is>
      </c>
      <c r="D36" s="3" t="inlineStr">
        <is>
          <t>192461</t>
        </is>
      </c>
      <c r="E36" s="4" t="inlineStr">
        <is>
          <t>GRS Melon X-Pression</t>
        </is>
      </c>
      <c r="F36" s="4" t="inlineStr">
        <is>
          <t>Rosaprima</t>
        </is>
      </c>
      <c r="G36" s="4" t="inlineStr">
        <is>
          <t>COLOR Melocotón · ALTURA 70 cm · BOTÓN MINIMO 4.0 cm</t>
        </is>
      </c>
      <c r="H36" s="3" t="inlineStr"/>
      <c r="I36" s="3" t="n">
        <v>25</v>
      </c>
      <c r="J36" s="3" t="inlineStr">
        <is>
          <t>25 шт.</t>
        </is>
      </c>
      <c r="K36" s="4">
        <f>IMAGE("https://cdn.verdnatura.es/image/catalog/1600x900/192461")</f>
        <v/>
      </c>
      <c r="L36" s="5" t="n"/>
      <c r="M36" s="6" t="n"/>
      <c r="N36" s="7" t="n"/>
      <c r="O36" s="8" t="n">
        <v>1.31</v>
      </c>
      <c r="P36" s="8" t="n">
        <v>32.75</v>
      </c>
    </row>
    <row r="37" ht="110" customHeight="1">
      <c r="A37" s="3" t="inlineStr">
        <is>
          <t>13002273</t>
        </is>
      </c>
      <c r="B37" s="3" t="inlineStr">
        <is>
          <t>22-06-2026</t>
        </is>
      </c>
      <c r="C37" s="3" t="inlineStr">
        <is>
          <t>Gloria</t>
        </is>
      </c>
      <c r="D37" s="3" t="inlineStr">
        <is>
          <t>97477</t>
        </is>
      </c>
      <c r="E37" s="4" t="inlineStr">
        <is>
          <t>HYD Green Emerald SEL</t>
        </is>
      </c>
      <c r="F37" s="4" t="inlineStr">
        <is>
          <t>Santa Dorotea</t>
        </is>
      </c>
      <c r="G37" s="4" t="inlineStr">
        <is>
          <t>COLOR Verde · ALTURA 60 cm · DIAMETRO 15 cm</t>
        </is>
      </c>
      <c r="H37" s="3" t="inlineStr"/>
      <c r="I37" s="3" t="n">
        <v>25</v>
      </c>
      <c r="J37" s="3" t="inlineStr">
        <is>
          <t>25 шт.</t>
        </is>
      </c>
      <c r="K37" s="4">
        <f>IMAGE("https://cdn.verdnatura.es/image/catalog/1600x900/97477")</f>
        <v/>
      </c>
      <c r="L37" s="5" t="n"/>
      <c r="M37" s="6" t="n"/>
      <c r="N37" s="7" t="n"/>
      <c r="O37" s="8" t="n">
        <v>1.11</v>
      </c>
      <c r="P37" s="8" t="n">
        <v>27.75</v>
      </c>
    </row>
    <row r="38" ht="110" customHeight="1">
      <c r="A38" s="3" t="inlineStr">
        <is>
          <t>13002273</t>
        </is>
      </c>
      <c r="B38" s="3" t="inlineStr">
        <is>
          <t>22-06-2026</t>
        </is>
      </c>
      <c r="C38" s="3" t="inlineStr">
        <is>
          <t>Gloria</t>
        </is>
      </c>
      <c r="D38" s="3" t="inlineStr">
        <is>
          <t>135400</t>
        </is>
      </c>
      <c r="E38" s="4" t="inlineStr">
        <is>
          <t>Peonia Sarah Bernhard</t>
        </is>
      </c>
      <c r="F38" s="4" t="inlineStr">
        <is>
          <t>My-Peony</t>
        </is>
      </c>
      <c r="G38" s="4" t="inlineStr">
        <is>
          <t>COLOR Rosa Claro · ALTURA 55 cm · APERTURA 2-3</t>
        </is>
      </c>
      <c r="H38" s="3" t="inlineStr"/>
      <c r="I38" s="3" t="n">
        <v>50</v>
      </c>
      <c r="J38" s="3" t="inlineStr">
        <is>
          <t>50 шт.</t>
        </is>
      </c>
      <c r="K38" s="4">
        <f>IMAGE("https://cdn.verdnatura.es/image/catalog/1600x900/135400")</f>
        <v/>
      </c>
      <c r="L38" s="5" t="n"/>
      <c r="M38" s="6" t="n"/>
      <c r="N38" s="7" t="n"/>
      <c r="O38" s="8" t="n">
        <v>0.85</v>
      </c>
      <c r="P38" s="8" t="n">
        <v>42.5</v>
      </c>
    </row>
    <row r="39" ht="110" customHeight="1">
      <c r="A39" s="3" t="inlineStr">
        <is>
          <t>13002273</t>
        </is>
      </c>
      <c r="B39" s="3" t="inlineStr">
        <is>
          <t>22-06-2026</t>
        </is>
      </c>
      <c r="C39" s="3" t="inlineStr">
        <is>
          <t>Gloria</t>
        </is>
      </c>
      <c r="D39" s="3" t="inlineStr">
        <is>
          <t>177175</t>
        </is>
      </c>
      <c r="E39" s="4" t="inlineStr">
        <is>
          <t>RS Explorer EXT</t>
        </is>
      </c>
      <c r="F39" s="4" t="inlineStr">
        <is>
          <t>Ecuador</t>
        </is>
      </c>
      <c r="G39" s="4" t="inlineStr">
        <is>
          <t>COLOR Rojo · ALTURA 60 cm · BOTÓN MINIMO 6 cm</t>
        </is>
      </c>
      <c r="H39" s="3" t="inlineStr"/>
      <c r="I39" s="3" t="n">
        <v>50</v>
      </c>
      <c r="J39" s="3" t="inlineStr">
        <is>
          <t>50 шт.</t>
        </is>
      </c>
      <c r="K39" s="4">
        <f>IMAGE("https://cdn.verdnatura.es/image/catalog/1600x900/177175")</f>
        <v/>
      </c>
      <c r="L39" s="5" t="n"/>
      <c r="M39" s="6" t="n"/>
      <c r="N39" s="7" t="n"/>
      <c r="O39" s="8" t="n">
        <v>0.67</v>
      </c>
      <c r="P39" s="8" t="n">
        <v>33.5</v>
      </c>
    </row>
    <row r="40" ht="110" customHeight="1">
      <c r="A40" s="3" t="inlineStr">
        <is>
          <t>13002273</t>
        </is>
      </c>
      <c r="B40" s="3" t="inlineStr">
        <is>
          <t>22-06-2026</t>
        </is>
      </c>
      <c r="C40" s="3" t="inlineStr">
        <is>
          <t>Gloria</t>
        </is>
      </c>
      <c r="D40" s="3" t="inlineStr">
        <is>
          <t>177170</t>
        </is>
      </c>
      <c r="E40" s="4" t="inlineStr">
        <is>
          <t>RS Frutteto EXT</t>
        </is>
      </c>
      <c r="F40" s="4" t="inlineStr">
        <is>
          <t>Ecuador</t>
        </is>
      </c>
      <c r="G40" s="4" t="inlineStr">
        <is>
          <t>COLOR Champagne · ALTURA 50 cm · BOTÓN MINIMO 4.8 cm</t>
        </is>
      </c>
      <c r="H40" s="3" t="inlineStr"/>
      <c r="I40" s="3" t="n">
        <v>25</v>
      </c>
      <c r="J40" s="3" t="inlineStr">
        <is>
          <t>25 шт.</t>
        </is>
      </c>
      <c r="K40" s="4">
        <f>IMAGE("https://cdn.verdnatura.es/image/catalog/1600x900/177170")</f>
        <v/>
      </c>
      <c r="L40" s="5" t="n"/>
      <c r="M40" s="6" t="n"/>
      <c r="N40" s="7" t="n"/>
      <c r="O40" s="8" t="n">
        <v>0.55</v>
      </c>
      <c r="P40" s="8" t="n">
        <v>13.75</v>
      </c>
    </row>
    <row r="41" ht="110" customHeight="1">
      <c r="A41" s="3" t="inlineStr">
        <is>
          <t>13002273</t>
        </is>
      </c>
      <c r="B41" s="3" t="inlineStr">
        <is>
          <t>22-06-2026</t>
        </is>
      </c>
      <c r="C41" s="3" t="inlineStr">
        <is>
          <t>Gloria</t>
        </is>
      </c>
      <c r="D41" s="3" t="inlineStr">
        <is>
          <t>199387</t>
        </is>
      </c>
      <c r="E41" s="4" t="inlineStr">
        <is>
          <t>RS Hermosa EXT</t>
        </is>
      </c>
      <c r="F41" s="4" t="inlineStr">
        <is>
          <t>Comexiger</t>
        </is>
      </c>
      <c r="G41" s="4" t="inlineStr">
        <is>
          <t>COLOR Rosa · ALTURA 50 cm · BOTÓN MINIMO 7 cm</t>
        </is>
      </c>
      <c r="H41" s="3" t="inlineStr"/>
      <c r="I41" s="3" t="n">
        <v>50</v>
      </c>
      <c r="J41" s="3" t="inlineStr">
        <is>
          <t>50 шт.</t>
        </is>
      </c>
      <c r="K41" s="4">
        <f>IMAGE("https://cdn.verdnatura.es/image/catalog/1600x900/199387")</f>
        <v/>
      </c>
      <c r="L41" s="5" t="n"/>
      <c r="M41" s="6" t="n"/>
      <c r="N41" s="7" t="n"/>
      <c r="O41" s="8" t="n">
        <v>0.65</v>
      </c>
      <c r="P41" s="8" t="n">
        <v>32.5</v>
      </c>
    </row>
    <row r="42" ht="110" customHeight="1">
      <c r="A42" s="3" t="inlineStr">
        <is>
          <t>13002273</t>
        </is>
      </c>
      <c r="B42" s="3" t="inlineStr">
        <is>
          <t>22-06-2026</t>
        </is>
      </c>
      <c r="C42" s="3" t="inlineStr">
        <is>
          <t>Gloria</t>
        </is>
      </c>
      <c r="D42" s="3" t="inlineStr">
        <is>
          <t>177160</t>
        </is>
      </c>
      <c r="E42" s="4" t="inlineStr">
        <is>
          <t>RS Mondial SEL</t>
        </is>
      </c>
      <c r="F42" s="4" t="inlineStr">
        <is>
          <t>Ecuador</t>
        </is>
      </c>
      <c r="G42" s="4" t="inlineStr">
        <is>
          <t>COLOR Blanco · ALTURA 60 cm · BOTÓN MINIMO 6 cm</t>
        </is>
      </c>
      <c r="H42" s="3" t="inlineStr"/>
      <c r="I42" s="3" t="n">
        <v>25</v>
      </c>
      <c r="J42" s="3" t="inlineStr">
        <is>
          <t>25 шт.</t>
        </is>
      </c>
      <c r="K42" s="4">
        <f>IMAGE("https://cdn.verdnatura.es/image/catalog/1600x900/177160")</f>
        <v/>
      </c>
      <c r="L42" s="5" t="n"/>
      <c r="M42" s="6" t="n"/>
      <c r="N42" s="7" t="n"/>
      <c r="O42" s="8" t="n">
        <v>0.7</v>
      </c>
      <c r="P42" s="8" t="n">
        <v>17.5</v>
      </c>
    </row>
    <row r="43" ht="26" customHeight="1">
      <c r="A43" s="2" t="inlineStr">
        <is>
          <t>📦  Накладная #13002623  ·  22-06-2026  ·  Gloria  ·  1 позиций  ·  bultos: 1</t>
        </is>
      </c>
    </row>
    <row r="44" ht="110" customHeight="1">
      <c r="A44" s="3" t="inlineStr">
        <is>
          <t>13002623</t>
        </is>
      </c>
      <c r="B44" s="3" t="inlineStr">
        <is>
          <t>22-06-2026</t>
        </is>
      </c>
      <c r="C44" s="3" t="inlineStr">
        <is>
          <t>Gloria</t>
        </is>
      </c>
      <c r="D44" s="3" t="inlineStr">
        <is>
          <t>198353</t>
        </is>
      </c>
      <c r="E44" s="4" t="inlineStr">
        <is>
          <t>Calas Mix (In Malmo) Cerámica</t>
        </is>
      </c>
      <c r="F44" s="4" t="inlineStr">
        <is>
          <t>Dynaplant</t>
        </is>
      </c>
      <c r="G44" s="4" t="inlineStr">
        <is>
          <t>COLOR Mixto · ALTURA 40 cm · MACETA 14</t>
        </is>
      </c>
      <c r="H44" s="3" t="inlineStr"/>
      <c r="I44" s="3" t="n">
        <v>6</v>
      </c>
      <c r="J44" s="3" t="inlineStr">
        <is>
          <t>6 шт.</t>
        </is>
      </c>
      <c r="K44" s="4">
        <f>IMAGE("https://cdn.verdnatura.es/image/catalog/1600x900/198353")</f>
        <v/>
      </c>
      <c r="L44" s="5" t="n"/>
      <c r="M44" s="6" t="n"/>
      <c r="N44" s="7" t="n"/>
      <c r="O44" s="8" t="n">
        <v>6.49</v>
      </c>
      <c r="P44" s="8" t="n">
        <v>38.94</v>
      </c>
    </row>
    <row r="45" ht="26" customHeight="1">
      <c r="A45" s="2" t="inlineStr">
        <is>
          <t>📦  Накладная #13001272  ·  26-06-2026  ·  Gloria  ·  1 позиций  ·  bultos: 0</t>
        </is>
      </c>
    </row>
    <row r="46" ht="110" customHeight="1">
      <c r="A46" s="3" t="inlineStr">
        <is>
          <t>13001272</t>
        </is>
      </c>
      <c r="B46" s="3" t="inlineStr">
        <is>
          <t>26-06-2026</t>
        </is>
      </c>
      <c r="C46" s="3" t="inlineStr">
        <is>
          <t>Gloria</t>
        </is>
      </c>
      <c r="D46" s="3" t="inlineStr">
        <is>
          <t>201289</t>
        </is>
      </c>
      <c r="E46" s="4" t="inlineStr">
        <is>
          <t>Hypoestes Ph Mix</t>
        </is>
      </c>
      <c r="F46" s="4" t="inlineStr">
        <is>
          <t>Bloomworks</t>
        </is>
      </c>
      <c r="G46" s="4" t="inlineStr">
        <is>
          <t>COLOR Mixto · ALTURA 12 cm · MACETA 7</t>
        </is>
      </c>
      <c r="H46" s="3" t="inlineStr"/>
      <c r="I46" s="3" t="n">
        <v>16</v>
      </c>
      <c r="J46" s="3" t="inlineStr">
        <is>
          <t>16 шт.</t>
        </is>
      </c>
      <c r="K46" s="4">
        <f>IMAGE("https://cdn.verdnatura.es/image/catalog/1600x900/201289")</f>
        <v/>
      </c>
      <c r="L46" s="5" t="n"/>
      <c r="M46" s="6" t="n"/>
      <c r="N46" s="7" t="n"/>
      <c r="O46" s="8" t="n">
        <v>0.73</v>
      </c>
      <c r="P46" s="8" t="n">
        <v>11.68</v>
      </c>
    </row>
  </sheetData>
  <mergeCells count="5">
    <mergeCell ref="A45:P45"/>
    <mergeCell ref="A31:P31"/>
    <mergeCell ref="A4:P4"/>
    <mergeCell ref="A43:P43"/>
    <mergeCell ref="A2:P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2026-06-25T11:36:08Z</dcterms:created>
  <dcterms:modified xmlns:dcterms="http://purl.org/dc/terms/" xmlns:xsi="http://www.w3.org/2001/XMLSchema-instance" xsi:type="dcterms:W3CDTF">2026-06-25T11:36:08Z</dcterms:modified>
</cp:coreProperties>
</file>