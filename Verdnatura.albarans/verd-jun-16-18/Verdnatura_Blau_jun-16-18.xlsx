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#12965082  ·  15-06-2026  ·  Blau  ·  35 позиций  ·  bultos: 4</t>
        </is>
      </c>
    </row>
    <row r="3" ht="110" customHeight="1">
      <c r="A3" s="3" t="inlineStr">
        <is>
          <t>12965082</t>
        </is>
      </c>
      <c r="B3" s="3" t="inlineStr">
        <is>
          <t>15-06-2026</t>
        </is>
      </c>
      <c r="C3" s="3" t="inlineStr">
        <is>
          <t>Blau</t>
        </is>
      </c>
      <c r="D3" s="3" t="inlineStr">
        <is>
          <t>175204</t>
        </is>
      </c>
      <c r="E3" s="4" t="inlineStr">
        <is>
          <t>Arborea Green (sin fruto) 400</t>
        </is>
      </c>
      <c r="F3" s="4" t="inlineStr"/>
      <c r="G3" s="4" t="inlineStr">
        <is>
          <t>COLOR Verde · ALTURA 55 cm</t>
        </is>
      </c>
      <c r="H3" s="3" t="inlineStr">
        <is>
          <t>Paquete</t>
        </is>
      </c>
      <c r="I3" s="3" t="n">
        <v>3</v>
      </c>
      <c r="J3" s="3" t="inlineStr">
        <is>
          <t>3 пачек</t>
        </is>
      </c>
      <c r="K3" s="4">
        <f>IMAGE("https://cdn.verdnatura.es/image/catalog/1600x900/175204")</f>
        <v/>
      </c>
      <c r="L3" s="5" t="n"/>
      <c r="M3" s="6" t="n"/>
      <c r="N3" s="7" t="n"/>
      <c r="O3" s="8" t="n">
        <v>2.8</v>
      </c>
      <c r="P3" s="8" t="n">
        <v>8.4</v>
      </c>
    </row>
    <row r="4" ht="110" customHeight="1">
      <c r="A4" s="3" t="inlineStr">
        <is>
          <t>12965082</t>
        </is>
      </c>
      <c r="B4" s="3" t="inlineStr">
        <is>
          <t>15-06-2026</t>
        </is>
      </c>
      <c r="C4" s="3" t="inlineStr">
        <is>
          <t>Blau</t>
        </is>
      </c>
      <c r="D4" s="3" t="inlineStr">
        <is>
          <t>203810</t>
        </is>
      </c>
      <c r="E4" s="4" t="inlineStr">
        <is>
          <t>Campanula Evergreen Blue</t>
        </is>
      </c>
      <c r="F4" s="4" t="inlineStr"/>
      <c r="G4" s="4" t="inlineStr">
        <is>
          <t>COLOR Azul/Verde · ALTURA 60 cm</t>
        </is>
      </c>
      <c r="H4" s="3" t="inlineStr"/>
      <c r="I4" s="3" t="n">
        <v>20</v>
      </c>
      <c r="J4" s="3" t="inlineStr">
        <is>
          <t>20 шт.</t>
        </is>
      </c>
      <c r="K4" s="4">
        <f>IMAGE("https://cdn.verdnatura.es/image/catalog/1600x900/203810")</f>
        <v/>
      </c>
      <c r="L4" s="5" t="n"/>
      <c r="M4" s="6" t="n"/>
      <c r="N4" s="7" t="n"/>
      <c r="O4" s="8" t="n">
        <v>1.02</v>
      </c>
      <c r="P4" s="8" t="n">
        <v>20.4</v>
      </c>
    </row>
    <row r="5" ht="110" customHeight="1">
      <c r="A5" s="3" t="inlineStr">
        <is>
          <t>12965082</t>
        </is>
      </c>
      <c r="B5" s="3" t="inlineStr">
        <is>
          <t>15-06-2026</t>
        </is>
      </c>
      <c r="C5" s="3" t="inlineStr">
        <is>
          <t>Blau</t>
        </is>
      </c>
      <c r="D5" s="3" t="inlineStr">
        <is>
          <t>167634</t>
        </is>
      </c>
      <c r="E5" s="4" t="inlineStr">
        <is>
          <t>Campanula Pearl Pink</t>
        </is>
      </c>
      <c r="F5" s="4" t="inlineStr"/>
      <c r="G5" s="4" t="inlineStr">
        <is>
          <t>COLOR Rosa · ALTURA 60 cm</t>
        </is>
      </c>
      <c r="H5" s="3" t="inlineStr"/>
      <c r="I5" s="3" t="n">
        <v>20</v>
      </c>
      <c r="J5" s="3" t="inlineStr">
        <is>
          <t>20 шт.</t>
        </is>
      </c>
      <c r="K5" s="4">
        <f>IMAGE("https://cdn.verdnatura.es/image/catalog/1600x900/167634")</f>
        <v/>
      </c>
      <c r="L5" s="5" t="n"/>
      <c r="M5" s="6" t="n"/>
      <c r="N5" s="7" t="n"/>
      <c r="O5" s="8" t="n">
        <v>0.72</v>
      </c>
      <c r="P5" s="8" t="n">
        <v>14.4</v>
      </c>
    </row>
    <row r="6" ht="110" customHeight="1">
      <c r="A6" s="3" t="inlineStr">
        <is>
          <t>12965082</t>
        </is>
      </c>
      <c r="B6" s="3" t="inlineStr">
        <is>
          <t>15-06-2026</t>
        </is>
      </c>
      <c r="C6" s="3" t="inlineStr">
        <is>
          <t>Blau</t>
        </is>
      </c>
      <c r="D6" s="3" t="inlineStr">
        <is>
          <t>198749</t>
        </is>
      </c>
      <c r="E6" s="4" t="inlineStr">
        <is>
          <t>CR Altaj Galaxy</t>
        </is>
      </c>
      <c r="F6" s="4" t="inlineStr">
        <is>
          <t>Zentoo</t>
        </is>
      </c>
      <c r="G6" s="4" t="inlineStr">
        <is>
          <t>COLOR Purpura/Rosa · ALTURA 70 cm · PESO/TALLO 105 gr</t>
        </is>
      </c>
      <c r="H6" s="3" t="inlineStr"/>
      <c r="I6" s="3" t="n">
        <v>30</v>
      </c>
      <c r="J6" s="3" t="inlineStr">
        <is>
          <t>30 шт.</t>
        </is>
      </c>
      <c r="K6" s="4">
        <f>IMAGE("https://cdn.verdnatura.es/image/catalog/1600x900/198749")</f>
        <v/>
      </c>
      <c r="L6" s="5" t="n"/>
      <c r="M6" s="6" t="n"/>
      <c r="N6" s="7" t="n"/>
      <c r="O6" s="8" t="n">
        <v>0.88</v>
      </c>
      <c r="P6" s="8" t="n">
        <v>26.4</v>
      </c>
    </row>
    <row r="7" ht="110" customHeight="1">
      <c r="A7" s="3" t="inlineStr">
        <is>
          <t>12965082</t>
        </is>
      </c>
      <c r="B7" s="3" t="inlineStr">
        <is>
          <t>15-06-2026</t>
        </is>
      </c>
      <c r="C7" s="3" t="inlineStr">
        <is>
          <t>Blau</t>
        </is>
      </c>
      <c r="D7" s="3" t="inlineStr">
        <is>
          <t>204436</t>
        </is>
      </c>
      <c r="E7" s="4" t="inlineStr">
        <is>
          <t>CR Altaj Red</t>
        </is>
      </c>
      <c r="F7" s="4" t="inlineStr">
        <is>
          <t>Zentoo</t>
        </is>
      </c>
      <c r="G7" s="4" t="inlineStr">
        <is>
          <t>COLOR Rojo · ALTURA 70 cm · PESO/TALLO 60 gr</t>
        </is>
      </c>
      <c r="H7" s="3" t="inlineStr"/>
      <c r="I7" s="3" t="n">
        <v>20</v>
      </c>
      <c r="J7" s="3" t="inlineStr">
        <is>
          <t>20 шт.</t>
        </is>
      </c>
      <c r="K7" s="4">
        <f>IMAGE("https://cdn.verdnatura.es/image/catalog/1600x900/204436")</f>
        <v/>
      </c>
      <c r="L7" s="5" t="n"/>
      <c r="M7" s="6" t="n"/>
      <c r="N7" s="7" t="n"/>
      <c r="O7" s="8" t="n">
        <v>0.87</v>
      </c>
      <c r="P7" s="8" t="n">
        <v>17.4</v>
      </c>
    </row>
    <row r="8" ht="110" customHeight="1">
      <c r="A8" s="3" t="inlineStr">
        <is>
          <t>12965082</t>
        </is>
      </c>
      <c r="B8" s="3" t="inlineStr">
        <is>
          <t>15-06-2026</t>
        </is>
      </c>
      <c r="C8" s="3" t="inlineStr">
        <is>
          <t>Blau</t>
        </is>
      </c>
      <c r="D8" s="3" t="inlineStr">
        <is>
          <t>198746</t>
        </is>
      </c>
      <c r="E8" s="4" t="inlineStr">
        <is>
          <t>CR Altaj Soft Pink</t>
        </is>
      </c>
      <c r="F8" s="4" t="inlineStr">
        <is>
          <t>Zentoo</t>
        </is>
      </c>
      <c r="G8" s="4" t="inlineStr">
        <is>
          <t>COLOR Rosa Claro · ALTURA 70 cm</t>
        </is>
      </c>
      <c r="H8" s="3" t="inlineStr"/>
      <c r="I8" s="3" t="n">
        <v>20</v>
      </c>
      <c r="J8" s="3" t="inlineStr">
        <is>
          <t>20 шт.</t>
        </is>
      </c>
      <c r="K8" s="4">
        <f>IMAGE("https://cdn.verdnatura.es/image/catalog/1600x900/198746")</f>
        <v/>
      </c>
      <c r="L8" s="5" t="n"/>
      <c r="M8" s="6" t="n"/>
      <c r="N8" s="7" t="n"/>
      <c r="O8" s="8" t="n">
        <v>0.88</v>
      </c>
      <c r="P8" s="8" t="n">
        <v>17.6</v>
      </c>
    </row>
    <row r="9" ht="110" customHeight="1">
      <c r="A9" s="3" t="inlineStr">
        <is>
          <t>12965082</t>
        </is>
      </c>
      <c r="B9" s="3" t="inlineStr">
        <is>
          <t>15-06-2026</t>
        </is>
      </c>
      <c r="C9" s="3" t="inlineStr">
        <is>
          <t>Blau</t>
        </is>
      </c>
      <c r="D9" s="3" t="inlineStr">
        <is>
          <t>205798</t>
        </is>
      </c>
      <c r="E9" s="4" t="inlineStr">
        <is>
          <t>CR Pastela Pink</t>
        </is>
      </c>
      <c r="F9" s="4" t="inlineStr">
        <is>
          <t>Van Helvoort Company</t>
        </is>
      </c>
      <c r="G9" s="4" t="inlineStr">
        <is>
          <t>COLOR Rosa Claro · ALTURA 70 cm · PESO/PAQUETE 80 gr</t>
        </is>
      </c>
      <c r="H9" s="3" t="inlineStr"/>
      <c r="I9" s="3" t="n">
        <v>20</v>
      </c>
      <c r="J9" s="3" t="inlineStr">
        <is>
          <t>20 шт.</t>
        </is>
      </c>
      <c r="K9" s="4">
        <f>IMAGE("https://cdn.verdnatura.es/image/catalog/1600x900/205798")</f>
        <v/>
      </c>
      <c r="L9" s="5" t="n"/>
      <c r="M9" s="6" t="n"/>
      <c r="N9" s="7" t="n"/>
      <c r="O9" s="8" t="n">
        <v>0.63</v>
      </c>
      <c r="P9" s="8" t="n">
        <v>12.6</v>
      </c>
    </row>
    <row r="10" ht="110" customHeight="1">
      <c r="A10" s="3" t="inlineStr">
        <is>
          <t>12965082</t>
        </is>
      </c>
      <c r="B10" s="3" t="inlineStr">
        <is>
          <t>15-06-2026</t>
        </is>
      </c>
      <c r="C10" s="3" t="inlineStr">
        <is>
          <t>Blau</t>
        </is>
      </c>
      <c r="D10" s="3" t="inlineStr">
        <is>
          <t>114770</t>
        </is>
      </c>
      <c r="E10" s="4" t="inlineStr">
        <is>
          <t>EUC Cinerea 300 gr</t>
        </is>
      </c>
      <c r="F10" s="4" t="inlineStr"/>
      <c r="G10" s="4" t="inlineStr">
        <is>
          <t>COLOR Lividum · ALTURA 70 cm</t>
        </is>
      </c>
      <c r="H10" s="3" t="inlineStr">
        <is>
          <t>Paquete</t>
        </is>
      </c>
      <c r="I10" s="3" t="n">
        <v>10</v>
      </c>
      <c r="J10" s="3" t="inlineStr">
        <is>
          <t>10 пачек</t>
        </is>
      </c>
      <c r="K10" s="4">
        <f>IMAGE("https://cdn.verdnatura.es/image/catalog/1600x900/114770")</f>
        <v/>
      </c>
      <c r="L10" s="5" t="n"/>
      <c r="M10" s="6" t="n"/>
      <c r="N10" s="7" t="n"/>
      <c r="O10" s="8" t="n">
        <v>3.48</v>
      </c>
      <c r="P10" s="8" t="n">
        <v>34.8</v>
      </c>
    </row>
    <row r="11" ht="110" customHeight="1">
      <c r="A11" s="3" t="inlineStr">
        <is>
          <t>12965082</t>
        </is>
      </c>
      <c r="B11" s="3" t="inlineStr">
        <is>
          <t>15-06-2026</t>
        </is>
      </c>
      <c r="C11" s="3" t="inlineStr">
        <is>
          <t>Blau</t>
        </is>
      </c>
      <c r="D11" s="3" t="inlineStr">
        <is>
          <t>187293</t>
        </is>
      </c>
      <c r="E11" s="4" t="inlineStr">
        <is>
          <t>Girasol Marley</t>
        </is>
      </c>
      <c r="F11" s="4" t="inlineStr"/>
      <c r="G11" s="4" t="inlineStr">
        <is>
          <t>COLOR Amarillo/Naranja · ALTURA 90 cm</t>
        </is>
      </c>
      <c r="H11" s="3" t="inlineStr"/>
      <c r="I11" s="3" t="n">
        <v>10</v>
      </c>
      <c r="J11" s="3" t="inlineStr">
        <is>
          <t>10 шт.</t>
        </is>
      </c>
      <c r="K11" s="4">
        <f>IMAGE("https://cdn.verdnatura.es/image/catalog/1600x900/187293")</f>
        <v/>
      </c>
      <c r="L11" s="5" t="n"/>
      <c r="M11" s="6" t="n"/>
      <c r="N11" s="7" t="n"/>
      <c r="O11" s="8" t="n">
        <v>0.72</v>
      </c>
      <c r="P11" s="8" t="n">
        <v>7.2</v>
      </c>
    </row>
    <row r="12" ht="110" customHeight="1">
      <c r="A12" s="3" t="inlineStr">
        <is>
          <t>12965082</t>
        </is>
      </c>
      <c r="B12" s="3" t="inlineStr">
        <is>
          <t>15-06-2026</t>
        </is>
      </c>
      <c r="C12" s="3" t="inlineStr">
        <is>
          <t>Blau</t>
        </is>
      </c>
      <c r="D12" s="3" t="inlineStr">
        <is>
          <t>188340</t>
        </is>
      </c>
      <c r="E12" s="4" t="inlineStr">
        <is>
          <t>Girasol Otoñal</t>
        </is>
      </c>
      <c r="F12" s="4" t="inlineStr"/>
      <c r="G12" s="4" t="inlineStr">
        <is>
          <t>COLOR Naranja/Marron · ALTURA 80 cm</t>
        </is>
      </c>
      <c r="H12" s="3" t="inlineStr"/>
      <c r="I12" s="3" t="n">
        <v>10</v>
      </c>
      <c r="J12" s="3" t="inlineStr">
        <is>
          <t>10 шт.</t>
        </is>
      </c>
      <c r="K12" s="4">
        <f>IMAGE("https://cdn.verdnatura.es/image/catalog/1600x900/188340")</f>
        <v/>
      </c>
      <c r="L12" s="5" t="n"/>
      <c r="M12" s="6" t="n"/>
      <c r="N12" s="7" t="n"/>
      <c r="O12" s="8" t="n">
        <v>0.64</v>
      </c>
      <c r="P12" s="8" t="n">
        <v>6.4</v>
      </c>
    </row>
    <row r="13" ht="110" customHeight="1">
      <c r="A13" s="3" t="inlineStr">
        <is>
          <t>12965082</t>
        </is>
      </c>
      <c r="B13" s="3" t="inlineStr">
        <is>
          <t>15-06-2026</t>
        </is>
      </c>
      <c r="C13" s="3" t="inlineStr">
        <is>
          <t>Blau</t>
        </is>
      </c>
      <c r="D13" s="3" t="inlineStr">
        <is>
          <t>98141</t>
        </is>
      </c>
      <c r="E13" s="4" t="inlineStr">
        <is>
          <t>Girasol Vicent s Choice</t>
        </is>
      </c>
      <c r="F13" s="4" t="inlineStr">
        <is>
          <t>Flomar</t>
        </is>
      </c>
      <c r="G13" s="4" t="inlineStr">
        <is>
          <t>COLOR Naranja claro · ALTURA 80 cm · DIAMETRO 10-12 cm</t>
        </is>
      </c>
      <c r="H13" s="3" t="inlineStr"/>
      <c r="I13" s="3" t="n">
        <v>10</v>
      </c>
      <c r="J13" s="3" t="inlineStr">
        <is>
          <t>10 шт.</t>
        </is>
      </c>
      <c r="K13" s="4">
        <f>IMAGE("https://cdn.verdnatura.es/image/catalog/1600x900/98141")</f>
        <v/>
      </c>
      <c r="L13" s="5" t="n"/>
      <c r="M13" s="6" t="n"/>
      <c r="N13" s="7" t="n"/>
      <c r="O13" s="8" t="n">
        <v>0.52</v>
      </c>
      <c r="P13" s="8" t="n">
        <v>5.2</v>
      </c>
    </row>
    <row r="14" ht="110" customHeight="1">
      <c r="A14" s="3" t="inlineStr">
        <is>
          <t>12965082</t>
        </is>
      </c>
      <c r="B14" s="3" t="inlineStr">
        <is>
          <t>15-06-2026</t>
        </is>
      </c>
      <c r="C14" s="3" t="inlineStr">
        <is>
          <t>Blau</t>
        </is>
      </c>
      <c r="D14" s="3" t="inlineStr">
        <is>
          <t>173971</t>
        </is>
      </c>
      <c r="E14" s="4" t="inlineStr">
        <is>
          <t>GRS Pink Ohara</t>
        </is>
      </c>
      <c r="F14" s="4" t="inlineStr">
        <is>
          <t>Bahati Premium Roses</t>
        </is>
      </c>
      <c r="G14" s="4" t="inlineStr">
        <is>
          <t>COLOR Rosa · ALTURA 60 cm · BOTÓN MINIMO 4.5 cm</t>
        </is>
      </c>
      <c r="H14" s="3" t="inlineStr"/>
      <c r="I14" s="3" t="n">
        <v>30</v>
      </c>
      <c r="J14" s="3" t="inlineStr">
        <is>
          <t>30 шт.</t>
        </is>
      </c>
      <c r="K14" s="4">
        <f>IMAGE("https://cdn.verdnatura.es/image/catalog/1600x900/173971")</f>
        <v/>
      </c>
      <c r="L14" s="5" t="n"/>
      <c r="M14" s="6" t="n"/>
      <c r="N14" s="7" t="n"/>
      <c r="O14" s="8" t="n">
        <v>0.9</v>
      </c>
      <c r="P14" s="8" t="n">
        <v>27</v>
      </c>
    </row>
    <row r="15" ht="110" customHeight="1">
      <c r="A15" s="3" t="inlineStr">
        <is>
          <t>12965082</t>
        </is>
      </c>
      <c r="B15" s="3" t="inlineStr">
        <is>
          <t>15-06-2026</t>
        </is>
      </c>
      <c r="C15" s="3" t="inlineStr">
        <is>
          <t>Blau</t>
        </is>
      </c>
      <c r="D15" s="3" t="inlineStr">
        <is>
          <t>205789</t>
        </is>
      </c>
      <c r="E15" s="4" t="inlineStr">
        <is>
          <t>Helleborus Magnificent Bells</t>
        </is>
      </c>
      <c r="F15" s="4" t="inlineStr">
        <is>
          <t>Promoflor</t>
        </is>
      </c>
      <c r="G15" s="4" t="inlineStr">
        <is>
          <t>COLOR Blanco/Verde · ALTURA 30-35 cm</t>
        </is>
      </c>
      <c r="H15" s="3" t="inlineStr"/>
      <c r="I15" s="3" t="n">
        <v>20</v>
      </c>
      <c r="J15" s="3" t="inlineStr">
        <is>
          <t>20 шт.</t>
        </is>
      </c>
      <c r="K15" s="4">
        <f>IMAGE("https://cdn.verdnatura.es/image/catalog/1600x900/205789")</f>
        <v/>
      </c>
      <c r="L15" s="5" t="n"/>
      <c r="M15" s="6" t="n"/>
      <c r="N15" s="7" t="n"/>
      <c r="O15" s="8" t="n">
        <v>0.57</v>
      </c>
      <c r="P15" s="8" t="n">
        <v>11.4</v>
      </c>
    </row>
    <row r="16" ht="110" customHeight="1">
      <c r="A16" s="3" t="inlineStr">
        <is>
          <t>12965082</t>
        </is>
      </c>
      <c r="B16" s="3" t="inlineStr">
        <is>
          <t>15-06-2026</t>
        </is>
      </c>
      <c r="C16" s="3" t="inlineStr">
        <is>
          <t>Blau</t>
        </is>
      </c>
      <c r="D16" s="3" t="inlineStr">
        <is>
          <t>205316</t>
        </is>
      </c>
      <c r="E16" s="4" t="inlineStr">
        <is>
          <t>HYD Morada</t>
        </is>
      </c>
      <c r="F16" s="4" t="inlineStr"/>
      <c r="G16" s="4" t="inlineStr">
        <is>
          <t>COLOR Morado · ALTURA 30 cm · DIAMETRO 18cm</t>
        </is>
      </c>
      <c r="H16" s="3" t="inlineStr"/>
      <c r="I16" s="3" t="n">
        <v>15</v>
      </c>
      <c r="J16" s="3" t="inlineStr">
        <is>
          <t>15 шт.</t>
        </is>
      </c>
      <c r="K16" s="4">
        <f>IMAGE("https://cdn.verdnatura.es/image/catalog/1600x900/205316")</f>
        <v/>
      </c>
      <c r="L16" s="5" t="n"/>
      <c r="M16" s="6" t="n"/>
      <c r="N16" s="7" t="n"/>
      <c r="O16" s="8" t="n">
        <v>1.32</v>
      </c>
      <c r="P16" s="8" t="n">
        <v>19.8</v>
      </c>
    </row>
    <row r="17" ht="110" customHeight="1">
      <c r="A17" s="3" t="inlineStr">
        <is>
          <t>12965082</t>
        </is>
      </c>
      <c r="B17" s="3" t="inlineStr">
        <is>
          <t>15-06-2026</t>
        </is>
      </c>
      <c r="C17" s="3" t="inlineStr">
        <is>
          <t>Blau</t>
        </is>
      </c>
      <c r="D17" s="3" t="inlineStr">
        <is>
          <t>205982</t>
        </is>
      </c>
      <c r="E17" s="4" t="inlineStr">
        <is>
          <t>HYD Royal Amigo</t>
        </is>
      </c>
      <c r="F17" s="4" t="inlineStr"/>
      <c r="G17" s="4" t="inlineStr">
        <is>
          <t>COLOR Rosa/Verde · ALTURA 40 cm · DIAMETRO 12 cm</t>
        </is>
      </c>
      <c r="H17" s="3" t="inlineStr"/>
      <c r="I17" s="3" t="n">
        <v>20</v>
      </c>
      <c r="J17" s="3" t="inlineStr">
        <is>
          <t>20 шт.</t>
        </is>
      </c>
      <c r="K17" s="4">
        <f>IMAGE("https://cdn.verdnatura.es/image/catalog/1600x900/205982")</f>
        <v/>
      </c>
      <c r="L17" s="5" t="n"/>
      <c r="M17" s="6" t="n"/>
      <c r="N17" s="7" t="n"/>
      <c r="O17" s="8" t="n">
        <v>1.45</v>
      </c>
      <c r="P17" s="8" t="n">
        <v>29</v>
      </c>
    </row>
    <row r="18" ht="110" customHeight="1">
      <c r="A18" s="3" t="inlineStr">
        <is>
          <t>12965082</t>
        </is>
      </c>
      <c r="B18" s="3" t="inlineStr">
        <is>
          <t>15-06-2026</t>
        </is>
      </c>
      <c r="C18" s="3" t="inlineStr">
        <is>
          <t>Blau</t>
        </is>
      </c>
      <c r="D18" s="3" t="inlineStr">
        <is>
          <t>160638</t>
        </is>
      </c>
      <c r="E18" s="4" t="inlineStr">
        <is>
          <t>Lathyrus Winter Sunshine Pink</t>
        </is>
      </c>
      <c r="F18" s="4" t="inlineStr"/>
      <c r="G18" s="4" t="inlineStr">
        <is>
          <t>COLOR Rosa · ALTURA 40 cm</t>
        </is>
      </c>
      <c r="H18" s="3" t="inlineStr"/>
      <c r="I18" s="3" t="n">
        <v>50</v>
      </c>
      <c r="J18" s="3" t="inlineStr">
        <is>
          <t>50 шт.</t>
        </is>
      </c>
      <c r="K18" s="4">
        <f>IMAGE("https://cdn.verdnatura.es/image/catalog/1600x900/160638")</f>
        <v/>
      </c>
      <c r="L18" s="5" t="n"/>
      <c r="M18" s="6" t="n"/>
      <c r="N18" s="7" t="n"/>
      <c r="O18" s="8" t="n">
        <v>0.42</v>
      </c>
      <c r="P18" s="8" t="n">
        <v>21</v>
      </c>
    </row>
    <row r="19" ht="110" customHeight="1">
      <c r="A19" s="3" t="inlineStr">
        <is>
          <t>12965082</t>
        </is>
      </c>
      <c r="B19" s="3" t="inlineStr">
        <is>
          <t>15-06-2026</t>
        </is>
      </c>
      <c r="C19" s="3" t="inlineStr">
        <is>
          <t>Blau</t>
        </is>
      </c>
      <c r="D19" s="3" t="inlineStr">
        <is>
          <t>203467</t>
        </is>
      </c>
      <c r="E19" s="4" t="inlineStr">
        <is>
          <t>LIM N SIN China Passion</t>
        </is>
      </c>
      <c r="F19" s="4" t="inlineStr">
        <is>
          <t>Group Leader</t>
        </is>
      </c>
      <c r="G19" s="4" t="inlineStr">
        <is>
          <t>COLOR Fucsia · ALTURA 80 cm · PESO/TALLO 40 gr</t>
        </is>
      </c>
      <c r="H19" s="3" t="inlineStr"/>
      <c r="I19" s="3" t="n">
        <v>25</v>
      </c>
      <c r="J19" s="3" t="inlineStr">
        <is>
          <t>25 шт.</t>
        </is>
      </c>
      <c r="K19" s="4">
        <f>IMAGE("https://cdn.verdnatura.es/image/catalog/1600x900/203467")</f>
        <v/>
      </c>
      <c r="L19" s="5" t="n"/>
      <c r="M19" s="6" t="n"/>
      <c r="N19" s="7" t="n"/>
      <c r="O19" s="8" t="n">
        <v>0.49</v>
      </c>
      <c r="P19" s="8" t="n">
        <v>12.25</v>
      </c>
    </row>
    <row r="20" ht="110" customHeight="1">
      <c r="A20" s="3" t="inlineStr">
        <is>
          <t>12965082</t>
        </is>
      </c>
      <c r="B20" s="3" t="inlineStr">
        <is>
          <t>15-06-2026</t>
        </is>
      </c>
      <c r="C20" s="3" t="inlineStr">
        <is>
          <t>Blau</t>
        </is>
      </c>
      <c r="D20" s="3" t="inlineStr">
        <is>
          <t>82171</t>
        </is>
      </c>
      <c r="E20" s="4" t="inlineStr">
        <is>
          <t>LIM N SIN Kansas Blue</t>
        </is>
      </c>
      <c r="F20" s="4" t="inlineStr">
        <is>
          <t>Hnos Niño</t>
        </is>
      </c>
      <c r="G20" s="4" t="inlineStr">
        <is>
          <t>COLOR Azul · ALTURA 70 cm · PESO/TALLO 30 gr</t>
        </is>
      </c>
      <c r="H20" s="3" t="inlineStr"/>
      <c r="I20" s="3" t="n">
        <v>25</v>
      </c>
      <c r="J20" s="3" t="inlineStr">
        <is>
          <t>25 шт.</t>
        </is>
      </c>
      <c r="K20" s="4">
        <f>IMAGE("https://cdn.verdnatura.es/image/catalog/1600x900/82171")</f>
        <v/>
      </c>
      <c r="L20" s="5" t="n"/>
      <c r="M20" s="6" t="n"/>
      <c r="N20" s="7" t="n"/>
      <c r="O20" s="8" t="n">
        <v>0.35</v>
      </c>
      <c r="P20" s="8" t="n">
        <v>8.75</v>
      </c>
    </row>
    <row r="21" ht="110" customHeight="1">
      <c r="A21" s="3" t="inlineStr">
        <is>
          <t>12965082</t>
        </is>
      </c>
      <c r="B21" s="3" t="inlineStr">
        <is>
          <t>15-06-2026</t>
        </is>
      </c>
      <c r="C21" s="3" t="inlineStr">
        <is>
          <t>Blau</t>
        </is>
      </c>
      <c r="D21" s="3" t="inlineStr">
        <is>
          <t>202980</t>
        </is>
      </c>
      <c r="E21" s="4" t="inlineStr">
        <is>
          <t>LIM N SIN Regina Diamond</t>
        </is>
      </c>
      <c r="F21" s="4" t="inlineStr">
        <is>
          <t>Group Leader</t>
        </is>
      </c>
      <c r="G21" s="4" t="inlineStr">
        <is>
          <t>COLOR Rosa Claro · ALTURA 80 cm · PESO/TALLO 40 gr</t>
        </is>
      </c>
      <c r="H21" s="3" t="inlineStr"/>
      <c r="I21" s="3" t="n">
        <v>50</v>
      </c>
      <c r="J21" s="3" t="inlineStr">
        <is>
          <t>50 шт.</t>
        </is>
      </c>
      <c r="K21" s="4">
        <f>IMAGE("https://cdn.verdnatura.es/image/catalog/1600x900/202980")</f>
        <v/>
      </c>
      <c r="L21" s="5" t="n"/>
      <c r="M21" s="6" t="n"/>
      <c r="N21" s="7" t="n"/>
      <c r="O21" s="8" t="n">
        <v>0.58</v>
      </c>
      <c r="P21" s="8" t="n">
        <v>29</v>
      </c>
    </row>
    <row r="22" ht="110" customHeight="1">
      <c r="A22" s="3" t="inlineStr">
        <is>
          <t>12965082</t>
        </is>
      </c>
      <c r="B22" s="3" t="inlineStr">
        <is>
          <t>15-06-2026</t>
        </is>
      </c>
      <c r="C22" s="3" t="inlineStr">
        <is>
          <t>Blau</t>
        </is>
      </c>
      <c r="D22" s="3" t="inlineStr">
        <is>
          <t>145512</t>
        </is>
      </c>
      <c r="E22" s="4" t="inlineStr">
        <is>
          <t>Lisianthus Doble Lisanne Light</t>
        </is>
      </c>
      <c r="F22" s="4" t="inlineStr">
        <is>
          <t>Berglisianthus</t>
        </is>
      </c>
      <c r="G22" s="4" t="inlineStr">
        <is>
          <t>COLOR Rosa Claro · ALTURA 70 cm · Nº FLORES 5</t>
        </is>
      </c>
      <c r="H22" s="3" t="inlineStr"/>
      <c r="I22" s="3" t="n">
        <v>20</v>
      </c>
      <c r="J22" s="3" t="inlineStr">
        <is>
          <t>20 шт.</t>
        </is>
      </c>
      <c r="K22" s="4">
        <f>IMAGE("https://cdn.verdnatura.es/image/catalog/1600x900/145512")</f>
        <v/>
      </c>
      <c r="L22" s="5" t="n"/>
      <c r="M22" s="6" t="n"/>
      <c r="N22" s="7" t="n"/>
      <c r="O22" s="8" t="n">
        <v>0.87</v>
      </c>
      <c r="P22" s="8" t="n">
        <v>17.4</v>
      </c>
    </row>
    <row r="23" ht="110" customHeight="1">
      <c r="A23" s="3" t="inlineStr">
        <is>
          <t>12965082</t>
        </is>
      </c>
      <c r="B23" s="3" t="inlineStr">
        <is>
          <t>15-06-2026</t>
        </is>
      </c>
      <c r="C23" s="3" t="inlineStr">
        <is>
          <t>Blau</t>
        </is>
      </c>
      <c r="D23" s="3" t="inlineStr">
        <is>
          <t>140940</t>
        </is>
      </c>
      <c r="E23" s="4" t="inlineStr">
        <is>
          <t>Lisianthus Doble Sabrina Orang</t>
        </is>
      </c>
      <c r="F23" s="4" t="inlineStr">
        <is>
          <t>LIS</t>
        </is>
      </c>
      <c r="G23" s="4" t="inlineStr">
        <is>
          <t>COLOR Rosa/Naranja · ALTURA 70 cm · Nº FLORES 5</t>
        </is>
      </c>
      <c r="H23" s="3" t="inlineStr"/>
      <c r="I23" s="3" t="n">
        <v>10</v>
      </c>
      <c r="J23" s="3" t="inlineStr">
        <is>
          <t>10 шт.</t>
        </is>
      </c>
      <c r="K23" s="4">
        <f>IMAGE("https://cdn.verdnatura.es/image/catalog/1600x900/140940")</f>
        <v/>
      </c>
      <c r="L23" s="5" t="n"/>
      <c r="M23" s="6" t="n"/>
      <c r="N23" s="7" t="n"/>
      <c r="O23" s="8" t="n">
        <v>0.89</v>
      </c>
      <c r="P23" s="8" t="n">
        <v>8.9</v>
      </c>
    </row>
    <row r="24" ht="110" customHeight="1">
      <c r="A24" s="3" t="inlineStr">
        <is>
          <t>12965082</t>
        </is>
      </c>
      <c r="B24" s="3" t="inlineStr">
        <is>
          <t>15-06-2026</t>
        </is>
      </c>
      <c r="C24" s="3" t="inlineStr">
        <is>
          <t>Blau</t>
        </is>
      </c>
      <c r="D24" s="3" t="inlineStr">
        <is>
          <t>163652</t>
        </is>
      </c>
      <c r="E24" s="4" t="inlineStr">
        <is>
          <t>LO Roselily Anouska (Premium)</t>
        </is>
      </c>
      <c r="F24" s="4" t="inlineStr">
        <is>
          <t>Dutch Lily Masters</t>
        </is>
      </c>
      <c r="G24" s="4" t="inlineStr">
        <is>
          <t>COLOR Blanco/Rosa · ALTURA 85 cm</t>
        </is>
      </c>
      <c r="H24" s="3" t="inlineStr"/>
      <c r="I24" s="3" t="n">
        <v>10</v>
      </c>
      <c r="J24" s="3" t="inlineStr">
        <is>
          <t>10 шт.</t>
        </is>
      </c>
      <c r="K24" s="4">
        <f>IMAGE("https://cdn.verdnatura.es/image/catalog/1600x900/163652")</f>
        <v/>
      </c>
      <c r="L24" s="5" t="n"/>
      <c r="M24" s="6" t="n"/>
      <c r="N24" s="7" t="n"/>
      <c r="O24" s="8" t="n">
        <v>1.98</v>
      </c>
      <c r="P24" s="8" t="n">
        <v>19.8</v>
      </c>
    </row>
    <row r="25" ht="110" customHeight="1">
      <c r="A25" s="3" t="inlineStr">
        <is>
          <t>12965082</t>
        </is>
      </c>
      <c r="B25" s="3" t="inlineStr">
        <is>
          <t>15-06-2026</t>
        </is>
      </c>
      <c r="C25" s="3" t="inlineStr">
        <is>
          <t>Blau</t>
        </is>
      </c>
      <c r="D25" s="3" t="inlineStr">
        <is>
          <t>170544</t>
        </is>
      </c>
      <c r="E25" s="4" t="inlineStr">
        <is>
          <t>LO Roselily Olympia 3-4</t>
        </is>
      </c>
      <c r="F25" s="4" t="inlineStr">
        <is>
          <t>Moerman Lilium BV</t>
        </is>
      </c>
      <c r="G25" s="4" t="inlineStr">
        <is>
          <t>COLOR Fucsia · ALTURA 85 cm</t>
        </is>
      </c>
      <c r="H25" s="3" t="inlineStr"/>
      <c r="I25" s="3" t="n">
        <v>20</v>
      </c>
      <c r="J25" s="3" t="inlineStr">
        <is>
          <t>20 шт.</t>
        </is>
      </c>
      <c r="K25" s="4">
        <f>IMAGE("https://cdn.verdnatura.es/image/catalog/1600x900/170544")</f>
        <v/>
      </c>
      <c r="L25" s="5" t="n"/>
      <c r="M25" s="6" t="n"/>
      <c r="N25" s="7" t="n"/>
      <c r="O25" s="8" t="n">
        <v>1.85</v>
      </c>
      <c r="P25" s="8" t="n">
        <v>37</v>
      </c>
    </row>
    <row r="26" ht="110" customHeight="1">
      <c r="A26" s="3" t="inlineStr">
        <is>
          <t>12965082</t>
        </is>
      </c>
      <c r="B26" s="3" t="inlineStr">
        <is>
          <t>15-06-2026</t>
        </is>
      </c>
      <c r="C26" s="3" t="inlineStr">
        <is>
          <t>Blau</t>
        </is>
      </c>
      <c r="D26" s="3" t="inlineStr">
        <is>
          <t>199196</t>
        </is>
      </c>
      <c r="E26" s="4" t="inlineStr">
        <is>
          <t>LSP Pintado Green</t>
        </is>
      </c>
      <c r="F26" s="4" t="inlineStr"/>
      <c r="G26" s="4" t="inlineStr">
        <is>
          <t>COLOR Verde · ALTURA 40 cm</t>
        </is>
      </c>
      <c r="H26" s="3" t="inlineStr"/>
      <c r="I26" s="3" t="n">
        <v>10</v>
      </c>
      <c r="J26" s="3" t="inlineStr">
        <is>
          <t>10 шт.</t>
        </is>
      </c>
      <c r="K26" s="4">
        <f>IMAGE("https://cdn.verdnatura.es/image/catalog/1600x900/199196")</f>
        <v/>
      </c>
      <c r="L26" s="5" t="n"/>
      <c r="M26" s="6" t="n"/>
      <c r="N26" s="7" t="n"/>
      <c r="O26" s="8" t="n">
        <v>1.57</v>
      </c>
      <c r="P26" s="8" t="n">
        <v>15.7</v>
      </c>
    </row>
    <row r="27" ht="110" customHeight="1">
      <c r="A27" s="3" t="inlineStr">
        <is>
          <t>12965082</t>
        </is>
      </c>
      <c r="B27" s="3" t="inlineStr">
        <is>
          <t>15-06-2026</t>
        </is>
      </c>
      <c r="C27" s="3" t="inlineStr">
        <is>
          <t>Blau</t>
        </is>
      </c>
      <c r="D27" s="3" t="inlineStr">
        <is>
          <t>110294</t>
        </is>
      </c>
      <c r="E27" s="4" t="inlineStr">
        <is>
          <t>Madroño SEL</t>
        </is>
      </c>
      <c r="F27" s="4" t="inlineStr"/>
      <c r="G27" s="4" t="inlineStr">
        <is>
          <t>COLOR Verde · ALTURA 60 cm</t>
        </is>
      </c>
      <c r="H27" s="3" t="inlineStr">
        <is>
          <t>Paquete</t>
        </is>
      </c>
      <c r="I27" s="3" t="n">
        <v>5</v>
      </c>
      <c r="J27" s="3" t="inlineStr">
        <is>
          <t>5 пачек</t>
        </is>
      </c>
      <c r="K27" s="4">
        <f>IMAGE("https://cdn.verdnatura.es/image/catalog/1600x900/110294")</f>
        <v/>
      </c>
      <c r="L27" s="5" t="n"/>
      <c r="M27" s="6" t="n"/>
      <c r="N27" s="7" t="n"/>
      <c r="O27" s="8" t="n">
        <v>2.08</v>
      </c>
      <c r="P27" s="8" t="n">
        <v>10.4</v>
      </c>
    </row>
    <row r="28" ht="110" customHeight="1">
      <c r="A28" s="3" t="inlineStr">
        <is>
          <t>12965082</t>
        </is>
      </c>
      <c r="B28" s="3" t="inlineStr">
        <is>
          <t>15-06-2026</t>
        </is>
      </c>
      <c r="C28" s="3" t="inlineStr">
        <is>
          <t>Blau</t>
        </is>
      </c>
      <c r="D28" s="3" t="inlineStr">
        <is>
          <t>149</t>
        </is>
      </c>
      <c r="E28" s="4" t="inlineStr">
        <is>
          <t>PITT Nigra 150 gr</t>
        </is>
      </c>
      <c r="F28" s="4" t="inlineStr"/>
      <c r="G28" s="4" t="inlineStr">
        <is>
          <t>COLOR Matizado · ALTURA 50 cm</t>
        </is>
      </c>
      <c r="H28" s="3" t="inlineStr">
        <is>
          <t>Paquete</t>
        </is>
      </c>
      <c r="I28" s="3" t="n">
        <v>5</v>
      </c>
      <c r="J28" s="3" t="inlineStr">
        <is>
          <t>5 пачек</t>
        </is>
      </c>
      <c r="K28" s="4">
        <f>IMAGE("https://cdn.verdnatura.es/image/catalog/1600x900/149")</f>
        <v/>
      </c>
      <c r="L28" s="5" t="n"/>
      <c r="M28" s="6" t="n"/>
      <c r="N28" s="7" t="n"/>
      <c r="O28" s="8" t="n">
        <v>2.39</v>
      </c>
      <c r="P28" s="8" t="n">
        <v>11.95</v>
      </c>
    </row>
    <row r="29" ht="110" customHeight="1">
      <c r="A29" s="3" t="inlineStr">
        <is>
          <t>12965082</t>
        </is>
      </c>
      <c r="B29" s="3" t="inlineStr">
        <is>
          <t>15-06-2026</t>
        </is>
      </c>
      <c r="C29" s="3" t="inlineStr">
        <is>
          <t>Blau</t>
        </is>
      </c>
      <c r="D29" s="3" t="inlineStr">
        <is>
          <t>153818</t>
        </is>
      </c>
      <c r="E29" s="4" t="inlineStr">
        <is>
          <t>RANUN Amandine Snowflake</t>
        </is>
      </c>
      <c r="F29" s="4" t="inlineStr"/>
      <c r="G29" s="4" t="inlineStr">
        <is>
          <t>COLOR Blanco · ALTURA 45 cm</t>
        </is>
      </c>
      <c r="H29" s="3" t="inlineStr"/>
      <c r="I29" s="3" t="n">
        <v>50</v>
      </c>
      <c r="J29" s="3" t="inlineStr">
        <is>
          <t>50 шт.</t>
        </is>
      </c>
      <c r="K29" s="4">
        <f>IMAGE("https://cdn.verdnatura.es/image/catalog/1600x900/153818")</f>
        <v/>
      </c>
      <c r="L29" s="5" t="n"/>
      <c r="M29" s="6" t="n"/>
      <c r="N29" s="7" t="n"/>
      <c r="O29" s="8" t="n">
        <v>0.44</v>
      </c>
      <c r="P29" s="8" t="n">
        <v>22</v>
      </c>
    </row>
    <row r="30" ht="110" customHeight="1">
      <c r="A30" s="3" t="inlineStr">
        <is>
          <t>12965082</t>
        </is>
      </c>
      <c r="B30" s="3" t="inlineStr">
        <is>
          <t>15-06-2026</t>
        </is>
      </c>
      <c r="C30" s="3" t="inlineStr">
        <is>
          <t>Blau</t>
        </is>
      </c>
      <c r="D30" s="3" t="inlineStr">
        <is>
          <t>191334</t>
        </is>
      </c>
      <c r="E30" s="4" t="inlineStr">
        <is>
          <t>RSR Rainbow</t>
        </is>
      </c>
      <c r="F30" s="4" t="inlineStr">
        <is>
          <t>Holla Roses BV</t>
        </is>
      </c>
      <c r="G30" s="4" t="inlineStr">
        <is>
          <t>COLOR Mixto · ALTURA 40 cm · TAMAÑO BOTON Pequeño</t>
        </is>
      </c>
      <c r="H30" s="3" t="inlineStr"/>
      <c r="I30" s="3" t="n">
        <v>60</v>
      </c>
      <c r="J30" s="3" t="inlineStr">
        <is>
          <t>60 шт.</t>
        </is>
      </c>
      <c r="K30" s="4">
        <f>IMAGE("https://cdn.verdnatura.es/image/catalog/1600x900/191334")</f>
        <v/>
      </c>
      <c r="L30" s="5" t="n"/>
      <c r="M30" s="6" t="n"/>
      <c r="N30" s="7" t="n"/>
      <c r="O30" s="8" t="n">
        <v>0.23</v>
      </c>
      <c r="P30" s="8" t="n">
        <v>13.8</v>
      </c>
    </row>
    <row r="31" ht="110" customHeight="1">
      <c r="A31" s="3" t="inlineStr">
        <is>
          <t>12965082</t>
        </is>
      </c>
      <c r="B31" s="3" t="inlineStr">
        <is>
          <t>15-06-2026</t>
        </is>
      </c>
      <c r="C31" s="3" t="inlineStr">
        <is>
          <t>Blau</t>
        </is>
      </c>
      <c r="D31" s="3" t="inlineStr">
        <is>
          <t>135562</t>
        </is>
      </c>
      <c r="E31" s="4" t="inlineStr">
        <is>
          <t>Scabiosa Dark Cherry Scoop</t>
        </is>
      </c>
      <c r="F31" s="4" t="inlineStr"/>
      <c r="G31" s="4" t="inlineStr">
        <is>
          <t>COLOR Granate · ALTURA 50 cm</t>
        </is>
      </c>
      <c r="H31" s="3" t="inlineStr"/>
      <c r="I31" s="3" t="n">
        <v>25</v>
      </c>
      <c r="J31" s="3" t="inlineStr">
        <is>
          <t>25 шт.</t>
        </is>
      </c>
      <c r="K31" s="4">
        <f>IMAGE("https://cdn.verdnatura.es/image/catalog/1600x900/135562")</f>
        <v/>
      </c>
      <c r="L31" s="5" t="n"/>
      <c r="M31" s="6" t="n"/>
      <c r="N31" s="7" t="n"/>
      <c r="O31" s="8" t="n">
        <v>0.4</v>
      </c>
      <c r="P31" s="8" t="n">
        <v>10</v>
      </c>
    </row>
    <row r="32" ht="110" customHeight="1">
      <c r="A32" s="3" t="inlineStr">
        <is>
          <t>12965082</t>
        </is>
      </c>
      <c r="B32" s="3" t="inlineStr">
        <is>
          <t>15-06-2026</t>
        </is>
      </c>
      <c r="C32" s="3" t="inlineStr">
        <is>
          <t>Blau</t>
        </is>
      </c>
      <c r="D32" s="3" t="inlineStr">
        <is>
          <t>182842</t>
        </is>
      </c>
      <c r="E32" s="4" t="inlineStr">
        <is>
          <t>Scabiosa Milky Scoop</t>
        </is>
      </c>
      <c r="F32" s="4" t="inlineStr"/>
      <c r="G32" s="4" t="inlineStr">
        <is>
          <t>COLOR Blanco · ALTURA 70 cm</t>
        </is>
      </c>
      <c r="H32" s="3" t="inlineStr"/>
      <c r="I32" s="3" t="n">
        <v>50</v>
      </c>
      <c r="J32" s="3" t="inlineStr">
        <is>
          <t>50 шт.</t>
        </is>
      </c>
      <c r="K32" s="4">
        <f>IMAGE("https://cdn.verdnatura.es/image/catalog/1600x900/182842")</f>
        <v/>
      </c>
      <c r="L32" s="5" t="n"/>
      <c r="M32" s="6" t="n"/>
      <c r="N32" s="7" t="n"/>
      <c r="O32" s="8" t="n">
        <v>0.49</v>
      </c>
      <c r="P32" s="8" t="n">
        <v>24.5</v>
      </c>
    </row>
    <row r="33" ht="110" customHeight="1">
      <c r="A33" s="3" t="inlineStr">
        <is>
          <t>12965082</t>
        </is>
      </c>
      <c r="B33" s="3" t="inlineStr">
        <is>
          <t>15-06-2026</t>
        </is>
      </c>
      <c r="C33" s="3" t="inlineStr">
        <is>
          <t>Blau</t>
        </is>
      </c>
      <c r="D33" s="3" t="inlineStr">
        <is>
          <t>123161</t>
        </is>
      </c>
      <c r="E33" s="4" t="inlineStr">
        <is>
          <t>Skimmia C Kew Green</t>
        </is>
      </c>
      <c r="F33" s="4" t="inlineStr"/>
      <c r="G33" s="4" t="inlineStr">
        <is>
          <t>COLOR Verde · ALTURA 40 cm · FORMATO Paquete</t>
        </is>
      </c>
      <c r="H33" s="3" t="inlineStr"/>
      <c r="I33" s="3" t="n">
        <v>5</v>
      </c>
      <c r="J33" s="3" t="inlineStr">
        <is>
          <t>5 шт.</t>
        </is>
      </c>
      <c r="K33" s="4">
        <f>IMAGE("https://cdn.verdnatura.es/image/catalog/1600x900/123161")</f>
        <v/>
      </c>
      <c r="L33" s="5" t="n"/>
      <c r="M33" s="6" t="n"/>
      <c r="N33" s="7" t="n"/>
      <c r="O33" s="8" t="n">
        <v>5.63</v>
      </c>
      <c r="P33" s="8" t="n">
        <v>28.15</v>
      </c>
    </row>
    <row r="34" ht="110" customHeight="1">
      <c r="A34" s="3" t="inlineStr">
        <is>
          <t>12965082</t>
        </is>
      </c>
      <c r="B34" s="3" t="inlineStr">
        <is>
          <t>15-06-2026</t>
        </is>
      </c>
      <c r="C34" s="3" t="inlineStr">
        <is>
          <t>Blau</t>
        </is>
      </c>
      <c r="D34" s="3" t="inlineStr">
        <is>
          <t>73611</t>
        </is>
      </c>
      <c r="E34" s="4" t="inlineStr">
        <is>
          <t>Skimmia J Rubella</t>
        </is>
      </c>
      <c r="F34" s="4" t="inlineStr"/>
      <c r="G34" s="4" t="inlineStr">
        <is>
          <t>COLOR Granate · ALTURA 45 cm</t>
        </is>
      </c>
      <c r="H34" s="3" t="inlineStr">
        <is>
          <t>Paquete</t>
        </is>
      </c>
      <c r="I34" s="3" t="n">
        <v>5</v>
      </c>
      <c r="J34" s="3" t="inlineStr">
        <is>
          <t>5 пачек</t>
        </is>
      </c>
      <c r="K34" s="4">
        <f>IMAGE("https://cdn.verdnatura.es/image/catalog/1600x900/73611")</f>
        <v/>
      </c>
      <c r="L34" s="5" t="n"/>
      <c r="M34" s="6" t="n"/>
      <c r="N34" s="7" t="n"/>
      <c r="O34" s="8" t="n">
        <v>5.45</v>
      </c>
      <c r="P34" s="8" t="n">
        <v>27.25</v>
      </c>
    </row>
    <row r="35" ht="110" customHeight="1">
      <c r="A35" s="3" t="inlineStr">
        <is>
          <t>12965082</t>
        </is>
      </c>
      <c r="B35" s="3" t="inlineStr">
        <is>
          <t>15-06-2026</t>
        </is>
      </c>
      <c r="C35" s="3" t="inlineStr">
        <is>
          <t>Blau</t>
        </is>
      </c>
      <c r="D35" s="3" t="inlineStr">
        <is>
          <t>32027</t>
        </is>
      </c>
      <c r="E35" s="4" t="inlineStr">
        <is>
          <t>TUL Purple Prince</t>
        </is>
      </c>
      <c r="F35" s="4" t="inlineStr"/>
      <c r="G35" s="4" t="inlineStr">
        <is>
          <t>COLOR Púrpura · ALTURA 38 cm · PESO/TALLO 28 gr</t>
        </is>
      </c>
      <c r="H35" s="3" t="inlineStr"/>
      <c r="I35" s="3" t="n">
        <v>50</v>
      </c>
      <c r="J35" s="3" t="inlineStr">
        <is>
          <t>50 шт.</t>
        </is>
      </c>
      <c r="K35" s="4">
        <f>IMAGE("https://cdn.verdnatura.es/image/catalog/1600x900/32027")</f>
        <v/>
      </c>
      <c r="L35" s="5" t="n"/>
      <c r="M35" s="6" t="n"/>
      <c r="N35" s="7" t="n"/>
      <c r="O35" s="8" t="n">
        <v>0.47</v>
      </c>
      <c r="P35" s="8" t="n">
        <v>23.5</v>
      </c>
    </row>
    <row r="36" ht="110" customHeight="1">
      <c r="A36" s="3" t="inlineStr">
        <is>
          <t>12965082</t>
        </is>
      </c>
      <c r="B36" s="3" t="inlineStr">
        <is>
          <t>15-06-2026</t>
        </is>
      </c>
      <c r="C36" s="3" t="inlineStr">
        <is>
          <t>Blau</t>
        </is>
      </c>
      <c r="D36" s="3" t="inlineStr">
        <is>
          <t>32751</t>
        </is>
      </c>
      <c r="E36" s="4" t="inlineStr">
        <is>
          <t>TUL Seadov</t>
        </is>
      </c>
      <c r="F36" s="4" t="inlineStr"/>
      <c r="G36" s="4" t="inlineStr">
        <is>
          <t>COLOR Rojo · ALTURA 37 cm · PESO/TALLO 28 gr</t>
        </is>
      </c>
      <c r="H36" s="3" t="inlineStr"/>
      <c r="I36" s="3" t="n">
        <v>100</v>
      </c>
      <c r="J36" s="3" t="inlineStr">
        <is>
          <t>100 шт.</t>
        </is>
      </c>
      <c r="K36" s="4">
        <f>IMAGE("https://cdn.verdnatura.es/image/catalog/1600x900/32751")</f>
        <v/>
      </c>
      <c r="L36" s="5" t="n"/>
      <c r="M36" s="6" t="n"/>
      <c r="N36" s="7" t="n"/>
      <c r="O36" s="8" t="n">
        <v>0.15</v>
      </c>
      <c r="P36" s="8" t="n">
        <v>15</v>
      </c>
    </row>
    <row r="37" ht="110" customHeight="1">
      <c r="A37" s="3" t="inlineStr">
        <is>
          <t>12965082</t>
        </is>
      </c>
      <c r="B37" s="3" t="inlineStr">
        <is>
          <t>15-06-2026</t>
        </is>
      </c>
      <c r="C37" s="3" t="inlineStr">
        <is>
          <t>Blau</t>
        </is>
      </c>
      <c r="D37" s="3" t="inlineStr">
        <is>
          <t>132195</t>
        </is>
      </c>
      <c r="E37" s="4" t="inlineStr">
        <is>
          <t>TUL· Supermodel</t>
        </is>
      </c>
      <c r="F37" s="4" t="inlineStr"/>
      <c r="G37" s="4" t="inlineStr">
        <is>
          <t>COLOR Rosa Claro · ALTURA 34 cm · PESO/TALLO 22 gr</t>
        </is>
      </c>
      <c r="H37" s="3" t="inlineStr"/>
      <c r="I37" s="3" t="n">
        <v>50</v>
      </c>
      <c r="J37" s="3" t="inlineStr">
        <is>
          <t>50 шт.</t>
        </is>
      </c>
      <c r="K37" s="4">
        <f>IMAGE("https://cdn.verdnatura.es/image/catalog/1600x900/132195")</f>
        <v/>
      </c>
      <c r="L37" s="5" t="n"/>
      <c r="M37" s="6" t="n"/>
      <c r="N37" s="7" t="n"/>
      <c r="O37" s="8" t="n">
        <v>0.48</v>
      </c>
      <c r="P37" s="8" t="n">
        <v>24</v>
      </c>
    </row>
    <row r="38" ht="26" customHeight="1">
      <c r="A38" s="2" t="inlineStr">
        <is>
          <t>📦  Накладная #12966168  ·  15-06-2026  ·  Blau  ·  2 позиций  ·  bultos: 2</t>
        </is>
      </c>
    </row>
    <row r="39" ht="110" customHeight="1">
      <c r="A39" s="3" t="inlineStr">
        <is>
          <t>12966168</t>
        </is>
      </c>
      <c r="B39" s="3" t="inlineStr">
        <is>
          <t>15-06-2026</t>
        </is>
      </c>
      <c r="C39" s="3" t="inlineStr">
        <is>
          <t>Blau</t>
        </is>
      </c>
      <c r="D39" s="3" t="inlineStr">
        <is>
          <t>198353</t>
        </is>
      </c>
      <c r="E39" s="4" t="inlineStr">
        <is>
          <t>Calas Mix (In Malmo) Cerámica</t>
        </is>
      </c>
      <c r="F39" s="4" t="inlineStr">
        <is>
          <t>Dynaplant</t>
        </is>
      </c>
      <c r="G39" s="4" t="inlineStr">
        <is>
          <t>COLOR Mixto · ALTURA 40 cm · MACETA 14</t>
        </is>
      </c>
      <c r="H39" s="3" t="inlineStr"/>
      <c r="I39" s="3" t="n">
        <v>6</v>
      </c>
      <c r="J39" s="3" t="inlineStr">
        <is>
          <t>6 шт.</t>
        </is>
      </c>
      <c r="K39" s="4">
        <f>IMAGE("https://cdn.verdnatura.es/image/catalog/1600x900/198353")</f>
        <v/>
      </c>
      <c r="L39" s="5" t="n"/>
      <c r="M39" s="6" t="n"/>
      <c r="N39" s="7" t="n"/>
      <c r="O39" s="8" t="n">
        <v>6.47</v>
      </c>
      <c r="P39" s="8" t="n">
        <v>38.82</v>
      </c>
    </row>
    <row r="40" ht="110" customHeight="1">
      <c r="A40" s="3" t="inlineStr">
        <is>
          <t>12966168</t>
        </is>
      </c>
      <c r="B40" s="3" t="inlineStr">
        <is>
          <t>15-06-2026</t>
        </is>
      </c>
      <c r="C40" s="3" t="inlineStr">
        <is>
          <t>Blau</t>
        </is>
      </c>
      <c r="D40" s="3" t="inlineStr">
        <is>
          <t>93768</t>
        </is>
      </c>
      <c r="E40" s="4" t="inlineStr">
        <is>
          <t>Echeveria Barro</t>
        </is>
      </c>
      <c r="F40" s="4" t="inlineStr">
        <is>
          <t>VM</t>
        </is>
      </c>
      <c r="G40" s="4" t="inlineStr">
        <is>
          <t>COLOR Verde · ALTURA 10 cm · MACETA 6,5</t>
        </is>
      </c>
      <c r="H40" s="3" t="inlineStr"/>
      <c r="I40" s="3" t="n">
        <v>20</v>
      </c>
      <c r="J40" s="3" t="inlineStr">
        <is>
          <t>20 шт.</t>
        </is>
      </c>
      <c r="K40" s="4">
        <f>IMAGE("https://cdn.verdnatura.es/image/catalog/1600x900/93768")</f>
        <v/>
      </c>
      <c r="L40" s="5" t="n"/>
      <c r="M40" s="6" t="n"/>
      <c r="N40" s="7" t="n"/>
      <c r="O40" s="8" t="n">
        <v>1.14</v>
      </c>
      <c r="P40" s="8" t="n">
        <v>22.8</v>
      </c>
    </row>
    <row r="41" ht="26" customHeight="1">
      <c r="A41" s="2" t="inlineStr">
        <is>
          <t>📦  Накладная #12966534  ·  15-06-2026  ·  Blau  ·  16 позиций  ·  bultos: 2</t>
        </is>
      </c>
    </row>
    <row r="42" ht="110" customHeight="1">
      <c r="A42" s="3" t="inlineStr">
        <is>
          <t>12966534</t>
        </is>
      </c>
      <c r="B42" s="3" t="inlineStr">
        <is>
          <t>15-06-2026</t>
        </is>
      </c>
      <c r="C42" s="3" t="inlineStr">
        <is>
          <t>Blau</t>
        </is>
      </c>
      <c r="D42" s="3" t="inlineStr">
        <is>
          <t>148466</t>
        </is>
      </c>
      <c r="E42" s="4" t="inlineStr">
        <is>
          <t>ALS Himalaya SEL</t>
        </is>
      </c>
      <c r="F42" s="4" t="inlineStr">
        <is>
          <t>Santa Dorotea</t>
        </is>
      </c>
      <c r="G42" s="4" t="inlineStr">
        <is>
          <t>COLOR Blanco · ALTURA 70 cm</t>
        </is>
      </c>
      <c r="H42" s="3" t="inlineStr"/>
      <c r="I42" s="3" t="n">
        <v>30</v>
      </c>
      <c r="J42" s="3" t="inlineStr">
        <is>
          <t>30 шт.</t>
        </is>
      </c>
      <c r="K42" s="4">
        <f>IMAGE("https://cdn.verdnatura.es/image/catalog/1600x900/148466")</f>
        <v/>
      </c>
      <c r="L42" s="5" t="n"/>
      <c r="M42" s="6" t="n"/>
      <c r="N42" s="7" t="n"/>
      <c r="O42" s="8" t="n">
        <v>0.32</v>
      </c>
      <c r="P42" s="8" t="n">
        <v>9.6</v>
      </c>
    </row>
    <row r="43" ht="110" customHeight="1">
      <c r="A43" s="3" t="inlineStr">
        <is>
          <t>12966534</t>
        </is>
      </c>
      <c r="B43" s="3" t="inlineStr">
        <is>
          <t>15-06-2026</t>
        </is>
      </c>
      <c r="C43" s="3" t="inlineStr">
        <is>
          <t>Blau</t>
        </is>
      </c>
      <c r="D43" s="3" t="inlineStr">
        <is>
          <t>12785</t>
        </is>
      </c>
      <c r="E43" s="4" t="inlineStr">
        <is>
          <t>ALS Morada FCY</t>
        </is>
      </c>
      <c r="F43" s="4" t="inlineStr">
        <is>
          <t>Benchmark</t>
        </is>
      </c>
      <c r="G43" s="4" t="inlineStr">
        <is>
          <t>COLOR Morado · ALTURA 60 cm</t>
        </is>
      </c>
      <c r="H43" s="3" t="inlineStr"/>
      <c r="I43" s="3" t="n">
        <v>30</v>
      </c>
      <c r="J43" s="3" t="inlineStr">
        <is>
          <t>30 шт.</t>
        </is>
      </c>
      <c r="K43" s="4">
        <f>IMAGE("https://cdn.verdnatura.es/image/catalog/1600x900/12785")</f>
        <v/>
      </c>
      <c r="L43" s="5" t="n"/>
      <c r="M43" s="6" t="n"/>
      <c r="N43" s="7" t="n"/>
      <c r="O43" s="8" t="n">
        <v>0.23</v>
      </c>
      <c r="P43" s="8" t="n">
        <v>6.9</v>
      </c>
    </row>
    <row r="44" ht="110" customHeight="1">
      <c r="A44" s="3" t="inlineStr">
        <is>
          <t>12966534</t>
        </is>
      </c>
      <c r="B44" s="3" t="inlineStr">
        <is>
          <t>15-06-2026</t>
        </is>
      </c>
      <c r="C44" s="3" t="inlineStr">
        <is>
          <t>Blau</t>
        </is>
      </c>
      <c r="D44" s="3" t="inlineStr">
        <is>
          <t>14611</t>
        </is>
      </c>
      <c r="E44" s="4" t="inlineStr">
        <is>
          <t>CRU Anastasia Green</t>
        </is>
      </c>
      <c r="F44" s="4" t="inlineStr">
        <is>
          <t>Benchmark</t>
        </is>
      </c>
      <c r="G44" s="4" t="inlineStr">
        <is>
          <t>COLOR Verde · ALTURA 70 cm · PESO/TALLO 55-65 gr</t>
        </is>
      </c>
      <c r="H44" s="3" t="inlineStr"/>
      <c r="I44" s="3" t="n">
        <v>20</v>
      </c>
      <c r="J44" s="3" t="inlineStr">
        <is>
          <t>20 шт.</t>
        </is>
      </c>
      <c r="K44" s="4">
        <f>IMAGE("https://cdn.verdnatura.es/image/catalog/1600x900/14611")</f>
        <v/>
      </c>
      <c r="L44" s="5" t="n"/>
      <c r="M44" s="6" t="n"/>
      <c r="N44" s="7" t="n"/>
      <c r="O44" s="8" t="n">
        <v>0.5</v>
      </c>
      <c r="P44" s="8" t="n">
        <v>10</v>
      </c>
    </row>
    <row r="45" ht="110" customHeight="1">
      <c r="A45" s="3" t="inlineStr">
        <is>
          <t>12966534</t>
        </is>
      </c>
      <c r="B45" s="3" t="inlineStr">
        <is>
          <t>15-06-2026</t>
        </is>
      </c>
      <c r="C45" s="3" t="inlineStr">
        <is>
          <t>Blau</t>
        </is>
      </c>
      <c r="D45" s="3" t="inlineStr">
        <is>
          <t>147537</t>
        </is>
      </c>
      <c r="E45" s="4" t="inlineStr">
        <is>
          <t>CRU Anastasia Pink</t>
        </is>
      </c>
      <c r="F45" s="4" t="inlineStr">
        <is>
          <t>Sayonara</t>
        </is>
      </c>
      <c r="G45" s="4" t="inlineStr">
        <is>
          <t>COLOR Rosa · ALTURA 70 cm · PESO/TALLO 60-65 gr</t>
        </is>
      </c>
      <c r="H45" s="3" t="inlineStr"/>
      <c r="I45" s="3" t="n">
        <v>20</v>
      </c>
      <c r="J45" s="3" t="inlineStr">
        <is>
          <t>20 шт.</t>
        </is>
      </c>
      <c r="K45" s="4">
        <f>IMAGE("https://cdn.verdnatura.es/image/catalog/1600x900/147537")</f>
        <v/>
      </c>
      <c r="L45" s="5" t="n"/>
      <c r="M45" s="6" t="n"/>
      <c r="N45" s="7" t="n"/>
      <c r="O45" s="8" t="n">
        <v>0.48</v>
      </c>
      <c r="P45" s="8" t="n">
        <v>9.6</v>
      </c>
    </row>
    <row r="46" ht="110" customHeight="1">
      <c r="A46" s="3" t="inlineStr">
        <is>
          <t>12966534</t>
        </is>
      </c>
      <c r="B46" s="3" t="inlineStr">
        <is>
          <t>15-06-2026</t>
        </is>
      </c>
      <c r="C46" s="3" t="inlineStr">
        <is>
          <t>Blau</t>
        </is>
      </c>
      <c r="D46" s="3" t="inlineStr">
        <is>
          <t>14614</t>
        </is>
      </c>
      <c r="E46" s="4" t="inlineStr">
        <is>
          <t>CRU Anastasia Purple</t>
        </is>
      </c>
      <c r="F46" s="4" t="inlineStr">
        <is>
          <t>Benchmark</t>
        </is>
      </c>
      <c r="G46" s="4" t="inlineStr">
        <is>
          <t>COLOR Morado · ALTURA 70 cm · PESO/TALLO 45-50 gr</t>
        </is>
      </c>
      <c r="H46" s="3" t="inlineStr"/>
      <c r="I46" s="3" t="n">
        <v>20</v>
      </c>
      <c r="J46" s="3" t="inlineStr">
        <is>
          <t>20 шт.</t>
        </is>
      </c>
      <c r="K46" s="4">
        <f>IMAGE("https://cdn.verdnatura.es/image/catalog/1600x900/14614")</f>
        <v/>
      </c>
      <c r="L46" s="5" t="n"/>
      <c r="M46" s="6" t="n"/>
      <c r="N46" s="7" t="n"/>
      <c r="O46" s="8" t="n">
        <v>0.48</v>
      </c>
      <c r="P46" s="8" t="n">
        <v>9.6</v>
      </c>
    </row>
    <row r="47" ht="110" customHeight="1">
      <c r="A47" s="3" t="inlineStr">
        <is>
          <t>12966534</t>
        </is>
      </c>
      <c r="B47" s="3" t="inlineStr">
        <is>
          <t>15-06-2026</t>
        </is>
      </c>
      <c r="C47" s="3" t="inlineStr">
        <is>
          <t>Blau</t>
        </is>
      </c>
      <c r="D47" s="3" t="inlineStr">
        <is>
          <t>204346</t>
        </is>
      </c>
      <c r="E47" s="4" t="inlineStr">
        <is>
          <t>GRS Melon X-Pression</t>
        </is>
      </c>
      <c r="F47" s="4" t="inlineStr">
        <is>
          <t>Santa Dorotea</t>
        </is>
      </c>
      <c r="G47" s="4" t="inlineStr">
        <is>
          <t>COLOR Melocotón · ALTURA 60 cm · BOTÓN MINIMO 4.0 cm</t>
        </is>
      </c>
      <c r="H47" s="3" t="inlineStr"/>
      <c r="I47" s="3" t="n">
        <v>25</v>
      </c>
      <c r="J47" s="3" t="inlineStr">
        <is>
          <t>25 шт.</t>
        </is>
      </c>
      <c r="K47" s="4">
        <f>IMAGE("https://cdn.verdnatura.es/image/catalog/1600x900/204346")</f>
        <v/>
      </c>
      <c r="L47" s="5" t="n"/>
      <c r="M47" s="6" t="n"/>
      <c r="N47" s="7" t="n"/>
      <c r="O47" s="8" t="n">
        <v>1.03</v>
      </c>
      <c r="P47" s="8" t="n">
        <v>25.75</v>
      </c>
    </row>
    <row r="48" ht="110" customHeight="1">
      <c r="A48" s="3" t="inlineStr">
        <is>
          <t>12966534</t>
        </is>
      </c>
      <c r="B48" s="3" t="inlineStr">
        <is>
          <t>15-06-2026</t>
        </is>
      </c>
      <c r="C48" s="3" t="inlineStr">
        <is>
          <t>Blau</t>
        </is>
      </c>
      <c r="D48" s="3" t="inlineStr">
        <is>
          <t>92681</t>
        </is>
      </c>
      <c r="E48" s="4" t="inlineStr">
        <is>
          <t>GRS Tip Top</t>
        </is>
      </c>
      <c r="F48" s="4" t="inlineStr">
        <is>
          <t>Milagro</t>
        </is>
      </c>
      <c r="G48" s="4" t="inlineStr">
        <is>
          <t>COLOR Melocotón · ALTURA 40 cm · BOTÓN MINIMO 4.5 cm</t>
        </is>
      </c>
      <c r="H48" s="3" t="inlineStr"/>
      <c r="I48" s="3" t="n">
        <v>25</v>
      </c>
      <c r="J48" s="3" t="inlineStr">
        <is>
          <t>25 шт.</t>
        </is>
      </c>
      <c r="K48" s="4">
        <f>IMAGE("https://cdn.verdnatura.es/image/catalog/1600x900/92681")</f>
        <v/>
      </c>
      <c r="L48" s="5" t="n"/>
      <c r="M48" s="6" t="n"/>
      <c r="N48" s="7" t="n"/>
      <c r="O48" s="8" t="n">
        <v>0.74</v>
      </c>
      <c r="P48" s="8" t="n">
        <v>18.5</v>
      </c>
    </row>
    <row r="49" ht="110" customHeight="1">
      <c r="A49" s="3" t="inlineStr">
        <is>
          <t>12966534</t>
        </is>
      </c>
      <c r="B49" s="3" t="inlineStr">
        <is>
          <t>15-06-2026</t>
        </is>
      </c>
      <c r="C49" s="3" t="inlineStr">
        <is>
          <t>Blau</t>
        </is>
      </c>
      <c r="D49" s="3" t="inlineStr">
        <is>
          <t>161367</t>
        </is>
      </c>
      <c r="E49" s="4" t="inlineStr">
        <is>
          <t>LSP Red</t>
        </is>
      </c>
      <c r="F49" s="4" t="inlineStr">
        <is>
          <t>Roots Peru</t>
        </is>
      </c>
      <c r="G49" s="4" t="inlineStr">
        <is>
          <t>COLOR Rojo · ALTURA 40 cm</t>
        </is>
      </c>
      <c r="H49" s="3" t="inlineStr"/>
      <c r="I49" s="3" t="n">
        <v>10</v>
      </c>
      <c r="J49" s="3" t="inlineStr">
        <is>
          <t>10 шт.</t>
        </is>
      </c>
      <c r="K49" s="4">
        <f>IMAGE("https://cdn.verdnatura.es/image/catalog/1600x900/161367")</f>
        <v/>
      </c>
      <c r="L49" s="5" t="n"/>
      <c r="M49" s="6" t="n"/>
      <c r="N49" s="7" t="n"/>
      <c r="O49" s="8" t="n">
        <v>0.93</v>
      </c>
      <c r="P49" s="8" t="n">
        <v>9.300000000000001</v>
      </c>
    </row>
    <row r="50" ht="110" customHeight="1">
      <c r="A50" s="3" t="inlineStr">
        <is>
          <t>12966534</t>
        </is>
      </c>
      <c r="B50" s="3" t="inlineStr">
        <is>
          <t>15-06-2026</t>
        </is>
      </c>
      <c r="C50" s="3" t="inlineStr">
        <is>
          <t>Blau</t>
        </is>
      </c>
      <c r="D50" s="3" t="inlineStr">
        <is>
          <t>196756</t>
        </is>
      </c>
      <c r="E50" s="4" t="inlineStr">
        <is>
          <t>PAN Rosa Claro SD 40 gr</t>
        </is>
      </c>
      <c r="F50" s="4" t="inlineStr">
        <is>
          <t>Santa Dorotea</t>
        </is>
      </c>
      <c r="G50" s="4" t="inlineStr">
        <is>
          <t>COLOR Rosa Claro · ALTURA 80 cm · TAMAÑO FLOR XL</t>
        </is>
      </c>
      <c r="H50" s="3" t="inlineStr"/>
      <c r="I50" s="3" t="n">
        <v>50</v>
      </c>
      <c r="J50" s="3" t="inlineStr">
        <is>
          <t>50 шт.</t>
        </is>
      </c>
      <c r="K50" s="4">
        <f>IMAGE("https://cdn.verdnatura.es/image/catalog/1600x900/196756")</f>
        <v/>
      </c>
      <c r="L50" s="5" t="n"/>
      <c r="M50" s="6" t="n"/>
      <c r="N50" s="7" t="n"/>
      <c r="O50" s="8" t="n">
        <v>0.5600000000000001</v>
      </c>
      <c r="P50" s="8" t="n">
        <v>28</v>
      </c>
    </row>
    <row r="51" ht="110" customHeight="1">
      <c r="A51" s="3" t="inlineStr">
        <is>
          <t>12966534</t>
        </is>
      </c>
      <c r="B51" s="3" t="inlineStr">
        <is>
          <t>15-06-2026</t>
        </is>
      </c>
      <c r="C51" s="3" t="inlineStr">
        <is>
          <t>Blau</t>
        </is>
      </c>
      <c r="D51" s="3" t="inlineStr">
        <is>
          <t>171540</t>
        </is>
      </c>
      <c r="E51" s="4" t="inlineStr">
        <is>
          <t>PAN Small Bloom SD 40 gr</t>
        </is>
      </c>
      <c r="F51" s="4" t="inlineStr">
        <is>
          <t>Santa Dorotea</t>
        </is>
      </c>
      <c r="G51" s="4" t="inlineStr">
        <is>
          <t>COLOR Blanco · ALTURA 80 cm · TAMAÑO FLOR S</t>
        </is>
      </c>
      <c r="H51" s="3" t="inlineStr"/>
      <c r="I51" s="3" t="n">
        <v>50</v>
      </c>
      <c r="J51" s="3" t="inlineStr">
        <is>
          <t>50 шт.</t>
        </is>
      </c>
      <c r="K51" s="4">
        <f>IMAGE("https://cdn.verdnatura.es/image/catalog/1600x900/171540")</f>
        <v/>
      </c>
      <c r="L51" s="5" t="n"/>
      <c r="M51" s="6" t="n"/>
      <c r="N51" s="7" t="n"/>
      <c r="O51" s="8" t="n">
        <v>0.5</v>
      </c>
      <c r="P51" s="8" t="n">
        <v>25</v>
      </c>
    </row>
    <row r="52" ht="110" customHeight="1">
      <c r="A52" s="3" t="inlineStr">
        <is>
          <t>12966534</t>
        </is>
      </c>
      <c r="B52" s="3" t="inlineStr">
        <is>
          <t>15-06-2026</t>
        </is>
      </c>
      <c r="C52" s="3" t="inlineStr">
        <is>
          <t>Blau</t>
        </is>
      </c>
      <c r="D52" s="3" t="inlineStr">
        <is>
          <t>135400</t>
        </is>
      </c>
      <c r="E52" s="4" t="inlineStr">
        <is>
          <t>Peonia Sarah Bernhard</t>
        </is>
      </c>
      <c r="F52" s="4" t="inlineStr">
        <is>
          <t>My-Peony</t>
        </is>
      </c>
      <c r="G52" s="4" t="inlineStr">
        <is>
          <t>COLOR Rosa Claro · ALTURA 55 cm · APERTURA 2-3</t>
        </is>
      </c>
      <c r="H52" s="3" t="inlineStr"/>
      <c r="I52" s="3" t="n">
        <v>50</v>
      </c>
      <c r="J52" s="3" t="inlineStr">
        <is>
          <t>50 шт.</t>
        </is>
      </c>
      <c r="K52" s="4">
        <f>IMAGE("https://cdn.verdnatura.es/image/catalog/1600x900/135400")</f>
        <v/>
      </c>
      <c r="L52" s="5" t="n"/>
      <c r="M52" s="6" t="n"/>
      <c r="N52" s="7" t="n"/>
      <c r="O52" s="8" t="n">
        <v>0.68</v>
      </c>
      <c r="P52" s="8" t="n">
        <v>34</v>
      </c>
    </row>
    <row r="53" ht="110" customHeight="1">
      <c r="A53" s="3" t="inlineStr">
        <is>
          <t>12966534</t>
        </is>
      </c>
      <c r="B53" s="3" t="inlineStr">
        <is>
          <t>15-06-2026</t>
        </is>
      </c>
      <c r="C53" s="3" t="inlineStr">
        <is>
          <t>Blau</t>
        </is>
      </c>
      <c r="D53" s="3" t="inlineStr">
        <is>
          <t>201368</t>
        </is>
      </c>
      <c r="E53" s="4" t="inlineStr">
        <is>
          <t>Peonia Top Brass</t>
        </is>
      </c>
      <c r="F53" s="4" t="inlineStr"/>
      <c r="G53" s="4" t="inlineStr">
        <is>
          <t>COLOR Blanco · ALTURA 55 cm · APERTURA 2-3</t>
        </is>
      </c>
      <c r="H53" s="3" t="inlineStr"/>
      <c r="I53" s="3" t="n">
        <v>50</v>
      </c>
      <c r="J53" s="3" t="inlineStr">
        <is>
          <t>50 шт.</t>
        </is>
      </c>
      <c r="K53" s="4">
        <f>IMAGE("https://cdn.verdnatura.es/image/catalog/1600x900/201368")</f>
        <v/>
      </c>
      <c r="L53" s="5" t="n"/>
      <c r="M53" s="6" t="n"/>
      <c r="N53" s="7" t="n"/>
      <c r="O53" s="8" t="n">
        <v>0.55</v>
      </c>
      <c r="P53" s="8" t="n">
        <v>27.5</v>
      </c>
    </row>
    <row r="54" ht="110" customHeight="1">
      <c r="A54" s="3" t="inlineStr">
        <is>
          <t>12966534</t>
        </is>
      </c>
      <c r="B54" s="3" t="inlineStr">
        <is>
          <t>15-06-2026</t>
        </is>
      </c>
      <c r="C54" s="3" t="inlineStr">
        <is>
          <t>Blau</t>
        </is>
      </c>
      <c r="D54" s="3" t="inlineStr">
        <is>
          <t>153922</t>
        </is>
      </c>
      <c r="E54" s="4" t="inlineStr">
        <is>
          <t>RS Country home PRE</t>
        </is>
      </c>
      <c r="F54" s="4" t="inlineStr">
        <is>
          <t>Santa Dorotea</t>
        </is>
      </c>
      <c r="G54" s="4" t="inlineStr">
        <is>
          <t>COLOR Salmón · ALTURA 60 cm · BOTÓN MINIMO 6 cm</t>
        </is>
      </c>
      <c r="H54" s="3" t="inlineStr"/>
      <c r="I54" s="3" t="n">
        <v>25</v>
      </c>
      <c r="J54" s="3" t="inlineStr">
        <is>
          <t>25 шт.</t>
        </is>
      </c>
      <c r="K54" s="4">
        <f>IMAGE("https://cdn.verdnatura.es/image/catalog/1600x900/153922")</f>
        <v/>
      </c>
      <c r="L54" s="5" t="n"/>
      <c r="M54" s="6" t="n"/>
      <c r="N54" s="7" t="n"/>
      <c r="O54" s="8" t="n">
        <v>0.85</v>
      </c>
      <c r="P54" s="8" t="n">
        <v>21.25</v>
      </c>
    </row>
    <row r="55" ht="110" customHeight="1">
      <c r="A55" s="3" t="inlineStr">
        <is>
          <t>12966534</t>
        </is>
      </c>
      <c r="B55" s="3" t="inlineStr">
        <is>
          <t>15-06-2026</t>
        </is>
      </c>
      <c r="C55" s="3" t="inlineStr">
        <is>
          <t>Blau</t>
        </is>
      </c>
      <c r="D55" s="3" t="inlineStr">
        <is>
          <t>199387</t>
        </is>
      </c>
      <c r="E55" s="4" t="inlineStr">
        <is>
          <t>RS Hermosa EXT</t>
        </is>
      </c>
      <c r="F55" s="4" t="inlineStr">
        <is>
          <t>Comexiger</t>
        </is>
      </c>
      <c r="G55" s="4" t="inlineStr">
        <is>
          <t>COLOR Rosa · ALTURA 50 cm · BOTÓN MINIMO 7 cm</t>
        </is>
      </c>
      <c r="H55" s="3" t="inlineStr"/>
      <c r="I55" s="3" t="n">
        <v>25</v>
      </c>
      <c r="J55" s="3" t="inlineStr">
        <is>
          <t>25 шт.</t>
        </is>
      </c>
      <c r="K55" s="4">
        <f>IMAGE("https://cdn.verdnatura.es/image/catalog/1600x900/199387")</f>
        <v/>
      </c>
      <c r="L55" s="5" t="n"/>
      <c r="M55" s="6" t="n"/>
      <c r="N55" s="7" t="n"/>
      <c r="O55" s="8" t="n">
        <v>0.65</v>
      </c>
      <c r="P55" s="8" t="n">
        <v>16.25</v>
      </c>
    </row>
    <row r="56" ht="110" customHeight="1">
      <c r="A56" s="3" t="inlineStr">
        <is>
          <t>12966534</t>
        </is>
      </c>
      <c r="B56" s="3" t="inlineStr">
        <is>
          <t>15-06-2026</t>
        </is>
      </c>
      <c r="C56" s="3" t="inlineStr">
        <is>
          <t>Blau</t>
        </is>
      </c>
      <c r="D56" s="3" t="inlineStr">
        <is>
          <t>144544</t>
        </is>
      </c>
      <c r="E56" s="4" t="inlineStr">
        <is>
          <t>RS Menta SEL</t>
        </is>
      </c>
      <c r="F56" s="4" t="inlineStr">
        <is>
          <t>Monterosas</t>
        </is>
      </c>
      <c r="G56" s="4" t="inlineStr">
        <is>
          <t>COLOR Lavanda · ALTURA 60 cm · BOTÓN MINIMO 5.5 cm</t>
        </is>
      </c>
      <c r="H56" s="3" t="inlineStr"/>
      <c r="I56" s="3" t="n">
        <v>25</v>
      </c>
      <c r="J56" s="3" t="inlineStr">
        <is>
          <t>25 шт.</t>
        </is>
      </c>
      <c r="K56" s="4">
        <f>IMAGE("https://cdn.verdnatura.es/image/catalog/1600x900/144544")</f>
        <v/>
      </c>
      <c r="L56" s="5" t="n"/>
      <c r="M56" s="6" t="n"/>
      <c r="N56" s="7" t="n"/>
      <c r="O56" s="8" t="n">
        <v>0.6899999999999999</v>
      </c>
      <c r="P56" s="8" t="n">
        <v>17.25</v>
      </c>
    </row>
    <row r="57" ht="110" customHeight="1">
      <c r="A57" s="3" t="inlineStr">
        <is>
          <t>12966534</t>
        </is>
      </c>
      <c r="B57" s="3" t="inlineStr">
        <is>
          <t>15-06-2026</t>
        </is>
      </c>
      <c r="C57" s="3" t="inlineStr">
        <is>
          <t>Blau</t>
        </is>
      </c>
      <c r="D57" s="3" t="inlineStr">
        <is>
          <t>129238</t>
        </is>
      </c>
      <c r="E57" s="4" t="inlineStr">
        <is>
          <t>RS Mondial SEL</t>
        </is>
      </c>
      <c r="F57" s="4" t="inlineStr">
        <is>
          <t>Excellence</t>
        </is>
      </c>
      <c r="G57" s="4" t="inlineStr">
        <is>
          <t>COLOR Blanco · ALTURA 60 cm · BOTÓN MINIMO 6 cm</t>
        </is>
      </c>
      <c r="H57" s="3" t="inlineStr"/>
      <c r="I57" s="3" t="n">
        <v>25</v>
      </c>
      <c r="J57" s="3" t="inlineStr">
        <is>
          <t>25 шт.</t>
        </is>
      </c>
      <c r="K57" s="4">
        <f>IMAGE("https://cdn.verdnatura.es/image/catalog/1600x900/129238")</f>
        <v/>
      </c>
      <c r="L57" s="5" t="n"/>
      <c r="M57" s="6" t="n"/>
      <c r="N57" s="7" t="n"/>
      <c r="O57" s="8" t="n">
        <v>0.6</v>
      </c>
      <c r="P57" s="8" t="n">
        <v>15</v>
      </c>
    </row>
    <row r="58" ht="26" customHeight="1">
      <c r="A58" s="2" t="inlineStr">
        <is>
          <t>📦  Накладная #12980721  ·  17-06-2026  ·  Blau  ·  12 позиций  ·  bultos: 2</t>
        </is>
      </c>
    </row>
    <row r="59" ht="110" customHeight="1">
      <c r="A59" s="3" t="inlineStr">
        <is>
          <t>12980721</t>
        </is>
      </c>
      <c r="B59" s="3" t="inlineStr">
        <is>
          <t>17-06-2026</t>
        </is>
      </c>
      <c r="C59" s="3" t="inlineStr">
        <is>
          <t>Blau</t>
        </is>
      </c>
      <c r="D59" s="3" t="inlineStr">
        <is>
          <t>36543</t>
        </is>
      </c>
      <c r="E59" s="4" t="inlineStr">
        <is>
          <t>Bupleurum Rotundifolia</t>
        </is>
      </c>
      <c r="F59" s="4" t="inlineStr">
        <is>
          <t>Lockhiel - Summerflora</t>
        </is>
      </c>
      <c r="G59" s="4" t="inlineStr">
        <is>
          <t>COLOR Verde · ALTURA 60 cm</t>
        </is>
      </c>
      <c r="H59" s="3" t="inlineStr">
        <is>
          <t>Tallo</t>
        </is>
      </c>
      <c r="I59" s="3" t="n">
        <v>50</v>
      </c>
      <c r="J59" s="3" t="inlineStr">
        <is>
          <t>50 стеблей</t>
        </is>
      </c>
      <c r="K59" s="4">
        <f>IMAGE("https://cdn.verdnatura.es/image/catalog/1600x900/36543")</f>
        <v/>
      </c>
      <c r="L59" s="5" t="n"/>
      <c r="M59" s="6" t="n"/>
      <c r="N59" s="7" t="n"/>
      <c r="O59" s="8" t="n">
        <v>0.21</v>
      </c>
      <c r="P59" s="8" t="n">
        <v>10.5</v>
      </c>
    </row>
    <row r="60" ht="110" customHeight="1">
      <c r="A60" s="3" t="inlineStr">
        <is>
          <t>12980721</t>
        </is>
      </c>
      <c r="B60" s="3" t="inlineStr">
        <is>
          <t>17-06-2026</t>
        </is>
      </c>
      <c r="C60" s="3" t="inlineStr">
        <is>
          <t>Blau</t>
        </is>
      </c>
      <c r="D60" s="3" t="inlineStr">
        <is>
          <t>143755</t>
        </is>
      </c>
      <c r="E60" s="4" t="inlineStr">
        <is>
          <t>HYD White SEL</t>
        </is>
      </c>
      <c r="F60" s="4" t="inlineStr">
        <is>
          <t>Eden Flowers</t>
        </is>
      </c>
      <c r="G60" s="4" t="inlineStr">
        <is>
          <t>COLOR Blanco · ALTURA 60 cm · DIAMETRO 15 cm</t>
        </is>
      </c>
      <c r="H60" s="3" t="inlineStr"/>
      <c r="I60" s="3" t="n">
        <v>20</v>
      </c>
      <c r="J60" s="3" t="inlineStr">
        <is>
          <t>20 шт.</t>
        </is>
      </c>
      <c r="K60" s="4">
        <f>IMAGE("https://cdn.verdnatura.es/image/catalog/1600x900/143755")</f>
        <v/>
      </c>
      <c r="L60" s="5" t="n"/>
      <c r="M60" s="6" t="n"/>
      <c r="N60" s="7" t="n"/>
      <c r="O60" s="8" t="n">
        <v>0.82</v>
      </c>
      <c r="P60" s="8" t="n">
        <v>16.4</v>
      </c>
    </row>
    <row r="61" ht="110" customHeight="1">
      <c r="A61" s="3" t="inlineStr">
        <is>
          <t>12980721</t>
        </is>
      </c>
      <c r="B61" s="3" t="inlineStr">
        <is>
          <t>17-06-2026</t>
        </is>
      </c>
      <c r="C61" s="3" t="inlineStr">
        <is>
          <t>Blau</t>
        </is>
      </c>
      <c r="D61" s="3" t="inlineStr">
        <is>
          <t>56376</t>
        </is>
      </c>
      <c r="E61" s="4" t="inlineStr">
        <is>
          <t>Hyp Coco Uno</t>
        </is>
      </c>
      <c r="F61" s="4" t="inlineStr"/>
      <c r="G61" s="4" t="inlineStr">
        <is>
          <t>COLOR Blanco · ALTURA 40 cm</t>
        </is>
      </c>
      <c r="H61" s="3" t="inlineStr">
        <is>
          <t>Tallo</t>
        </is>
      </c>
      <c r="I61" s="3" t="n">
        <v>20</v>
      </c>
      <c r="J61" s="3" t="inlineStr">
        <is>
          <t>20 стеблей</t>
        </is>
      </c>
      <c r="K61" s="4">
        <f>IMAGE("https://cdn.verdnatura.es/image/catalog/1600x900/56376")</f>
        <v/>
      </c>
      <c r="L61" s="5" t="n"/>
      <c r="M61" s="6" t="n"/>
      <c r="N61" s="7" t="n"/>
      <c r="O61" s="8" t="n">
        <v>0.32</v>
      </c>
      <c r="P61" s="8" t="n">
        <v>6.4</v>
      </c>
    </row>
    <row r="62" ht="110" customHeight="1">
      <c r="A62" s="3" t="inlineStr">
        <is>
          <t>12980721</t>
        </is>
      </c>
      <c r="B62" s="3" t="inlineStr">
        <is>
          <t>17-06-2026</t>
        </is>
      </c>
      <c r="C62" s="3" t="inlineStr">
        <is>
          <t>Blau</t>
        </is>
      </c>
      <c r="D62" s="3" t="inlineStr">
        <is>
          <t>152750</t>
        </is>
      </c>
      <c r="E62" s="4" t="inlineStr">
        <is>
          <t>Lisianthus Doble Alissa Pure W</t>
        </is>
      </c>
      <c r="F62" s="4" t="inlineStr"/>
      <c r="G62" s="4" t="inlineStr">
        <is>
          <t>COLOR Blanco · ALTURA 70 cm · Nº FLORES 5</t>
        </is>
      </c>
      <c r="H62" s="3" t="inlineStr"/>
      <c r="I62" s="3" t="n">
        <v>20</v>
      </c>
      <c r="J62" s="3" t="inlineStr">
        <is>
          <t>20 шт.</t>
        </is>
      </c>
      <c r="K62" s="4">
        <f>IMAGE("https://cdn.verdnatura.es/image/catalog/1600x900/152750")</f>
        <v/>
      </c>
      <c r="L62" s="5" t="n"/>
      <c r="M62" s="6" t="n"/>
      <c r="N62" s="7" t="n"/>
      <c r="O62" s="8" t="n">
        <v>1</v>
      </c>
      <c r="P62" s="8" t="n">
        <v>20</v>
      </c>
    </row>
    <row r="63" ht="110" customHeight="1">
      <c r="A63" s="3" t="inlineStr">
        <is>
          <t>12980721</t>
        </is>
      </c>
      <c r="B63" s="3" t="inlineStr">
        <is>
          <t>17-06-2026</t>
        </is>
      </c>
      <c r="C63" s="3" t="inlineStr">
        <is>
          <t>Blau</t>
        </is>
      </c>
      <c r="D63" s="3" t="inlineStr">
        <is>
          <t>147335</t>
        </is>
      </c>
      <c r="E63" s="4" t="inlineStr">
        <is>
          <t>Lisianthus Doble Lisanne Light</t>
        </is>
      </c>
      <c r="F63" s="4" t="inlineStr">
        <is>
          <t>LIS</t>
        </is>
      </c>
      <c r="G63" s="4" t="inlineStr">
        <is>
          <t>COLOR Rosa Claro · ALTURA 70 cm · Nº FLORES 5</t>
        </is>
      </c>
      <c r="H63" s="3" t="inlineStr"/>
      <c r="I63" s="3" t="n">
        <v>20</v>
      </c>
      <c r="J63" s="3" t="inlineStr">
        <is>
          <t>20 шт.</t>
        </is>
      </c>
      <c r="K63" s="4">
        <f>IMAGE("https://cdn.verdnatura.es/image/catalog/1600x900/147335")</f>
        <v/>
      </c>
      <c r="L63" s="5" t="n"/>
      <c r="M63" s="6" t="n"/>
      <c r="N63" s="7" t="n"/>
      <c r="O63" s="8" t="n">
        <v>0.87</v>
      </c>
      <c r="P63" s="8" t="n">
        <v>17.4</v>
      </c>
    </row>
    <row r="64" ht="110" customHeight="1">
      <c r="A64" s="3" t="inlineStr">
        <is>
          <t>12980721</t>
        </is>
      </c>
      <c r="B64" s="3" t="inlineStr">
        <is>
          <t>17-06-2026</t>
        </is>
      </c>
      <c r="C64" s="3" t="inlineStr">
        <is>
          <t>Blau</t>
        </is>
      </c>
      <c r="D64" s="3" t="inlineStr">
        <is>
          <t>136619</t>
        </is>
      </c>
      <c r="E64" s="4" t="inlineStr">
        <is>
          <t>RS Explorer PRE</t>
        </is>
      </c>
      <c r="F64" s="4" t="inlineStr">
        <is>
          <t>Santa Dorotea</t>
        </is>
      </c>
      <c r="G64" s="4" t="inlineStr">
        <is>
          <t>COLOR Rojo · ALTURA 70 cm · BOTÓN MINIMO 6.5 cm</t>
        </is>
      </c>
      <c r="H64" s="3" t="inlineStr"/>
      <c r="I64" s="3" t="n">
        <v>50</v>
      </c>
      <c r="J64" s="3" t="inlineStr">
        <is>
          <t>50 шт.</t>
        </is>
      </c>
      <c r="K64" s="4">
        <f>IMAGE("https://cdn.verdnatura.es/image/catalog/1600x900/136619")</f>
        <v/>
      </c>
      <c r="L64" s="5" t="n"/>
      <c r="M64" s="6" t="n"/>
      <c r="N64" s="7" t="n"/>
      <c r="O64" s="8" t="n">
        <v>0.84</v>
      </c>
      <c r="P64" s="8" t="n">
        <v>42</v>
      </c>
    </row>
    <row r="65" ht="110" customHeight="1">
      <c r="A65" s="3" t="inlineStr">
        <is>
          <t>12980721</t>
        </is>
      </c>
      <c r="B65" s="3" t="inlineStr">
        <is>
          <t>17-06-2026</t>
        </is>
      </c>
      <c r="C65" s="3" t="inlineStr">
        <is>
          <t>Blau</t>
        </is>
      </c>
      <c r="D65" s="3" t="inlineStr">
        <is>
          <t>177163</t>
        </is>
      </c>
      <c r="E65" s="4" t="inlineStr">
        <is>
          <t>RS Pink Mondial EXT</t>
        </is>
      </c>
      <c r="F65" s="4" t="inlineStr">
        <is>
          <t>Ecuador</t>
        </is>
      </c>
      <c r="G65" s="4" t="inlineStr">
        <is>
          <t>COLOR Rosa Claro · ALTURA 50 cm · BOTÓN MINIMO 5.5 cm</t>
        </is>
      </c>
      <c r="H65" s="3" t="inlineStr"/>
      <c r="I65" s="3" t="n">
        <v>50</v>
      </c>
      <c r="J65" s="3" t="inlineStr">
        <is>
          <t>50 шт.</t>
        </is>
      </c>
      <c r="K65" s="4">
        <f>IMAGE("https://cdn.verdnatura.es/image/catalog/1600x900/177163")</f>
        <v/>
      </c>
      <c r="L65" s="5" t="n"/>
      <c r="M65" s="6" t="n"/>
      <c r="N65" s="7" t="n"/>
      <c r="O65" s="8" t="n">
        <v>0.51</v>
      </c>
      <c r="P65" s="8" t="n">
        <v>25.5</v>
      </c>
    </row>
    <row r="66" ht="110" customHeight="1">
      <c r="A66" s="3" t="inlineStr">
        <is>
          <t>12980721</t>
        </is>
      </c>
      <c r="B66" s="3" t="inlineStr">
        <is>
          <t>17-06-2026</t>
        </is>
      </c>
      <c r="C66" s="3" t="inlineStr">
        <is>
          <t>Blau</t>
        </is>
      </c>
      <c r="D66" s="3" t="inlineStr">
        <is>
          <t>201867</t>
        </is>
      </c>
      <c r="E66" s="4" t="inlineStr">
        <is>
          <t>RSR Royal Blush Charm Jardín</t>
        </is>
      </c>
      <c r="F66" s="4" t="inlineStr">
        <is>
          <t>Paul v.d. Hulst Rkw. BV</t>
        </is>
      </c>
      <c r="G66" s="4" t="inlineStr">
        <is>
          <t>COLOR Rosa · ALTURA 70 cm · TAMAÑO BOTON Grande</t>
        </is>
      </c>
      <c r="H66" s="3" t="inlineStr"/>
      <c r="I66" s="3" t="n">
        <v>20</v>
      </c>
      <c r="J66" s="3" t="inlineStr">
        <is>
          <t>20 шт.</t>
        </is>
      </c>
      <c r="K66" s="4">
        <f>IMAGE("https://cdn.verdnatura.es/image/catalog/1600x900/201867")</f>
        <v/>
      </c>
      <c r="L66" s="5" t="n"/>
      <c r="M66" s="6" t="n"/>
      <c r="N66" s="7" t="n"/>
      <c r="O66" s="8" t="n">
        <v>1.74</v>
      </c>
      <c r="P66" s="8" t="n">
        <v>34.8</v>
      </c>
    </row>
    <row r="67" ht="110" customHeight="1">
      <c r="A67" s="3" t="inlineStr">
        <is>
          <t>12980721</t>
        </is>
      </c>
      <c r="B67" s="3" t="inlineStr">
        <is>
          <t>17-06-2026</t>
        </is>
      </c>
      <c r="C67" s="3" t="inlineStr">
        <is>
          <t>Blau</t>
        </is>
      </c>
      <c r="D67" s="3" t="inlineStr">
        <is>
          <t>185413</t>
        </is>
      </c>
      <c r="E67" s="4" t="inlineStr">
        <is>
          <t>RSR Vanessa</t>
        </is>
      </c>
      <c r="F67" s="4" t="inlineStr">
        <is>
          <t>Braam Roses</t>
        </is>
      </c>
      <c r="G67" s="4" t="inlineStr">
        <is>
          <t>COLOR Blanco/Rosa · ALTURA 50 cm · TAMAÑO BOTON Mediano</t>
        </is>
      </c>
      <c r="H67" s="3" t="inlineStr"/>
      <c r="I67" s="3" t="n">
        <v>30</v>
      </c>
      <c r="J67" s="3" t="inlineStr">
        <is>
          <t>30 шт.</t>
        </is>
      </c>
      <c r="K67" s="4">
        <f>IMAGE("https://cdn.verdnatura.es/image/catalog/1600x900/185413")</f>
        <v/>
      </c>
      <c r="L67" s="5" t="n"/>
      <c r="M67" s="6" t="n"/>
      <c r="N67" s="7" t="n"/>
      <c r="O67" s="8" t="n">
        <v>0.45</v>
      </c>
      <c r="P67" s="8" t="n">
        <v>13.5</v>
      </c>
    </row>
    <row r="68" ht="110" customHeight="1">
      <c r="A68" s="3" t="inlineStr">
        <is>
          <t>12980721</t>
        </is>
      </c>
      <c r="B68" s="3" t="inlineStr">
        <is>
          <t>17-06-2026</t>
        </is>
      </c>
      <c r="C68" s="3" t="inlineStr">
        <is>
          <t>Blau</t>
        </is>
      </c>
      <c r="D68" s="3" t="inlineStr">
        <is>
          <t>33</t>
        </is>
      </c>
      <c r="E68" s="4" t="inlineStr">
        <is>
          <t>TUL Marit</t>
        </is>
      </c>
      <c r="F68" s="4" t="inlineStr"/>
      <c r="G68" s="4" t="inlineStr">
        <is>
          <t>COLOR Amarillo/Naranja · ALTURA 42 cm · PESO/TALLO 55 gr</t>
        </is>
      </c>
      <c r="H68" s="3" t="inlineStr"/>
      <c r="I68" s="3" t="n">
        <v>50</v>
      </c>
      <c r="J68" s="3" t="inlineStr">
        <is>
          <t>50 шт.</t>
        </is>
      </c>
      <c r="K68" s="4">
        <f>IMAGE("https://cdn.verdnatura.es/image/catalog/1600x900/33")</f>
        <v/>
      </c>
      <c r="L68" s="5" t="n"/>
      <c r="M68" s="6" t="n"/>
      <c r="N68" s="7" t="n"/>
      <c r="O68" s="8" t="n">
        <v>0.68</v>
      </c>
      <c r="P68" s="8" t="n">
        <v>34</v>
      </c>
    </row>
    <row r="69" ht="110" customHeight="1">
      <c r="A69" s="3" t="inlineStr">
        <is>
          <t>12980721</t>
        </is>
      </c>
      <c r="B69" s="3" t="inlineStr">
        <is>
          <t>17-06-2026</t>
        </is>
      </c>
      <c r="C69" s="3" t="inlineStr">
        <is>
          <t>Blau</t>
        </is>
      </c>
      <c r="D69" s="3" t="inlineStr">
        <is>
          <t>132195</t>
        </is>
      </c>
      <c r="E69" s="4" t="inlineStr">
        <is>
          <t>TUL Supermodel</t>
        </is>
      </c>
      <c r="F69" s="4" t="inlineStr"/>
      <c r="G69" s="4" t="inlineStr">
        <is>
          <t>COLOR Rosa Claro · ALTURA 34 cm · PESO/TALLO 22 gr</t>
        </is>
      </c>
      <c r="H69" s="3" t="inlineStr"/>
      <c r="I69" s="3" t="n">
        <v>50</v>
      </c>
      <c r="J69" s="3" t="inlineStr">
        <is>
          <t>50 шт.</t>
        </is>
      </c>
      <c r="K69" s="4">
        <f>IMAGE("https://cdn.verdnatura.es/image/catalog/1600x900/132195")</f>
        <v/>
      </c>
      <c r="L69" s="5" t="n"/>
      <c r="M69" s="6" t="n"/>
      <c r="N69" s="7" t="n"/>
      <c r="O69" s="8" t="n">
        <v>0.48</v>
      </c>
      <c r="P69" s="8" t="n">
        <v>24</v>
      </c>
    </row>
    <row r="70" ht="110" customHeight="1">
      <c r="A70" s="3" t="inlineStr">
        <is>
          <t>12980721</t>
        </is>
      </c>
      <c r="B70" s="3" t="inlineStr">
        <is>
          <t>17-06-2026</t>
        </is>
      </c>
      <c r="C70" s="3" t="inlineStr">
        <is>
          <t>Blau</t>
        </is>
      </c>
      <c r="D70" s="3" t="inlineStr">
        <is>
          <t>123078</t>
        </is>
      </c>
      <c r="E70" s="4" t="inlineStr">
        <is>
          <t>VERO Smart Wave</t>
        </is>
      </c>
      <c r="F70" s="4" t="inlineStr"/>
      <c r="G70" s="4" t="inlineStr">
        <is>
          <t>COLOR Blanco · ALTURA 60 cm</t>
        </is>
      </c>
      <c r="H70" s="3" t="inlineStr"/>
      <c r="I70" s="3" t="n">
        <v>20</v>
      </c>
      <c r="J70" s="3" t="inlineStr">
        <is>
          <t>20 шт.</t>
        </is>
      </c>
      <c r="K70" s="4">
        <f>IMAGE("https://cdn.verdnatura.es/image/catalog/1600x900/123078")</f>
        <v/>
      </c>
      <c r="L70" s="5" t="n"/>
      <c r="M70" s="6" t="n"/>
      <c r="N70" s="7" t="n"/>
      <c r="O70" s="8" t="n">
        <v>0.5</v>
      </c>
      <c r="P70" s="8" t="n">
        <v>10</v>
      </c>
    </row>
  </sheetData>
  <mergeCells count="4">
    <mergeCell ref="A58:P58"/>
    <mergeCell ref="A38:P38"/>
    <mergeCell ref="A41:P4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2026-06-22T21:39:08Z</dcterms:created>
  <dcterms:modified xmlns:dcterms="http://purl.org/dc/terms/" xmlns:xsi="http://www.w3.org/2001/XMLSchema-instance" xsi:type="dcterms:W3CDTF">2026-06-22T21:39:08Z</dcterms:modified>
</cp:coreProperties>
</file>