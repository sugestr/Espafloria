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z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 €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6B4423"/>
      <sz val="12"/>
    </font>
    <font>
      <name val="Calibri"/>
      <b val="1"/>
      <color rgb="00C00000"/>
      <sz val="18"/>
    </font>
    <font>
      <name val="Calibri"/>
      <b val="1"/>
      <color rgb="000070C0"/>
      <sz val="18"/>
    </font>
  </fonts>
  <fills count="5">
    <fill>
      <patternFill/>
    </fill>
    <fill>
      <patternFill patternType="gray125"/>
    </fill>
    <fill>
      <patternFill patternType="solid">
        <fgColor rgb="002C5282"/>
        <bgColor rgb="002C5282"/>
      </patternFill>
    </fill>
    <fill>
      <patternFill patternType="solid">
        <fgColor rgb="00FFE4B5"/>
        <bgColor rgb="00FFE4B5"/>
      </patternFill>
    </fill>
    <fill>
      <patternFill patternType="solid">
        <fgColor rgb="00E6F4EA"/>
        <bgColor rgb="00E6F4EA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inden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1" customWidth="1" min="1" max="1"/>
    <col hidden="1" width="9" customWidth="1" min="2" max="2"/>
    <col hidden="1" width="8" customWidth="1" min="3" max="3"/>
    <col width="9" customWidth="1" min="4" max="4"/>
    <col width="22" customWidth="1" min="5" max="5"/>
    <col hidden="1" width="18" customWidth="1" min="6" max="6"/>
    <col width="22" customWidth="1" min="7" max="7"/>
    <col hidden="1" width="10" customWidth="1" min="8" max="8"/>
    <col width="9" customWidth="1" min="9" max="9"/>
    <col width="14" customWidth="1" min="10" max="10"/>
    <col width="20" customWidth="1" min="11" max="11"/>
    <col width="10" customWidth="1" min="12" max="12"/>
    <col width="10" customWidth="1" min="13" max="13"/>
    <col width="22" customWidth="1" min="14" max="14"/>
    <col hidden="1" width="9" customWidth="1" min="15" max="15"/>
    <col hidden="1" width="10" customWidth="1" min="16" max="16"/>
  </cols>
  <sheetData>
    <row r="1" ht="36" customHeight="1">
      <c r="A1" s="1" t="inlineStr">
        <is>
          <t>№ накладной</t>
        </is>
      </c>
      <c r="B1" s="1" t="inlineStr">
        <is>
          <t>Дата</t>
        </is>
      </c>
      <c r="C1" s="1" t="inlineStr">
        <is>
          <t>Магазин</t>
        </is>
      </c>
      <c r="D1" s="1" t="inlineStr">
        <is>
          <t>Codigo</t>
        </is>
      </c>
      <c r="E1" s="1" t="inlineStr">
        <is>
          <t>Concepto</t>
        </is>
      </c>
      <c r="F1" s="1" t="inlineStr">
        <is>
          <t>Productor</t>
        </is>
      </c>
      <c r="G1" s="1" t="inlineStr">
        <is>
          <t>Атрибуты</t>
        </is>
      </c>
      <c r="H1" s="1" t="inlineStr">
        <is>
          <t>UD. VENTA</t>
        </is>
      </c>
      <c r="I1" s="1" t="inlineStr">
        <is>
          <t>Заявлено</t>
        </is>
      </c>
      <c r="J1" s="1" t="inlineStr">
        <is>
          <t>Подсказка</t>
        </is>
      </c>
      <c r="K1" s="1" t="inlineStr">
        <is>
          <t>Фото</t>
        </is>
      </c>
      <c r="L1" s="1" t="inlineStr">
        <is>
          <t>Принято
пачек</t>
        </is>
      </c>
      <c r="M1" s="1" t="inlineStr">
        <is>
          <t>Принято
штук</t>
        </is>
      </c>
      <c r="N1" s="1" t="inlineStr">
        <is>
          <t>Комментарий
флориста</t>
        </is>
      </c>
      <c r="O1" s="1" t="inlineStr">
        <is>
          <t>PVP/u, €</t>
        </is>
      </c>
      <c r="P1" s="1" t="inlineStr">
        <is>
          <t>Importe, €</t>
        </is>
      </c>
    </row>
    <row r="2" ht="26" customHeight="1">
      <c r="A2" s="2" t="inlineStr">
        <is>
          <t>📦  Накладная #12949588  ·  15-06-2026  ·  Plaza  ·  1 позиций  ·  bultos: 1</t>
        </is>
      </c>
    </row>
    <row r="3" ht="110" customHeight="1">
      <c r="A3" s="3" t="inlineStr">
        <is>
          <t>12949588</t>
        </is>
      </c>
      <c r="B3" s="3" t="inlineStr">
        <is>
          <t>15-06-2026</t>
        </is>
      </c>
      <c r="C3" s="3" t="inlineStr">
        <is>
          <t>Plaza</t>
        </is>
      </c>
      <c r="D3" s="3" t="inlineStr">
        <is>
          <t>203992</t>
        </is>
      </c>
      <c r="E3" s="4" t="inlineStr">
        <is>
          <t>Set de 4 Macetas Medallon Cóni</t>
        </is>
      </c>
      <c r="F3" s="4" t="inlineStr">
        <is>
          <t>Mega Ceramics</t>
        </is>
      </c>
      <c r="G3" s="4" t="inlineStr">
        <is>
          <t>ALTURA 38 cm · DIAMETRO 41 cm · DIAMETRO BOCA 37 cm</t>
        </is>
      </c>
      <c r="H3" s="3" t="inlineStr"/>
      <c r="I3" s="3" t="n">
        <v>1</v>
      </c>
      <c r="J3" s="3" t="inlineStr">
        <is>
          <t>1 шт.</t>
        </is>
      </c>
      <c r="K3" s="4">
        <f>IMAGE("https://cdn.verdnatura.es/image/catalog/1600x900/203992")</f>
        <v/>
      </c>
      <c r="L3" s="5" t="n"/>
      <c r="M3" s="6" t="n"/>
      <c r="N3" s="7" t="n"/>
      <c r="O3" s="8" t="n">
        <v>48.87</v>
      </c>
      <c r="P3" s="8" t="n">
        <v>48.87</v>
      </c>
    </row>
    <row r="4" ht="26" customHeight="1">
      <c r="A4" s="2" t="inlineStr">
        <is>
          <t>📦  Накладная #12965106  ·  15-06-2026  ·  Plaza  ·  16 позиций  ·  bultos: 3</t>
        </is>
      </c>
    </row>
    <row r="5" ht="110" customHeight="1">
      <c r="A5" s="3" t="inlineStr">
        <is>
          <t>12965106</t>
        </is>
      </c>
      <c r="B5" s="3" t="inlineStr">
        <is>
          <t>15-06-2026</t>
        </is>
      </c>
      <c r="C5" s="3" t="inlineStr">
        <is>
          <t>Plaza</t>
        </is>
      </c>
      <c r="D5" s="3" t="inlineStr">
        <is>
          <t>198749</t>
        </is>
      </c>
      <c r="E5" s="4" t="inlineStr">
        <is>
          <t>CR Altaj Galaxy</t>
        </is>
      </c>
      <c r="F5" s="4" t="inlineStr">
        <is>
          <t>Zentoo</t>
        </is>
      </c>
      <c r="G5" s="4" t="inlineStr">
        <is>
          <t>COLOR Purpura/Rosa · ALTURA 70 cm · PESO/TALLO 105 gr</t>
        </is>
      </c>
      <c r="H5" s="3" t="inlineStr"/>
      <c r="I5" s="3" t="n">
        <v>20</v>
      </c>
      <c r="J5" s="3" t="inlineStr">
        <is>
          <t>20 шт.</t>
        </is>
      </c>
      <c r="K5" s="4">
        <f>IMAGE("https://cdn.verdnatura.es/image/catalog/1600x900/198749")</f>
        <v/>
      </c>
      <c r="L5" s="5" t="n"/>
      <c r="M5" s="6" t="n"/>
      <c r="N5" s="7" t="n"/>
      <c r="O5" s="8" t="n">
        <v>0.87</v>
      </c>
      <c r="P5" s="8" t="n">
        <v>17.4</v>
      </c>
    </row>
    <row r="6" ht="110" customHeight="1">
      <c r="A6" s="3" t="inlineStr">
        <is>
          <t>12965106</t>
        </is>
      </c>
      <c r="B6" s="3" t="inlineStr">
        <is>
          <t>15-06-2026</t>
        </is>
      </c>
      <c r="C6" s="3" t="inlineStr">
        <is>
          <t>Plaza</t>
        </is>
      </c>
      <c r="D6" s="3" t="inlineStr">
        <is>
          <t>204436</t>
        </is>
      </c>
      <c r="E6" s="4" t="inlineStr">
        <is>
          <t>CR Altaj Red</t>
        </is>
      </c>
      <c r="F6" s="4" t="inlineStr">
        <is>
          <t>Zentoo</t>
        </is>
      </c>
      <c r="G6" s="4" t="inlineStr">
        <is>
          <t>COLOR Rojo · ALTURA 70 cm · PESO/TALLO 60 gr</t>
        </is>
      </c>
      <c r="H6" s="3" t="inlineStr"/>
      <c r="I6" s="3" t="n">
        <v>20</v>
      </c>
      <c r="J6" s="3" t="inlineStr">
        <is>
          <t>20 шт.</t>
        </is>
      </c>
      <c r="K6" s="4">
        <f>IMAGE("https://cdn.verdnatura.es/image/catalog/1600x900/204436")</f>
        <v/>
      </c>
      <c r="L6" s="5" t="n"/>
      <c r="M6" s="6" t="n"/>
      <c r="N6" s="7" t="n"/>
      <c r="O6" s="8" t="n">
        <v>0.87</v>
      </c>
      <c r="P6" s="8" t="n">
        <v>17.4</v>
      </c>
    </row>
    <row r="7" ht="110" customHeight="1">
      <c r="A7" s="3" t="inlineStr">
        <is>
          <t>12965106</t>
        </is>
      </c>
      <c r="B7" s="3" t="inlineStr">
        <is>
          <t>15-06-2026</t>
        </is>
      </c>
      <c r="C7" s="3" t="inlineStr">
        <is>
          <t>Plaza</t>
        </is>
      </c>
      <c r="D7" s="3" t="inlineStr">
        <is>
          <t>198746</t>
        </is>
      </c>
      <c r="E7" s="4" t="inlineStr">
        <is>
          <t>CR Altaj Soft Pink</t>
        </is>
      </c>
      <c r="F7" s="4" t="inlineStr">
        <is>
          <t>Zentoo</t>
        </is>
      </c>
      <c r="G7" s="4" t="inlineStr">
        <is>
          <t>COLOR Rosa Claro · ALTURA 70 cm</t>
        </is>
      </c>
      <c r="H7" s="3" t="inlineStr"/>
      <c r="I7" s="3" t="n">
        <v>20</v>
      </c>
      <c r="J7" s="3" t="inlineStr">
        <is>
          <t>20 шт.</t>
        </is>
      </c>
      <c r="K7" s="4">
        <f>IMAGE("https://cdn.verdnatura.es/image/catalog/1600x900/198746")</f>
        <v/>
      </c>
      <c r="L7" s="5" t="n"/>
      <c r="M7" s="6" t="n"/>
      <c r="N7" s="7" t="n"/>
      <c r="O7" s="8" t="n">
        <v>0.87</v>
      </c>
      <c r="P7" s="8" t="n">
        <v>17.4</v>
      </c>
    </row>
    <row r="8" ht="110" customHeight="1">
      <c r="A8" s="3" t="inlineStr">
        <is>
          <t>12965106</t>
        </is>
      </c>
      <c r="B8" s="3" t="inlineStr">
        <is>
          <t>15-06-2026</t>
        </is>
      </c>
      <c r="C8" s="3" t="inlineStr">
        <is>
          <t>Plaza</t>
        </is>
      </c>
      <c r="D8" s="3" t="inlineStr">
        <is>
          <t>205798</t>
        </is>
      </c>
      <c r="E8" s="4" t="inlineStr">
        <is>
          <t>CR Pastela Pink</t>
        </is>
      </c>
      <c r="F8" s="4" t="inlineStr">
        <is>
          <t>Van Helvoort Company</t>
        </is>
      </c>
      <c r="G8" s="4" t="inlineStr">
        <is>
          <t>COLOR Rosa Claro · ALTURA 70 cm · PESO/PAQUETE 80 gr</t>
        </is>
      </c>
      <c r="H8" s="3" t="inlineStr"/>
      <c r="I8" s="3" t="n">
        <v>20</v>
      </c>
      <c r="J8" s="3" t="inlineStr">
        <is>
          <t>20 шт.</t>
        </is>
      </c>
      <c r="K8" s="4">
        <f>IMAGE("https://cdn.verdnatura.es/image/catalog/1600x900/205798")</f>
        <v/>
      </c>
      <c r="L8" s="5" t="n"/>
      <c r="M8" s="6" t="n"/>
      <c r="N8" s="7" t="n"/>
      <c r="O8" s="8" t="n">
        <v>0.63</v>
      </c>
      <c r="P8" s="8" t="n">
        <v>12.6</v>
      </c>
    </row>
    <row r="9" ht="110" customHeight="1">
      <c r="A9" s="3" t="inlineStr">
        <is>
          <t>12965106</t>
        </is>
      </c>
      <c r="B9" s="3" t="inlineStr">
        <is>
          <t>15-06-2026</t>
        </is>
      </c>
      <c r="C9" s="3" t="inlineStr">
        <is>
          <t>Plaza</t>
        </is>
      </c>
      <c r="D9" s="3" t="inlineStr">
        <is>
          <t>114770</t>
        </is>
      </c>
      <c r="E9" s="4" t="inlineStr">
        <is>
          <t>EUC Cinerea 300 gr</t>
        </is>
      </c>
      <c r="F9" s="4" t="inlineStr"/>
      <c r="G9" s="4" t="inlineStr">
        <is>
          <t>COLOR Lividum · ALTURA 70 cm</t>
        </is>
      </c>
      <c r="H9" s="3" t="inlineStr">
        <is>
          <t>Paquete</t>
        </is>
      </c>
      <c r="I9" s="3" t="n">
        <v>5</v>
      </c>
      <c r="J9" s="3" t="inlineStr">
        <is>
          <t>5 пачек</t>
        </is>
      </c>
      <c r="K9" s="4">
        <f>IMAGE("https://cdn.verdnatura.es/image/catalog/1600x900/114770")</f>
        <v/>
      </c>
      <c r="L9" s="5" t="n"/>
      <c r="M9" s="6" t="n"/>
      <c r="N9" s="7" t="n"/>
      <c r="O9" s="8" t="n">
        <v>3.67</v>
      </c>
      <c r="P9" s="8" t="n">
        <v>18.35</v>
      </c>
    </row>
    <row r="10" ht="110" customHeight="1">
      <c r="A10" s="3" t="inlineStr">
        <is>
          <t>12965106</t>
        </is>
      </c>
      <c r="B10" s="3" t="inlineStr">
        <is>
          <t>15-06-2026</t>
        </is>
      </c>
      <c r="C10" s="3" t="inlineStr">
        <is>
          <t>Plaza</t>
        </is>
      </c>
      <c r="D10" s="3" t="inlineStr">
        <is>
          <t>173971</t>
        </is>
      </c>
      <c r="E10" s="4" t="inlineStr">
        <is>
          <t>GRS Pink Ohara</t>
        </is>
      </c>
      <c r="F10" s="4" t="inlineStr">
        <is>
          <t>Bahati Premium Roses</t>
        </is>
      </c>
      <c r="G10" s="4" t="inlineStr">
        <is>
          <t>COLOR Rosa · ALTURA 60 cm · BOTÓN MINIMO 4.5 cm</t>
        </is>
      </c>
      <c r="H10" s="3" t="inlineStr"/>
      <c r="I10" s="3" t="n">
        <v>20</v>
      </c>
      <c r="J10" s="3" t="inlineStr">
        <is>
          <t>20 шт.</t>
        </is>
      </c>
      <c r="K10" s="4">
        <f>IMAGE("https://cdn.verdnatura.es/image/catalog/1600x900/173971")</f>
        <v/>
      </c>
      <c r="L10" s="5" t="n"/>
      <c r="M10" s="6" t="n"/>
      <c r="N10" s="7" t="n"/>
      <c r="O10" s="8" t="n">
        <v>0.9</v>
      </c>
      <c r="P10" s="8" t="n">
        <v>18</v>
      </c>
    </row>
    <row r="11" ht="110" customHeight="1">
      <c r="A11" s="3" t="inlineStr">
        <is>
          <t>12965106</t>
        </is>
      </c>
      <c r="B11" s="3" t="inlineStr">
        <is>
          <t>15-06-2026</t>
        </is>
      </c>
      <c r="C11" s="3" t="inlineStr">
        <is>
          <t>Plaza</t>
        </is>
      </c>
      <c r="D11" s="3" t="inlineStr">
        <is>
          <t>205982</t>
        </is>
      </c>
      <c r="E11" s="4" t="inlineStr">
        <is>
          <t>HYD Royal Amigo</t>
        </is>
      </c>
      <c r="F11" s="4" t="inlineStr"/>
      <c r="G11" s="4" t="inlineStr">
        <is>
          <t>COLOR Rosa/Verde · ALTURA 40 cm · DIAMETRO 12 cm</t>
        </is>
      </c>
      <c r="H11" s="3" t="inlineStr"/>
      <c r="I11" s="3" t="n">
        <v>20</v>
      </c>
      <c r="J11" s="3" t="inlineStr">
        <is>
          <t>20 шт.</t>
        </is>
      </c>
      <c r="K11" s="4">
        <f>IMAGE("https://cdn.verdnatura.es/image/catalog/1600x900/205982")</f>
        <v/>
      </c>
      <c r="L11" s="5" t="n"/>
      <c r="M11" s="6" t="n"/>
      <c r="N11" s="7" t="n"/>
      <c r="O11" s="8" t="n">
        <v>1.45</v>
      </c>
      <c r="P11" s="8" t="n">
        <v>29</v>
      </c>
    </row>
    <row r="12" ht="110" customHeight="1">
      <c r="A12" s="3" t="inlineStr">
        <is>
          <t>12965106</t>
        </is>
      </c>
      <c r="B12" s="3" t="inlineStr">
        <is>
          <t>15-06-2026</t>
        </is>
      </c>
      <c r="C12" s="3" t="inlineStr">
        <is>
          <t>Plaza</t>
        </is>
      </c>
      <c r="D12" s="3" t="inlineStr">
        <is>
          <t>145512</t>
        </is>
      </c>
      <c r="E12" s="4" t="inlineStr">
        <is>
          <t>Lisianthus Doble Lisanne Light</t>
        </is>
      </c>
      <c r="F12" s="4" t="inlineStr">
        <is>
          <t>Berglisianthus</t>
        </is>
      </c>
      <c r="G12" s="4" t="inlineStr">
        <is>
          <t>COLOR Rosa Claro · ALTURA 70 cm · Nº FLORES 5</t>
        </is>
      </c>
      <c r="H12" s="3" t="inlineStr"/>
      <c r="I12" s="3" t="n">
        <v>20</v>
      </c>
      <c r="J12" s="3" t="inlineStr">
        <is>
          <t>20 шт.</t>
        </is>
      </c>
      <c r="K12" s="4">
        <f>IMAGE("https://cdn.verdnatura.es/image/catalog/1600x900/145512")</f>
        <v/>
      </c>
      <c r="L12" s="5" t="n"/>
      <c r="M12" s="6" t="n"/>
      <c r="N12" s="7" t="n"/>
      <c r="O12" s="8" t="n">
        <v>0.87</v>
      </c>
      <c r="P12" s="8" t="n">
        <v>17.4</v>
      </c>
    </row>
    <row r="13" ht="110" customHeight="1">
      <c r="A13" s="3" t="inlineStr">
        <is>
          <t>12965106</t>
        </is>
      </c>
      <c r="B13" s="3" t="inlineStr">
        <is>
          <t>15-06-2026</t>
        </is>
      </c>
      <c r="C13" s="3" t="inlineStr">
        <is>
          <t>Plaza</t>
        </is>
      </c>
      <c r="D13" s="3" t="inlineStr">
        <is>
          <t>140940</t>
        </is>
      </c>
      <c r="E13" s="4" t="inlineStr">
        <is>
          <t>Lisianthus Doble Sabrina Orang</t>
        </is>
      </c>
      <c r="F13" s="4" t="inlineStr">
        <is>
          <t>LIS</t>
        </is>
      </c>
      <c r="G13" s="4" t="inlineStr">
        <is>
          <t>COLOR Rosa/Naranja · ALTURA 70 cm · Nº FLORES 5</t>
        </is>
      </c>
      <c r="H13" s="3" t="inlineStr"/>
      <c r="I13" s="3" t="n">
        <v>10</v>
      </c>
      <c r="J13" s="3" t="inlineStr">
        <is>
          <t>10 шт.</t>
        </is>
      </c>
      <c r="K13" s="4">
        <f>IMAGE("https://cdn.verdnatura.es/image/catalog/1600x900/140940")</f>
        <v/>
      </c>
      <c r="L13" s="5" t="n"/>
      <c r="M13" s="6" t="n"/>
      <c r="N13" s="7" t="n"/>
      <c r="O13" s="8" t="n">
        <v>0.89</v>
      </c>
      <c r="P13" s="8" t="n">
        <v>8.9</v>
      </c>
    </row>
    <row r="14" ht="110" customHeight="1">
      <c r="A14" s="3" t="inlineStr">
        <is>
          <t>12965106</t>
        </is>
      </c>
      <c r="B14" s="3" t="inlineStr">
        <is>
          <t>15-06-2026</t>
        </is>
      </c>
      <c r="C14" s="3" t="inlineStr">
        <is>
          <t>Plaza</t>
        </is>
      </c>
      <c r="D14" s="3" t="inlineStr">
        <is>
          <t>163652</t>
        </is>
      </c>
      <c r="E14" s="4" t="inlineStr">
        <is>
          <t>LO Roselily Anouska (Premium)</t>
        </is>
      </c>
      <c r="F14" s="4" t="inlineStr">
        <is>
          <t>Dutch Lily Masters</t>
        </is>
      </c>
      <c r="G14" s="4" t="inlineStr">
        <is>
          <t>COLOR Blanco/Rosa · ALTURA 85 cm</t>
        </is>
      </c>
      <c r="H14" s="3" t="inlineStr"/>
      <c r="I14" s="3" t="n">
        <v>10</v>
      </c>
      <c r="J14" s="3" t="inlineStr">
        <is>
          <t>10 шт.</t>
        </is>
      </c>
      <c r="K14" s="4">
        <f>IMAGE("https://cdn.verdnatura.es/image/catalog/1600x900/163652")</f>
        <v/>
      </c>
      <c r="L14" s="5" t="n"/>
      <c r="M14" s="6" t="n"/>
      <c r="N14" s="7" t="n"/>
      <c r="O14" s="8" t="n">
        <v>1.98</v>
      </c>
      <c r="P14" s="8" t="n">
        <v>19.8</v>
      </c>
    </row>
    <row r="15" ht="110" customHeight="1">
      <c r="A15" s="3" t="inlineStr">
        <is>
          <t>12965106</t>
        </is>
      </c>
      <c r="B15" s="3" t="inlineStr">
        <is>
          <t>15-06-2026</t>
        </is>
      </c>
      <c r="C15" s="3" t="inlineStr">
        <is>
          <t>Plaza</t>
        </is>
      </c>
      <c r="D15" s="3" t="inlineStr">
        <is>
          <t>37365</t>
        </is>
      </c>
      <c r="E15" s="4" t="inlineStr">
        <is>
          <t>LO Roselily Isabella 4-5</t>
        </is>
      </c>
      <c r="F15" s="4" t="inlineStr">
        <is>
          <t>Decorum Moerman Lilium</t>
        </is>
      </c>
      <c r="G15" s="4" t="inlineStr">
        <is>
          <t>COLOR Rosa · ALTURA 95 cm · TAMAÑO BOTON 5-7</t>
        </is>
      </c>
      <c r="H15" s="3" t="inlineStr"/>
      <c r="I15" s="3" t="n">
        <v>10</v>
      </c>
      <c r="J15" s="3" t="inlineStr">
        <is>
          <t>10 шт.</t>
        </is>
      </c>
      <c r="K15" s="4">
        <f>IMAGE("https://cdn.verdnatura.es/image/catalog/1600x900/37365")</f>
        <v/>
      </c>
      <c r="L15" s="5" t="n"/>
      <c r="M15" s="6" t="n"/>
      <c r="N15" s="7" t="n"/>
      <c r="O15" s="8" t="n">
        <v>2.14</v>
      </c>
      <c r="P15" s="8" t="n">
        <v>21.4</v>
      </c>
    </row>
    <row r="16" ht="110" customHeight="1">
      <c r="A16" s="3" t="inlineStr">
        <is>
          <t>12965106</t>
        </is>
      </c>
      <c r="B16" s="3" t="inlineStr">
        <is>
          <t>15-06-2026</t>
        </is>
      </c>
      <c r="C16" s="3" t="inlineStr">
        <is>
          <t>Plaza</t>
        </is>
      </c>
      <c r="D16" s="3" t="inlineStr">
        <is>
          <t>191334</t>
        </is>
      </c>
      <c r="E16" s="4" t="inlineStr">
        <is>
          <t>RSR Rainbow</t>
        </is>
      </c>
      <c r="F16" s="4" t="inlineStr">
        <is>
          <t>Holla Roses BV</t>
        </is>
      </c>
      <c r="G16" s="4" t="inlineStr">
        <is>
          <t>COLOR Mixto · ALTURA 40 cm · TAMAÑO BOTON Pequeño</t>
        </is>
      </c>
      <c r="H16" s="3" t="inlineStr"/>
      <c r="I16" s="3" t="n">
        <v>60</v>
      </c>
      <c r="J16" s="3" t="inlineStr">
        <is>
          <t>60 шт.</t>
        </is>
      </c>
      <c r="K16" s="4">
        <f>IMAGE("https://cdn.verdnatura.es/image/catalog/1600x900/191334")</f>
        <v/>
      </c>
      <c r="L16" s="5" t="n"/>
      <c r="M16" s="6" t="n"/>
      <c r="N16" s="7" t="n"/>
      <c r="O16" s="8" t="n">
        <v>0.23</v>
      </c>
      <c r="P16" s="8" t="n">
        <v>13.8</v>
      </c>
    </row>
    <row r="17" ht="110" customHeight="1">
      <c r="A17" s="3" t="inlineStr">
        <is>
          <t>12965106</t>
        </is>
      </c>
      <c r="B17" s="3" t="inlineStr">
        <is>
          <t>15-06-2026</t>
        </is>
      </c>
      <c r="C17" s="3" t="inlineStr">
        <is>
          <t>Plaza</t>
        </is>
      </c>
      <c r="D17" s="3" t="inlineStr">
        <is>
          <t>159547</t>
        </is>
      </c>
      <c r="E17" s="4" t="inlineStr">
        <is>
          <t>Statice Celeste</t>
        </is>
      </c>
      <c r="F17" s="4" t="inlineStr">
        <is>
          <t>Santa Dorotea</t>
        </is>
      </c>
      <c r="G17" s="4" t="inlineStr">
        <is>
          <t>COLOR Lavanda · ALTURA 70 cm · PESO/TALLO 30 gr</t>
        </is>
      </c>
      <c r="H17" s="3" t="inlineStr"/>
      <c r="I17" s="3" t="n">
        <v>25</v>
      </c>
      <c r="J17" s="3" t="inlineStr">
        <is>
          <t>25 шт.</t>
        </is>
      </c>
      <c r="K17" s="4">
        <f>IMAGE("https://cdn.verdnatura.es/image/catalog/1600x900/159547")</f>
        <v/>
      </c>
      <c r="L17" s="5" t="n"/>
      <c r="M17" s="6" t="n"/>
      <c r="N17" s="7" t="n"/>
      <c r="O17" s="8" t="n">
        <v>0.31</v>
      </c>
      <c r="P17" s="8" t="n">
        <v>7.75</v>
      </c>
    </row>
    <row r="18" ht="110" customHeight="1">
      <c r="A18" s="3" t="inlineStr">
        <is>
          <t>12965106</t>
        </is>
      </c>
      <c r="B18" s="3" t="inlineStr">
        <is>
          <t>15-06-2026</t>
        </is>
      </c>
      <c r="C18" s="3" t="inlineStr">
        <is>
          <t>Plaza</t>
        </is>
      </c>
      <c r="D18" s="3" t="inlineStr">
        <is>
          <t>27908</t>
        </is>
      </c>
      <c r="E18" s="4" t="inlineStr">
        <is>
          <t>Statice Fucsia</t>
        </is>
      </c>
      <c r="F18" s="4" t="inlineStr">
        <is>
          <t>Santa Dorotea</t>
        </is>
      </c>
      <c r="G18" s="4" t="inlineStr">
        <is>
          <t>COLOR Fucsia · ALTURA 70 cm · PESO/TALLO 30 gr</t>
        </is>
      </c>
      <c r="H18" s="3" t="inlineStr"/>
      <c r="I18" s="3" t="n">
        <v>25</v>
      </c>
      <c r="J18" s="3" t="inlineStr">
        <is>
          <t>25 шт.</t>
        </is>
      </c>
      <c r="K18" s="4">
        <f>IMAGE("https://cdn.verdnatura.es/image/catalog/1600x900/27908")</f>
        <v/>
      </c>
      <c r="L18" s="5" t="n"/>
      <c r="M18" s="6" t="n"/>
      <c r="N18" s="7" t="n"/>
      <c r="O18" s="8" t="n">
        <v>0.31</v>
      </c>
      <c r="P18" s="8" t="n">
        <v>7.75</v>
      </c>
    </row>
    <row r="19" ht="110" customHeight="1">
      <c r="A19" s="3" t="inlineStr">
        <is>
          <t>12965106</t>
        </is>
      </c>
      <c r="B19" s="3" t="inlineStr">
        <is>
          <t>15-06-2026</t>
        </is>
      </c>
      <c r="C19" s="3" t="inlineStr">
        <is>
          <t>Plaza</t>
        </is>
      </c>
      <c r="D19" s="3" t="inlineStr">
        <is>
          <t>32751</t>
        </is>
      </c>
      <c r="E19" s="4" t="inlineStr">
        <is>
          <t>TUL Seadov</t>
        </is>
      </c>
      <c r="F19" s="4" t="inlineStr"/>
      <c r="G19" s="4" t="inlineStr">
        <is>
          <t>COLOR Rojo · ALTURA 37 cm · PESO/TALLO 28 gr</t>
        </is>
      </c>
      <c r="H19" s="3" t="inlineStr"/>
      <c r="I19" s="3" t="n">
        <v>100</v>
      </c>
      <c r="J19" s="3" t="inlineStr">
        <is>
          <t>100 шт.</t>
        </is>
      </c>
      <c r="K19" s="4">
        <f>IMAGE("https://cdn.verdnatura.es/image/catalog/1600x900/32751")</f>
        <v/>
      </c>
      <c r="L19" s="5" t="n"/>
      <c r="M19" s="6" t="n"/>
      <c r="N19" s="7" t="n"/>
      <c r="O19" s="8" t="n">
        <v>0.15</v>
      </c>
      <c r="P19" s="8" t="n">
        <v>15</v>
      </c>
    </row>
    <row r="20" ht="110" customHeight="1">
      <c r="A20" s="3" t="inlineStr">
        <is>
          <t>12965106</t>
        </is>
      </c>
      <c r="B20" s="3" t="inlineStr">
        <is>
          <t>15-06-2026</t>
        </is>
      </c>
      <c r="C20" s="3" t="inlineStr">
        <is>
          <t>Plaza</t>
        </is>
      </c>
      <c r="D20" s="3" t="inlineStr">
        <is>
          <t>132195</t>
        </is>
      </c>
      <c r="E20" s="4" t="inlineStr">
        <is>
          <t>TUL· Supermodel</t>
        </is>
      </c>
      <c r="F20" s="4" t="inlineStr"/>
      <c r="G20" s="4" t="inlineStr">
        <is>
          <t>COLOR Rosa Claro · ALTURA 34 cm · PESO/TALLO 22 gr</t>
        </is>
      </c>
      <c r="H20" s="3" t="inlineStr"/>
      <c r="I20" s="3" t="n">
        <v>50</v>
      </c>
      <c r="J20" s="3" t="inlineStr">
        <is>
          <t>50 шт.</t>
        </is>
      </c>
      <c r="K20" s="4">
        <f>IMAGE("https://cdn.verdnatura.es/image/catalog/1600x900/132195")</f>
        <v/>
      </c>
      <c r="L20" s="5" t="n"/>
      <c r="M20" s="6" t="n"/>
      <c r="N20" s="7" t="n"/>
      <c r="O20" s="8" t="n">
        <v>0.48</v>
      </c>
      <c r="P20" s="8" t="n">
        <v>24</v>
      </c>
    </row>
    <row r="21" ht="26" customHeight="1">
      <c r="A21" s="2" t="inlineStr">
        <is>
          <t>📦  Накладная #12965315  ·  15-06-2026  ·  Plaza  ·  5 позиций  ·  bultos: 5</t>
        </is>
      </c>
    </row>
    <row r="22" ht="110" customHeight="1">
      <c r="A22" s="3" t="inlineStr">
        <is>
          <t>12965315</t>
        </is>
      </c>
      <c r="B22" s="3" t="inlineStr">
        <is>
          <t>15-06-2026</t>
        </is>
      </c>
      <c r="C22" s="3" t="inlineStr">
        <is>
          <t>Plaza</t>
        </is>
      </c>
      <c r="D22" s="3" t="inlineStr">
        <is>
          <t>204680</t>
        </is>
      </c>
      <c r="E22" s="4" t="inlineStr">
        <is>
          <t>KAL New Look School Cerámica</t>
        </is>
      </c>
      <c r="F22" s="4" t="inlineStr">
        <is>
          <t>Eurotrend</t>
        </is>
      </c>
      <c r="G22" s="4" t="inlineStr">
        <is>
          <t>COLOR Mixto · ALTURA 15 cm · MACETA 6</t>
        </is>
      </c>
      <c r="H22" s="3" t="inlineStr"/>
      <c r="I22" s="3" t="n">
        <v>12</v>
      </c>
      <c r="J22" s="3" t="inlineStr">
        <is>
          <t>12 шт.</t>
        </is>
      </c>
      <c r="K22" s="4">
        <f>IMAGE("https://cdn.verdnatura.es/image/catalog/1600x900/204680")</f>
        <v/>
      </c>
      <c r="L22" s="5" t="n"/>
      <c r="M22" s="6" t="n"/>
      <c r="N22" s="7" t="n"/>
      <c r="O22" s="8" t="n">
        <v>2.64</v>
      </c>
      <c r="P22" s="8" t="n">
        <v>31.68</v>
      </c>
    </row>
    <row r="23" ht="110" customHeight="1">
      <c r="A23" s="3" t="inlineStr">
        <is>
          <t>12965315</t>
        </is>
      </c>
      <c r="B23" s="3" t="inlineStr">
        <is>
          <t>15-06-2026</t>
        </is>
      </c>
      <c r="C23" s="3" t="inlineStr">
        <is>
          <t>Plaza</t>
        </is>
      </c>
      <c r="D23" s="3" t="inlineStr">
        <is>
          <t>195507</t>
        </is>
      </c>
      <c r="E23" s="4" t="inlineStr">
        <is>
          <t>Maceta Cuenco Boule</t>
        </is>
      </c>
      <c r="F23" s="4" t="inlineStr">
        <is>
          <t>FLORAN</t>
        </is>
      </c>
      <c r="G23" s="4" t="inlineStr">
        <is>
          <t>ALTURA 8.5 cm · DIAMETRO 18.5 cm · DIAMETRO BOCA 17 cm</t>
        </is>
      </c>
      <c r="H23" s="3" t="inlineStr"/>
      <c r="I23" s="3" t="n">
        <v>4</v>
      </c>
      <c r="J23" s="3" t="inlineStr">
        <is>
          <t>4 шт.</t>
        </is>
      </c>
      <c r="K23" s="4">
        <f>IMAGE("https://cdn.verdnatura.es/image/catalog/1600x900/195507")</f>
        <v/>
      </c>
      <c r="L23" s="5" t="n"/>
      <c r="M23" s="6" t="n"/>
      <c r="N23" s="7" t="n"/>
      <c r="O23" s="8" t="n">
        <v>2.6</v>
      </c>
      <c r="P23" s="8" t="n">
        <v>10.4</v>
      </c>
    </row>
    <row r="24" ht="110" customHeight="1">
      <c r="A24" s="3" t="inlineStr">
        <is>
          <t>12965315</t>
        </is>
      </c>
      <c r="B24" s="3" t="inlineStr">
        <is>
          <t>15-06-2026</t>
        </is>
      </c>
      <c r="C24" s="3" t="inlineStr">
        <is>
          <t>Plaza</t>
        </is>
      </c>
      <c r="D24" s="3" t="inlineStr">
        <is>
          <t>195509</t>
        </is>
      </c>
      <c r="E24" s="4" t="inlineStr">
        <is>
          <t>Maceta Cuenco Boule</t>
        </is>
      </c>
      <c r="F24" s="4" t="inlineStr">
        <is>
          <t>FLORAN</t>
        </is>
      </c>
      <c r="G24" s="4" t="inlineStr">
        <is>
          <t>ALTURA 9.5 cm · DIAMETRO 22.5 cm · DIAMETRO BOCA 21 cm</t>
        </is>
      </c>
      <c r="H24" s="3" t="inlineStr"/>
      <c r="I24" s="3" t="n">
        <v>4</v>
      </c>
      <c r="J24" s="3" t="inlineStr">
        <is>
          <t>4 шт.</t>
        </is>
      </c>
      <c r="K24" s="4">
        <f>IMAGE("https://cdn.verdnatura.es/image/catalog/1600x900/195509")</f>
        <v/>
      </c>
      <c r="L24" s="5" t="n"/>
      <c r="M24" s="6" t="n"/>
      <c r="N24" s="7" t="n"/>
      <c r="O24" s="8" t="n">
        <v>3.75</v>
      </c>
      <c r="P24" s="8" t="n">
        <v>15</v>
      </c>
    </row>
    <row r="25" ht="110" customHeight="1">
      <c r="A25" s="3" t="inlineStr">
        <is>
          <t>12965315</t>
        </is>
      </c>
      <c r="B25" s="3" t="inlineStr">
        <is>
          <t>15-06-2026</t>
        </is>
      </c>
      <c r="C25" s="3" t="inlineStr">
        <is>
          <t>Plaza</t>
        </is>
      </c>
      <c r="D25" s="3" t="inlineStr">
        <is>
          <t>194352</t>
        </is>
      </c>
      <c r="E25" s="4" t="inlineStr">
        <is>
          <t>Maceta Village</t>
        </is>
      </c>
      <c r="F25" s="4" t="inlineStr">
        <is>
          <t>Mega Ceramics</t>
        </is>
      </c>
      <c r="G25" s="4" t="inlineStr">
        <is>
          <t>ALTURA 12 cm · DIAMETRO 12.5 cm · DIAMETRO BOCA 10.7 cm</t>
        </is>
      </c>
      <c r="H25" s="3" t="inlineStr"/>
      <c r="I25" s="3" t="n">
        <v>18</v>
      </c>
      <c r="J25" s="3" t="inlineStr">
        <is>
          <t>18 шт.</t>
        </is>
      </c>
      <c r="K25" s="4">
        <f>IMAGE("https://cdn.verdnatura.es/image/catalog/1600x900/194352")</f>
        <v/>
      </c>
      <c r="L25" s="5" t="n"/>
      <c r="M25" s="6" t="n"/>
      <c r="N25" s="7" t="n"/>
      <c r="O25" s="8" t="n">
        <v>2</v>
      </c>
      <c r="P25" s="8" t="n">
        <v>36</v>
      </c>
    </row>
    <row r="26" ht="110" customHeight="1">
      <c r="A26" s="3" t="inlineStr">
        <is>
          <t>12965315</t>
        </is>
      </c>
      <c r="B26" s="3" t="inlineStr">
        <is>
          <t>15-06-2026</t>
        </is>
      </c>
      <c r="C26" s="3" t="inlineStr">
        <is>
          <t>Plaza</t>
        </is>
      </c>
      <c r="D26" s="3" t="inlineStr">
        <is>
          <t>171269</t>
        </is>
      </c>
      <c r="E26" s="4" t="inlineStr">
        <is>
          <t>Plantamix (In Pastel Stripe) C</t>
        </is>
      </c>
      <c r="F26" s="4" t="inlineStr">
        <is>
          <t>C.F.F. Bakker/Mondo Verde</t>
        </is>
      </c>
      <c r="G26" s="4" t="inlineStr">
        <is>
          <t>COLOR Mixto · ALTURA 35 cm · MACETA 13</t>
        </is>
      </c>
      <c r="H26" s="3" t="inlineStr"/>
      <c r="I26" s="3" t="n">
        <v>6</v>
      </c>
      <c r="J26" s="3" t="inlineStr">
        <is>
          <t>6 шт.</t>
        </is>
      </c>
      <c r="K26" s="4">
        <f>IMAGE("https://cdn.verdnatura.es/image/catalog/1600x900/171269")</f>
        <v/>
      </c>
      <c r="L26" s="5" t="n"/>
      <c r="M26" s="6" t="n"/>
      <c r="N26" s="7" t="n"/>
      <c r="O26" s="8" t="n">
        <v>7.85</v>
      </c>
      <c r="P26" s="8" t="n">
        <v>47.1</v>
      </c>
    </row>
    <row r="27" ht="26" customHeight="1">
      <c r="A27" s="2" t="inlineStr">
        <is>
          <t>📦  Накладная #12966078  ·  15-06-2026  ·  Plaza  ·  2 позиций  ·  bultos: 3</t>
        </is>
      </c>
    </row>
    <row r="28" ht="110" customHeight="1">
      <c r="A28" s="3" t="inlineStr">
        <is>
          <t>12966078</t>
        </is>
      </c>
      <c r="B28" s="3" t="inlineStr">
        <is>
          <t>15-06-2026</t>
        </is>
      </c>
      <c r="C28" s="3" t="inlineStr">
        <is>
          <t>Plaza</t>
        </is>
      </c>
      <c r="D28" s="3" t="inlineStr">
        <is>
          <t>138797</t>
        </is>
      </c>
      <c r="E28" s="4" t="inlineStr">
        <is>
          <t>Ficus be Exotica 4T</t>
        </is>
      </c>
      <c r="F28" s="4" t="inlineStr">
        <is>
          <t>Rovawee BV</t>
        </is>
      </c>
      <c r="G28" s="4" t="inlineStr">
        <is>
          <t>COLOR Verde · ALTURA 120 cm · MACETA 27</t>
        </is>
      </c>
      <c r="H28" s="3" t="inlineStr"/>
      <c r="I28" s="3" t="n">
        <v>3</v>
      </c>
      <c r="J28" s="3" t="inlineStr">
        <is>
          <t>3 шт.</t>
        </is>
      </c>
      <c r="K28" s="4">
        <f>IMAGE("https://cdn.verdnatura.es/image/catalog/1600x900/138797")</f>
        <v/>
      </c>
      <c r="L28" s="5" t="n"/>
      <c r="M28" s="6" t="n"/>
      <c r="N28" s="7" t="n"/>
      <c r="O28" s="8" t="n">
        <v>40.83</v>
      </c>
      <c r="P28" s="8" t="n">
        <v>122.49</v>
      </c>
    </row>
    <row r="29" ht="110" customHeight="1">
      <c r="A29" s="3" t="inlineStr">
        <is>
          <t>12966078</t>
        </is>
      </c>
      <c r="B29" s="3" t="inlineStr">
        <is>
          <t>15-06-2026</t>
        </is>
      </c>
      <c r="C29" s="3" t="inlineStr">
        <is>
          <t>Plaza</t>
        </is>
      </c>
      <c r="D29" s="3" t="inlineStr">
        <is>
          <t>34638</t>
        </is>
      </c>
      <c r="E29" s="4" t="inlineStr">
        <is>
          <t>Monstera Tutor</t>
        </is>
      </c>
      <c r="F29" s="4" t="inlineStr">
        <is>
          <t>VF</t>
        </is>
      </c>
      <c r="G29" s="4" t="inlineStr">
        <is>
          <t>COLOR Verde · ALTURA 110 cm · MACETA 22</t>
        </is>
      </c>
      <c r="H29" s="3" t="inlineStr"/>
      <c r="I29" s="3" t="n">
        <v>1</v>
      </c>
      <c r="J29" s="3" t="inlineStr">
        <is>
          <t>1 шт.</t>
        </is>
      </c>
      <c r="K29" s="4">
        <f>IMAGE("https://cdn.verdnatura.es/image/catalog/1600x900/34638")</f>
        <v/>
      </c>
      <c r="L29" s="5" t="n"/>
      <c r="M29" s="6" t="n"/>
      <c r="N29" s="7" t="n"/>
      <c r="O29" s="8" t="n">
        <v>24.49</v>
      </c>
      <c r="P29" s="8" t="n">
        <v>24.49</v>
      </c>
    </row>
    <row r="30" ht="26" customHeight="1">
      <c r="A30" s="2" t="inlineStr">
        <is>
          <t>📦  Накладная #12966550  ·  15-06-2026  ·  Plaza  ·  9 позиций  ·  bultos: 1</t>
        </is>
      </c>
    </row>
    <row r="31" ht="110" customHeight="1">
      <c r="A31" s="3" t="inlineStr">
        <is>
          <t>12966550</t>
        </is>
      </c>
      <c r="B31" s="3" t="inlineStr">
        <is>
          <t>15-06-2026</t>
        </is>
      </c>
      <c r="C31" s="3" t="inlineStr">
        <is>
          <t>Plaza</t>
        </is>
      </c>
      <c r="D31" s="3" t="inlineStr">
        <is>
          <t>97395</t>
        </is>
      </c>
      <c r="E31" s="4" t="inlineStr">
        <is>
          <t>CL Siren FCY</t>
        </is>
      </c>
      <c r="F31" s="4" t="inlineStr">
        <is>
          <t>Geoflora</t>
        </is>
      </c>
      <c r="G31" s="4" t="inlineStr">
        <is>
          <t>COLOR Lavanda · ALTURA 60 cm · Nº TALLOS 25</t>
        </is>
      </c>
      <c r="H31" s="3" t="inlineStr"/>
      <c r="I31" s="3" t="n">
        <v>25</v>
      </c>
      <c r="J31" s="3" t="inlineStr">
        <is>
          <t>25 шт.</t>
        </is>
      </c>
      <c r="K31" s="4">
        <f>IMAGE("https://cdn.verdnatura.es/image/catalog/1600x900/97395")</f>
        <v/>
      </c>
      <c r="L31" s="5" t="n"/>
      <c r="M31" s="6" t="n"/>
      <c r="N31" s="7" t="n"/>
      <c r="O31" s="8" t="n">
        <v>0.31</v>
      </c>
      <c r="P31" s="8" t="n">
        <v>7.75</v>
      </c>
    </row>
    <row r="32" ht="110" customHeight="1">
      <c r="A32" s="3" t="inlineStr">
        <is>
          <t>12966550</t>
        </is>
      </c>
      <c r="B32" s="3" t="inlineStr">
        <is>
          <t>15-06-2026</t>
        </is>
      </c>
      <c r="C32" s="3" t="inlineStr">
        <is>
          <t>Plaza</t>
        </is>
      </c>
      <c r="D32" s="3" t="inlineStr">
        <is>
          <t>204346</t>
        </is>
      </c>
      <c r="E32" s="4" t="inlineStr">
        <is>
          <t>GRS Melon X-Pression</t>
        </is>
      </c>
      <c r="F32" s="4" t="inlineStr">
        <is>
          <t>Santa Dorotea</t>
        </is>
      </c>
      <c r="G32" s="4" t="inlineStr">
        <is>
          <t>COLOR Melocotón · ALTURA 60 cm · BOTÓN MINIMO 4.0 cm</t>
        </is>
      </c>
      <c r="H32" s="3" t="inlineStr"/>
      <c r="I32" s="3" t="n">
        <v>25</v>
      </c>
      <c r="J32" s="3" t="inlineStr">
        <is>
          <t>25 шт.</t>
        </is>
      </c>
      <c r="K32" s="4">
        <f>IMAGE("https://cdn.verdnatura.es/image/catalog/1600x900/204346")</f>
        <v/>
      </c>
      <c r="L32" s="5" t="n"/>
      <c r="M32" s="6" t="n"/>
      <c r="N32" s="7" t="n"/>
      <c r="O32" s="8" t="n">
        <v>1.03</v>
      </c>
      <c r="P32" s="8" t="n">
        <v>25.75</v>
      </c>
    </row>
    <row r="33" ht="110" customHeight="1">
      <c r="A33" s="3" t="inlineStr">
        <is>
          <t>12966550</t>
        </is>
      </c>
      <c r="B33" s="3" t="inlineStr">
        <is>
          <t>15-06-2026</t>
        </is>
      </c>
      <c r="C33" s="3" t="inlineStr">
        <is>
          <t>Plaza</t>
        </is>
      </c>
      <c r="D33" s="3" t="inlineStr">
        <is>
          <t>203791</t>
        </is>
      </c>
      <c r="E33" s="4" t="inlineStr">
        <is>
          <t>HYD Dark Green MI</t>
        </is>
      </c>
      <c r="F33" s="4" t="inlineStr">
        <is>
          <t>Gutimilko</t>
        </is>
      </c>
      <c r="G33" s="4" t="inlineStr">
        <is>
          <t>COLOR Verde · ALTURA 50 cm · DIAMETRO 8 cm</t>
        </is>
      </c>
      <c r="H33" s="3" t="inlineStr"/>
      <c r="I33" s="3" t="n">
        <v>25</v>
      </c>
      <c r="J33" s="3" t="inlineStr">
        <is>
          <t>25 шт.</t>
        </is>
      </c>
      <c r="K33" s="4">
        <f>IMAGE("https://cdn.verdnatura.es/image/catalog/1600x900/203791")</f>
        <v/>
      </c>
      <c r="L33" s="5" t="n"/>
      <c r="M33" s="6" t="n"/>
      <c r="N33" s="7" t="n"/>
      <c r="O33" s="8" t="n">
        <v>0.64</v>
      </c>
      <c r="P33" s="8" t="n">
        <v>16</v>
      </c>
    </row>
    <row r="34" ht="110" customHeight="1">
      <c r="A34" s="3" t="inlineStr">
        <is>
          <t>12966550</t>
        </is>
      </c>
      <c r="B34" s="3" t="inlineStr">
        <is>
          <t>15-06-2026</t>
        </is>
      </c>
      <c r="C34" s="3" t="inlineStr">
        <is>
          <t>Plaza</t>
        </is>
      </c>
      <c r="D34" s="3" t="inlineStr">
        <is>
          <t>59033</t>
        </is>
      </c>
      <c r="E34" s="4" t="inlineStr">
        <is>
          <t>PAN Rosa MA 30 gr</t>
        </is>
      </c>
      <c r="F34" s="4" t="inlineStr">
        <is>
          <t>Malima</t>
        </is>
      </c>
      <c r="G34" s="4" t="inlineStr">
        <is>
          <t>COLOR Rosa · ALTURA 75 cm · TAMAÑO FLOR XL</t>
        </is>
      </c>
      <c r="H34" s="3" t="inlineStr"/>
      <c r="I34" s="3" t="n">
        <v>25</v>
      </c>
      <c r="J34" s="3" t="inlineStr">
        <is>
          <t>25 шт.</t>
        </is>
      </c>
      <c r="K34" s="4">
        <f>IMAGE("https://cdn.verdnatura.es/image/catalog/1600x900/59033")</f>
        <v/>
      </c>
      <c r="L34" s="5" t="n"/>
      <c r="M34" s="6" t="n"/>
      <c r="N34" s="7" t="n"/>
      <c r="O34" s="8" t="n">
        <v>0.47</v>
      </c>
      <c r="P34" s="8" t="n">
        <v>11.75</v>
      </c>
    </row>
    <row r="35" ht="110" customHeight="1">
      <c r="A35" s="3" t="inlineStr">
        <is>
          <t>12966550</t>
        </is>
      </c>
      <c r="B35" s="3" t="inlineStr">
        <is>
          <t>15-06-2026</t>
        </is>
      </c>
      <c r="C35" s="3" t="inlineStr">
        <is>
          <t>Plaza</t>
        </is>
      </c>
      <c r="D35" s="3" t="inlineStr">
        <is>
          <t>171540</t>
        </is>
      </c>
      <c r="E35" s="4" t="inlineStr">
        <is>
          <t>PAN Small Bloom SD 40 gr</t>
        </is>
      </c>
      <c r="F35" s="4" t="inlineStr">
        <is>
          <t>Santa Dorotea</t>
        </is>
      </c>
      <c r="G35" s="4" t="inlineStr">
        <is>
          <t>COLOR Blanco · ALTURA 80 cm · TAMAÑO FLOR S</t>
        </is>
      </c>
      <c r="H35" s="3" t="inlineStr"/>
      <c r="I35" s="3" t="n">
        <v>50</v>
      </c>
      <c r="J35" s="3" t="inlineStr">
        <is>
          <t>50 шт.</t>
        </is>
      </c>
      <c r="K35" s="4">
        <f>IMAGE("https://cdn.verdnatura.es/image/catalog/1600x900/171540")</f>
        <v/>
      </c>
      <c r="L35" s="5" t="n"/>
      <c r="M35" s="6" t="n"/>
      <c r="N35" s="7" t="n"/>
      <c r="O35" s="8" t="n">
        <v>0.5</v>
      </c>
      <c r="P35" s="8" t="n">
        <v>25</v>
      </c>
    </row>
    <row r="36" ht="110" customHeight="1">
      <c r="A36" s="3" t="inlineStr">
        <is>
          <t>12966550</t>
        </is>
      </c>
      <c r="B36" s="3" t="inlineStr">
        <is>
          <t>15-06-2026</t>
        </is>
      </c>
      <c r="C36" s="3" t="inlineStr">
        <is>
          <t>Plaza</t>
        </is>
      </c>
      <c r="D36" s="3" t="inlineStr">
        <is>
          <t>10973</t>
        </is>
      </c>
      <c r="E36" s="4" t="inlineStr">
        <is>
          <t>Peonia Festiva Maxima</t>
        </is>
      </c>
      <c r="F36" s="4" t="inlineStr">
        <is>
          <t>My-Peony</t>
        </is>
      </c>
      <c r="G36" s="4" t="inlineStr">
        <is>
          <t>COLOR Blanco/Rosa · ALTURA 60 cm · APERTURA 2-3</t>
        </is>
      </c>
      <c r="H36" s="3" t="inlineStr"/>
      <c r="I36" s="3" t="n">
        <v>30</v>
      </c>
      <c r="J36" s="3" t="inlineStr">
        <is>
          <t>30 шт.</t>
        </is>
      </c>
      <c r="K36" s="4">
        <f>IMAGE("https://cdn.verdnatura.es/image/catalog/1600x900/10973")</f>
        <v/>
      </c>
      <c r="L36" s="5" t="n"/>
      <c r="M36" s="6" t="n"/>
      <c r="N36" s="7" t="n"/>
      <c r="O36" s="8" t="n">
        <v>0.8100000000000001</v>
      </c>
      <c r="P36" s="8" t="n">
        <v>24.3</v>
      </c>
    </row>
    <row r="37" ht="110" customHeight="1">
      <c r="A37" s="3" t="inlineStr">
        <is>
          <t>12966550</t>
        </is>
      </c>
      <c r="B37" s="3" t="inlineStr">
        <is>
          <t>15-06-2026</t>
        </is>
      </c>
      <c r="C37" s="3" t="inlineStr">
        <is>
          <t>Plaza</t>
        </is>
      </c>
      <c r="D37" s="3" t="inlineStr">
        <is>
          <t>205820</t>
        </is>
      </c>
      <c r="E37" s="4" t="inlineStr">
        <is>
          <t>Peonia Sarah Bernhard XXL</t>
        </is>
      </c>
      <c r="F37" s="4" t="inlineStr">
        <is>
          <t>My-Peony</t>
        </is>
      </c>
      <c r="G37" s="4" t="inlineStr">
        <is>
          <t>COLOR Rosa Claro · ALTURA 60 cm · APERTURA 3-3</t>
        </is>
      </c>
      <c r="H37" s="3" t="inlineStr"/>
      <c r="I37" s="3" t="n">
        <v>40</v>
      </c>
      <c r="J37" s="3" t="inlineStr">
        <is>
          <t>40 шт.</t>
        </is>
      </c>
      <c r="K37" s="4">
        <f>IMAGE("https://cdn.verdnatura.es/image/catalog/1600x900/205820")</f>
        <v/>
      </c>
      <c r="L37" s="5" t="n"/>
      <c r="M37" s="6" t="n"/>
      <c r="N37" s="7" t="n"/>
      <c r="O37" s="8" t="n">
        <v>1.35</v>
      </c>
      <c r="P37" s="8" t="n">
        <v>54</v>
      </c>
    </row>
    <row r="38" ht="110" customHeight="1">
      <c r="A38" s="3" t="inlineStr">
        <is>
          <t>12966550</t>
        </is>
      </c>
      <c r="B38" s="3" t="inlineStr">
        <is>
          <t>15-06-2026</t>
        </is>
      </c>
      <c r="C38" s="3" t="inlineStr">
        <is>
          <t>Plaza</t>
        </is>
      </c>
      <c r="D38" s="3" t="inlineStr">
        <is>
          <t>186342</t>
        </is>
      </c>
      <c r="E38" s="4" t="inlineStr">
        <is>
          <t>RS Atomic EXT</t>
        </is>
      </c>
      <c r="F38" s="4" t="inlineStr">
        <is>
          <t>Nevado Roses</t>
        </is>
      </c>
      <c r="G38" s="4" t="inlineStr">
        <is>
          <t>COLOR Fuego · ALTURA 50 cm · BOTÓN MINIMO 5.5 cm</t>
        </is>
      </c>
      <c r="H38" s="3" t="inlineStr"/>
      <c r="I38" s="3" t="n">
        <v>25</v>
      </c>
      <c r="J38" s="3" t="inlineStr">
        <is>
          <t>25 шт.</t>
        </is>
      </c>
      <c r="K38" s="4">
        <f>IMAGE("https://cdn.verdnatura.es/image/catalog/1600x900/186342")</f>
        <v/>
      </c>
      <c r="L38" s="5" t="n"/>
      <c r="M38" s="6" t="n"/>
      <c r="N38" s="7" t="n"/>
      <c r="O38" s="8" t="n">
        <v>0.47</v>
      </c>
      <c r="P38" s="8" t="n">
        <v>11.75</v>
      </c>
    </row>
    <row r="39" ht="110" customHeight="1">
      <c r="A39" s="3" t="inlineStr">
        <is>
          <t>12966550</t>
        </is>
      </c>
      <c r="B39" s="3" t="inlineStr">
        <is>
          <t>15-06-2026</t>
        </is>
      </c>
      <c r="C39" s="3" t="inlineStr">
        <is>
          <t>Plaza</t>
        </is>
      </c>
      <c r="D39" s="3" t="inlineStr">
        <is>
          <t>177160</t>
        </is>
      </c>
      <c r="E39" s="4" t="inlineStr">
        <is>
          <t>RS Mondial SEL</t>
        </is>
      </c>
      <c r="F39" s="4" t="inlineStr">
        <is>
          <t>Ecuador</t>
        </is>
      </c>
      <c r="G39" s="4" t="inlineStr">
        <is>
          <t>COLOR Blanco · ALTURA 60 cm · BOTÓN MINIMO 6 cm</t>
        </is>
      </c>
      <c r="H39" s="3" t="inlineStr"/>
      <c r="I39" s="3" t="n">
        <v>25</v>
      </c>
      <c r="J39" s="3" t="inlineStr">
        <is>
          <t>25 шт.</t>
        </is>
      </c>
      <c r="K39" s="4">
        <f>IMAGE("https://cdn.verdnatura.es/image/catalog/1600x900/177160")</f>
        <v/>
      </c>
      <c r="L39" s="5" t="n"/>
      <c r="M39" s="6" t="n"/>
      <c r="N39" s="7" t="n"/>
      <c r="O39" s="8" t="n">
        <v>0.76</v>
      </c>
      <c r="P39" s="8" t="n">
        <v>19</v>
      </c>
    </row>
    <row r="40" ht="26" customHeight="1">
      <c r="A40" s="2" t="inlineStr">
        <is>
          <t>📦  Накладная #12981459  ·  17-06-2026  ·  Plaza  ·  1 позиций  ·  bultos: 0</t>
        </is>
      </c>
    </row>
    <row r="41" ht="110" customHeight="1">
      <c r="A41" s="3" t="inlineStr">
        <is>
          <t>12981459</t>
        </is>
      </c>
      <c r="B41" s="3" t="inlineStr">
        <is>
          <t>17-06-2026</t>
        </is>
      </c>
      <c r="C41" s="3" t="inlineStr">
        <is>
          <t>Plaza</t>
        </is>
      </c>
      <c r="D41" s="3" t="inlineStr">
        <is>
          <t>195724</t>
        </is>
      </c>
      <c r="E41" s="4" t="inlineStr">
        <is>
          <t>Aglaonema Silver Bay x1</t>
        </is>
      </c>
      <c r="F41" s="4" t="inlineStr">
        <is>
          <t>Barreveld</t>
        </is>
      </c>
      <c r="G41" s="4" t="inlineStr">
        <is>
          <t>COLOR Matizado · ALTURA 60 cm · MACETA 17</t>
        </is>
      </c>
      <c r="H41" s="3" t="inlineStr"/>
      <c r="I41" s="3" t="n">
        <v>2</v>
      </c>
      <c r="J41" s="3" t="inlineStr">
        <is>
          <t>2 шт.</t>
        </is>
      </c>
      <c r="K41" s="4">
        <f>IMAGE("https://cdn.verdnatura.es/image/catalog/1600x900/195724")</f>
        <v/>
      </c>
      <c r="L41" s="5" t="n"/>
      <c r="M41" s="6" t="n"/>
      <c r="N41" s="7" t="n"/>
      <c r="O41" s="8" t="n">
        <v>9.890000000000001</v>
      </c>
      <c r="P41" s="8" t="n">
        <v>0</v>
      </c>
    </row>
  </sheetData>
  <mergeCells count="6">
    <mergeCell ref="A40:P40"/>
    <mergeCell ref="A27:P27"/>
    <mergeCell ref="A4:P4"/>
    <mergeCell ref="A30:P30"/>
    <mergeCell ref="A21:P2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2026-06-22T21:39:08Z</dcterms:created>
  <dcterms:modified xmlns:dcterms="http://purl.org/dc/terms/" xmlns:xsi="http://www.w3.org/2001/XMLSchema-instance" xsi:type="dcterms:W3CDTF">2026-06-22T21:39:08Z</dcterms:modified>
</cp:coreProperties>
</file>