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z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 €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6B4423"/>
      <sz val="12"/>
    </font>
    <font>
      <name val="Calibri"/>
      <b val="1"/>
      <color rgb="00C00000"/>
      <sz val="18"/>
    </font>
    <font>
      <name val="Calibri"/>
      <b val="1"/>
      <color rgb="000070C0"/>
      <sz val="18"/>
    </font>
  </fonts>
  <fills count="5">
    <fill>
      <patternFill/>
    </fill>
    <fill>
      <patternFill patternType="gray125"/>
    </fill>
    <fill>
      <patternFill patternType="solid">
        <fgColor rgb="002C5282"/>
        <bgColor rgb="002C5282"/>
      </patternFill>
    </fill>
    <fill>
      <patternFill patternType="solid">
        <fgColor rgb="00FFE4B5"/>
        <bgColor rgb="00FFE4B5"/>
      </patternFill>
    </fill>
    <fill>
      <patternFill patternType="solid">
        <fgColor rgb="00E6F4EA"/>
        <bgColor rgb="00E6F4EA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inden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1" customWidth="1" min="1" max="1"/>
    <col hidden="1" width="9" customWidth="1" min="2" max="2"/>
    <col hidden="1" width="8" customWidth="1" min="3" max="3"/>
    <col width="9" customWidth="1" min="4" max="4"/>
    <col width="22" customWidth="1" min="5" max="5"/>
    <col hidden="1" width="18" customWidth="1" min="6" max="6"/>
    <col width="22" customWidth="1" min="7" max="7"/>
    <col hidden="1" width="10" customWidth="1" min="8" max="8"/>
    <col width="9" customWidth="1" min="9" max="9"/>
    <col width="14" customWidth="1" min="10" max="10"/>
    <col width="20" customWidth="1" min="11" max="11"/>
    <col width="10" customWidth="1" min="12" max="12"/>
    <col width="10" customWidth="1" min="13" max="13"/>
    <col width="22" customWidth="1" min="14" max="14"/>
    <col hidden="1" width="9" customWidth="1" min="15" max="15"/>
    <col hidden="1" width="10" customWidth="1" min="16" max="16"/>
  </cols>
  <sheetData>
    <row r="1" ht="36" customHeight="1">
      <c r="A1" s="1" t="inlineStr">
        <is>
          <t>№ накладной</t>
        </is>
      </c>
      <c r="B1" s="1" t="inlineStr">
        <is>
          <t>Дата</t>
        </is>
      </c>
      <c r="C1" s="1" t="inlineStr">
        <is>
          <t>Магазин</t>
        </is>
      </c>
      <c r="D1" s="1" t="inlineStr">
        <is>
          <t>Codigo</t>
        </is>
      </c>
      <c r="E1" s="1" t="inlineStr">
        <is>
          <t>Concepto</t>
        </is>
      </c>
      <c r="F1" s="1" t="inlineStr">
        <is>
          <t>Productor</t>
        </is>
      </c>
      <c r="G1" s="1" t="inlineStr">
        <is>
          <t>Атрибуты</t>
        </is>
      </c>
      <c r="H1" s="1" t="inlineStr">
        <is>
          <t>UD. VENTA</t>
        </is>
      </c>
      <c r="I1" s="1" t="inlineStr">
        <is>
          <t>Заявлено</t>
        </is>
      </c>
      <c r="J1" s="1" t="inlineStr">
        <is>
          <t>Подсказка</t>
        </is>
      </c>
      <c r="K1" s="1" t="inlineStr">
        <is>
          <t>Фото</t>
        </is>
      </c>
      <c r="L1" s="1" t="inlineStr">
        <is>
          <t>Принято
пачек</t>
        </is>
      </c>
      <c r="M1" s="1" t="inlineStr">
        <is>
          <t>Принято
штук</t>
        </is>
      </c>
      <c r="N1" s="1" t="inlineStr">
        <is>
          <t>Комментарий
флориста</t>
        </is>
      </c>
      <c r="O1" s="1" t="inlineStr">
        <is>
          <t>PVP/u, €</t>
        </is>
      </c>
      <c r="P1" s="1" t="inlineStr">
        <is>
          <t>Importe, €</t>
        </is>
      </c>
    </row>
    <row r="2" ht="26" customHeight="1">
      <c r="A2" s="2" t="inlineStr">
        <is>
          <t>📦  Накладная #13032228  ·  29-06-2026  ·  Plaza  ·  11 позиций  ·  bultos: 2</t>
        </is>
      </c>
    </row>
    <row r="3" ht="110" customHeight="1">
      <c r="A3" s="3" t="inlineStr">
        <is>
          <t>13032228</t>
        </is>
      </c>
      <c r="B3" s="3" t="inlineStr">
        <is>
          <t>29-06-2026</t>
        </is>
      </c>
      <c r="C3" s="3" t="inlineStr">
        <is>
          <t>Plaza</t>
        </is>
      </c>
      <c r="D3" s="3" t="inlineStr">
        <is>
          <t>198749</t>
        </is>
      </c>
      <c r="E3" s="4" t="inlineStr">
        <is>
          <t>CR Altaj Galaxy</t>
        </is>
      </c>
      <c r="F3" s="4" t="inlineStr">
        <is>
          <t>Zentoo</t>
        </is>
      </c>
      <c r="G3" s="4" t="inlineStr">
        <is>
          <t>COLOR Purpura/Rosa · ALTURA 70 cm · PESO/TALLO 105 gr</t>
        </is>
      </c>
      <c r="H3" s="3" t="inlineStr"/>
      <c r="I3" s="3" t="n">
        <v>10</v>
      </c>
      <c r="J3" s="3" t="inlineStr">
        <is>
          <t>10 шт.</t>
        </is>
      </c>
      <c r="K3" s="4">
        <f>IMAGE("https://cdn.verdnatura.es/image/catalog/1600x900/198749")</f>
        <v/>
      </c>
      <c r="L3" s="5" t="n"/>
      <c r="M3" s="6" t="n"/>
      <c r="N3" s="7" t="n"/>
      <c r="O3" s="8" t="n">
        <v>0.9</v>
      </c>
      <c r="P3" s="8" t="n">
        <v>9</v>
      </c>
    </row>
    <row r="4" ht="110" customHeight="1">
      <c r="A4" s="3" t="inlineStr">
        <is>
          <t>13032228</t>
        </is>
      </c>
      <c r="B4" s="3" t="inlineStr">
        <is>
          <t>29-06-2026</t>
        </is>
      </c>
      <c r="C4" s="3" t="inlineStr">
        <is>
          <t>Plaza</t>
        </is>
      </c>
      <c r="D4" s="3" t="inlineStr">
        <is>
          <t>198746</t>
        </is>
      </c>
      <c r="E4" s="4" t="inlineStr">
        <is>
          <t>CR Altaj Soft Pink</t>
        </is>
      </c>
      <c r="F4" s="4" t="inlineStr">
        <is>
          <t>Zentoo</t>
        </is>
      </c>
      <c r="G4" s="4" t="inlineStr">
        <is>
          <t>COLOR Rosa Claro · ALTURA 70 cm</t>
        </is>
      </c>
      <c r="H4" s="3" t="inlineStr"/>
      <c r="I4" s="3" t="n">
        <v>20</v>
      </c>
      <c r="J4" s="3" t="inlineStr">
        <is>
          <t>20 шт.</t>
        </is>
      </c>
      <c r="K4" s="4">
        <f>IMAGE("https://cdn.verdnatura.es/image/catalog/1600x900/198746")</f>
        <v/>
      </c>
      <c r="L4" s="5" t="n"/>
      <c r="M4" s="6" t="n"/>
      <c r="N4" s="7" t="n"/>
      <c r="O4" s="8" t="n">
        <v>0.9</v>
      </c>
      <c r="P4" s="8" t="n">
        <v>18</v>
      </c>
    </row>
    <row r="5" ht="110" customHeight="1">
      <c r="A5" s="3" t="inlineStr">
        <is>
          <t>13032228</t>
        </is>
      </c>
      <c r="B5" s="3" t="inlineStr">
        <is>
          <t>29-06-2026</t>
        </is>
      </c>
      <c r="C5" s="3" t="inlineStr">
        <is>
          <t>Plaza</t>
        </is>
      </c>
      <c r="D5" s="3" t="inlineStr">
        <is>
          <t>28101</t>
        </is>
      </c>
      <c r="E5" s="4" t="inlineStr">
        <is>
          <t>CR SANT Rossi Pink</t>
        </is>
      </c>
      <c r="F5" s="4" t="inlineStr">
        <is>
          <t>LS Santini</t>
        </is>
      </c>
      <c r="G5" s="4" t="inlineStr">
        <is>
          <t>COLOR Rosa · ALTURA 55 cm</t>
        </is>
      </c>
      <c r="H5" s="3" t="inlineStr"/>
      <c r="I5" s="3" t="n">
        <v>25</v>
      </c>
      <c r="J5" s="3" t="inlineStr">
        <is>
          <t>25 шт.</t>
        </is>
      </c>
      <c r="K5" s="4">
        <f>IMAGE("https://cdn.verdnatura.es/image/catalog/1600x900/28101")</f>
        <v/>
      </c>
      <c r="L5" s="5" t="n"/>
      <c r="M5" s="6" t="n"/>
      <c r="N5" s="7" t="n"/>
      <c r="O5" s="8" t="n">
        <v>0.32</v>
      </c>
      <c r="P5" s="8" t="n">
        <v>8</v>
      </c>
    </row>
    <row r="6" ht="110" customHeight="1">
      <c r="A6" s="3" t="inlineStr">
        <is>
          <t>13032228</t>
        </is>
      </c>
      <c r="B6" s="3" t="inlineStr">
        <is>
          <t>29-06-2026</t>
        </is>
      </c>
      <c r="C6" s="3" t="inlineStr">
        <is>
          <t>Plaza</t>
        </is>
      </c>
      <c r="D6" s="3" t="inlineStr">
        <is>
          <t>114770</t>
        </is>
      </c>
      <c r="E6" s="4" t="inlineStr">
        <is>
          <t>EUC Cinerea 300 gr</t>
        </is>
      </c>
      <c r="F6" s="4" t="inlineStr"/>
      <c r="G6" s="4" t="inlineStr">
        <is>
          <t>COLOR Lividum · ALTURA 70 cm</t>
        </is>
      </c>
      <c r="H6" s="3" t="inlineStr">
        <is>
          <t>Paquete</t>
        </is>
      </c>
      <c r="I6" s="3" t="n">
        <v>5</v>
      </c>
      <c r="J6" s="3" t="inlineStr">
        <is>
          <t>5 пачек</t>
        </is>
      </c>
      <c r="K6" s="4">
        <f>IMAGE("https://cdn.verdnatura.es/image/catalog/1600x900/114770")</f>
        <v/>
      </c>
      <c r="L6" s="5" t="n"/>
      <c r="M6" s="6" t="n"/>
      <c r="N6" s="7" t="n"/>
      <c r="O6" s="8" t="n">
        <v>3.67</v>
      </c>
      <c r="P6" s="8" t="n">
        <v>18.35</v>
      </c>
    </row>
    <row r="7" ht="110" customHeight="1">
      <c r="A7" s="3" t="inlineStr">
        <is>
          <t>13032228</t>
        </is>
      </c>
      <c r="B7" s="3" t="inlineStr">
        <is>
          <t>29-06-2026</t>
        </is>
      </c>
      <c r="C7" s="3" t="inlineStr">
        <is>
          <t>Plaza</t>
        </is>
      </c>
      <c r="D7" s="3" t="inlineStr">
        <is>
          <t>110792</t>
        </is>
      </c>
      <c r="E7" s="4" t="inlineStr">
        <is>
          <t>EUC Parvifolia 300 gr</t>
        </is>
      </c>
      <c r="F7" s="4" t="inlineStr"/>
      <c r="G7" s="4" t="inlineStr">
        <is>
          <t>COLOR Verde · ALTURA 70 cm</t>
        </is>
      </c>
      <c r="H7" s="3" t="inlineStr">
        <is>
          <t>Paquete</t>
        </is>
      </c>
      <c r="I7" s="3" t="n">
        <v>3</v>
      </c>
      <c r="J7" s="3" t="inlineStr">
        <is>
          <t>3 пачек</t>
        </is>
      </c>
      <c r="K7" s="4">
        <f>IMAGE("https://cdn.verdnatura.es/image/catalog/1600x900/110792")</f>
        <v/>
      </c>
      <c r="L7" s="5" t="n"/>
      <c r="M7" s="6" t="n"/>
      <c r="N7" s="7" t="n"/>
      <c r="O7" s="8" t="n">
        <v>2.83</v>
      </c>
      <c r="P7" s="8" t="n">
        <v>8.49</v>
      </c>
    </row>
    <row r="8" ht="110" customHeight="1">
      <c r="A8" s="3" t="inlineStr">
        <is>
          <t>13032228</t>
        </is>
      </c>
      <c r="B8" s="3" t="inlineStr">
        <is>
          <t>29-06-2026</t>
        </is>
      </c>
      <c r="C8" s="3" t="inlineStr">
        <is>
          <t>Plaza</t>
        </is>
      </c>
      <c r="D8" s="3" t="inlineStr">
        <is>
          <t>110294</t>
        </is>
      </c>
      <c r="E8" s="4" t="inlineStr">
        <is>
          <t>Madroño SEL</t>
        </is>
      </c>
      <c r="F8" s="4" t="inlineStr"/>
      <c r="G8" s="4" t="inlineStr">
        <is>
          <t>COLOR Verde · ALTURA 60 cm</t>
        </is>
      </c>
      <c r="H8" s="3" t="inlineStr">
        <is>
          <t>Paquete</t>
        </is>
      </c>
      <c r="I8" s="3" t="n">
        <v>5</v>
      </c>
      <c r="J8" s="3" t="inlineStr">
        <is>
          <t>5 пачек</t>
        </is>
      </c>
      <c r="K8" s="4">
        <f>IMAGE("https://cdn.verdnatura.es/image/catalog/1600x900/110294")</f>
        <v/>
      </c>
      <c r="L8" s="5" t="n"/>
      <c r="M8" s="6" t="n"/>
      <c r="N8" s="7" t="n"/>
      <c r="O8" s="8" t="n">
        <v>2.22</v>
      </c>
      <c r="P8" s="8" t="n">
        <v>11.1</v>
      </c>
    </row>
    <row r="9" ht="110" customHeight="1">
      <c r="A9" s="3" t="inlineStr">
        <is>
          <t>13032228</t>
        </is>
      </c>
      <c r="B9" s="3" t="inlineStr">
        <is>
          <t>29-06-2026</t>
        </is>
      </c>
      <c r="C9" s="3" t="inlineStr">
        <is>
          <t>Plaza</t>
        </is>
      </c>
      <c r="D9" s="3" t="inlineStr">
        <is>
          <t>149</t>
        </is>
      </c>
      <c r="E9" s="4" t="inlineStr">
        <is>
          <t>PITT Nigra 150 gr</t>
        </is>
      </c>
      <c r="F9" s="4" t="inlineStr"/>
      <c r="G9" s="4" t="inlineStr">
        <is>
          <t>COLOR Matizado · ALTURA 50 cm</t>
        </is>
      </c>
      <c r="H9" s="3" t="inlineStr">
        <is>
          <t>Paquete</t>
        </is>
      </c>
      <c r="I9" s="3" t="n">
        <v>5</v>
      </c>
      <c r="J9" s="3" t="inlineStr">
        <is>
          <t>5 пачек</t>
        </is>
      </c>
      <c r="K9" s="4">
        <f>IMAGE("https://cdn.verdnatura.es/image/catalog/1600x900/149")</f>
        <v/>
      </c>
      <c r="L9" s="5" t="n"/>
      <c r="M9" s="6" t="n"/>
      <c r="N9" s="7" t="n"/>
      <c r="O9" s="8" t="n">
        <v>2.38</v>
      </c>
      <c r="P9" s="8" t="n">
        <v>11.9</v>
      </c>
    </row>
    <row r="10" ht="110" customHeight="1">
      <c r="A10" s="3" t="inlineStr">
        <is>
          <t>13032228</t>
        </is>
      </c>
      <c r="B10" s="3" t="inlineStr">
        <is>
          <t>29-06-2026</t>
        </is>
      </c>
      <c r="C10" s="3" t="inlineStr">
        <is>
          <t>Plaza</t>
        </is>
      </c>
      <c r="D10" s="3" t="inlineStr">
        <is>
          <t>206983</t>
        </is>
      </c>
      <c r="E10" s="4" t="inlineStr">
        <is>
          <t>RS Olympus</t>
        </is>
      </c>
      <c r="F10" s="4" t="inlineStr">
        <is>
          <t>Amor</t>
        </is>
      </c>
      <c r="G10" s="4" t="inlineStr">
        <is>
          <t>COLOR Naranja claro · ALTURA 50 cm</t>
        </is>
      </c>
      <c r="H10" s="3" t="inlineStr"/>
      <c r="I10" s="3" t="n">
        <v>30</v>
      </c>
      <c r="J10" s="3" t="inlineStr">
        <is>
          <t>30 шт.</t>
        </is>
      </c>
      <c r="K10" s="4">
        <f>IMAGE("https://cdn.verdnatura.es/image/catalog/1600x900/206983")</f>
        <v/>
      </c>
      <c r="L10" s="5" t="n"/>
      <c r="M10" s="6" t="n"/>
      <c r="N10" s="7" t="n"/>
      <c r="O10" s="8" t="n">
        <v>0.29</v>
      </c>
      <c r="P10" s="8" t="n">
        <v>8.699999999999999</v>
      </c>
    </row>
    <row r="11" ht="110" customHeight="1">
      <c r="A11" s="3" t="inlineStr">
        <is>
          <t>13032228</t>
        </is>
      </c>
      <c r="B11" s="3" t="inlineStr">
        <is>
          <t>29-06-2026</t>
        </is>
      </c>
      <c r="C11" s="3" t="inlineStr">
        <is>
          <t>Plaza</t>
        </is>
      </c>
      <c r="D11" s="3" t="inlineStr">
        <is>
          <t>101850</t>
        </is>
      </c>
      <c r="E11" s="4" t="inlineStr">
        <is>
          <t>TUL Big Love</t>
        </is>
      </c>
      <c r="F11" s="4" t="inlineStr"/>
      <c r="G11" s="4" t="inlineStr">
        <is>
          <t>COLOR Rosa · ALTURA 44 cm · PESO/TALLO 38 gr</t>
        </is>
      </c>
      <c r="H11" s="3" t="inlineStr"/>
      <c r="I11" s="3" t="n">
        <v>50</v>
      </c>
      <c r="J11" s="3" t="inlineStr">
        <is>
          <t>50 шт.</t>
        </is>
      </c>
      <c r="K11" s="4">
        <f>IMAGE("https://cdn.verdnatura.es/image/catalog/1600x900/101850")</f>
        <v/>
      </c>
      <c r="L11" s="5" t="n"/>
      <c r="M11" s="6" t="n"/>
      <c r="N11" s="7" t="n"/>
      <c r="O11" s="8" t="n">
        <v>0.41</v>
      </c>
      <c r="P11" s="8" t="n">
        <v>20.5</v>
      </c>
    </row>
    <row r="12" ht="110" customHeight="1">
      <c r="A12" s="3" t="inlineStr">
        <is>
          <t>13032228</t>
        </is>
      </c>
      <c r="B12" s="3" t="inlineStr">
        <is>
          <t>29-06-2026</t>
        </is>
      </c>
      <c r="C12" s="3" t="inlineStr">
        <is>
          <t>Plaza</t>
        </is>
      </c>
      <c r="D12" s="3" t="inlineStr">
        <is>
          <t>206294</t>
        </is>
      </c>
      <c r="E12" s="4" t="inlineStr">
        <is>
          <t>TUL Mix</t>
        </is>
      </c>
      <c r="F12" s="4" t="inlineStr">
        <is>
          <t>B &amp; L Tulips</t>
        </is>
      </c>
      <c r="G12" s="4" t="inlineStr">
        <is>
          <t>COLOR Mixto · ALTURA 28 cm · PESO/TALLO 30 gr</t>
        </is>
      </c>
      <c r="H12" s="3" t="inlineStr"/>
      <c r="I12" s="3" t="n">
        <v>50</v>
      </c>
      <c r="J12" s="3" t="inlineStr">
        <is>
          <t>50 шт.</t>
        </is>
      </c>
      <c r="K12" s="4">
        <f>IMAGE("https://cdn.verdnatura.es/image/catalog/1600x900/206294")</f>
        <v/>
      </c>
      <c r="L12" s="5" t="n"/>
      <c r="M12" s="6" t="n"/>
      <c r="N12" s="7" t="n"/>
      <c r="O12" s="8" t="n">
        <v>0.32</v>
      </c>
      <c r="P12" s="8" t="n">
        <v>16</v>
      </c>
    </row>
    <row r="13" ht="110" customHeight="1">
      <c r="A13" s="3" t="inlineStr">
        <is>
          <t>13032228</t>
        </is>
      </c>
      <c r="B13" s="3" t="inlineStr">
        <is>
          <t>29-06-2026</t>
        </is>
      </c>
      <c r="C13" s="3" t="inlineStr">
        <is>
          <t>Plaza</t>
        </is>
      </c>
      <c r="D13" s="3" t="inlineStr">
        <is>
          <t>33</t>
        </is>
      </c>
      <c r="E13" s="4" t="inlineStr">
        <is>
          <t>TUL· Marit</t>
        </is>
      </c>
      <c r="F13" s="4" t="inlineStr">
        <is>
          <t>B &amp; L Tulips</t>
        </is>
      </c>
      <c r="G13" s="4" t="inlineStr">
        <is>
          <t>COLOR Amarillo/Naranja · ALTURA 42 cm · PESO/TALLO 55 gr</t>
        </is>
      </c>
      <c r="H13" s="3" t="inlineStr"/>
      <c r="I13" s="3" t="n">
        <v>50</v>
      </c>
      <c r="J13" s="3" t="inlineStr">
        <is>
          <t>50 шт.</t>
        </is>
      </c>
      <c r="K13" s="4">
        <f>IMAGE("https://cdn.verdnatura.es/image/catalog/1600x900/33")</f>
        <v/>
      </c>
      <c r="L13" s="5" t="n"/>
      <c r="M13" s="6" t="n"/>
      <c r="N13" s="7" t="n"/>
      <c r="O13" s="8" t="n">
        <v>0.66</v>
      </c>
      <c r="P13" s="8" t="n">
        <v>33</v>
      </c>
    </row>
    <row r="14" ht="26" customHeight="1">
      <c r="A14" s="2" t="inlineStr">
        <is>
          <t>📦  Накладная #13032497  ·  29-06-2026  ·  Plaza  ·  4 позиций  ·  bultos: 1</t>
        </is>
      </c>
    </row>
    <row r="15" ht="110" customHeight="1">
      <c r="A15" s="3" t="inlineStr">
        <is>
          <t>13032497</t>
        </is>
      </c>
      <c r="B15" s="3" t="inlineStr">
        <is>
          <t>29-06-2026</t>
        </is>
      </c>
      <c r="C15" s="3" t="inlineStr">
        <is>
          <t>Plaza</t>
        </is>
      </c>
      <c r="D15" s="3" t="inlineStr">
        <is>
          <t>73712</t>
        </is>
      </c>
      <c r="E15" s="4" t="inlineStr">
        <is>
          <t>Caja Sombrerera Redondo</t>
        </is>
      </c>
      <c r="F15" s="4" t="inlineStr">
        <is>
          <t>Oasis</t>
        </is>
      </c>
      <c r="G15" s="4" t="inlineStr">
        <is>
          <t>COLOR GrisMEDIDA GRANDE 20 x 14 cmMEDIDA MEDIANO 17.5 x 13 cm</t>
        </is>
      </c>
      <c r="H15" s="3" t="inlineStr"/>
      <c r="I15" s="3" t="n">
        <v>1</v>
      </c>
      <c r="J15" s="3" t="inlineStr">
        <is>
          <t>1 шт.</t>
        </is>
      </c>
      <c r="K15" s="4">
        <f>IMAGE("https://cdn.verdnatura.es/image/catalog/1600x900/73712")</f>
        <v/>
      </c>
      <c r="L15" s="5" t="n"/>
      <c r="M15" s="6" t="n"/>
      <c r="N15" s="7" t="n"/>
      <c r="O15" s="8" t="n">
        <v>10.45</v>
      </c>
      <c r="P15" s="8" t="n">
        <v>10.45</v>
      </c>
    </row>
    <row r="16" ht="110" customHeight="1">
      <c r="A16" s="3" t="inlineStr">
        <is>
          <t>13032497</t>
        </is>
      </c>
      <c r="B16" s="3" t="inlineStr">
        <is>
          <t>29-06-2026</t>
        </is>
      </c>
      <c r="C16" s="3" t="inlineStr">
        <is>
          <t>Plaza</t>
        </is>
      </c>
      <c r="D16" s="3" t="inlineStr">
        <is>
          <t>150712</t>
        </is>
      </c>
      <c r="E16" s="4" t="inlineStr">
        <is>
          <t>Caja Sombrerera Redondo</t>
        </is>
      </c>
      <c r="F16" s="4" t="inlineStr"/>
      <c r="G16" s="4" t="inlineStr">
        <is>
          <t>COLOR RojoMEDIDA GRANDE 19 x 14.5 cmMEDIDA MEDIANO 16.5 x 13 cm</t>
        </is>
      </c>
      <c r="H16" s="3" t="inlineStr"/>
      <c r="I16" s="3" t="n">
        <v>1</v>
      </c>
      <c r="J16" s="3" t="inlineStr">
        <is>
          <t>1 шт.</t>
        </is>
      </c>
      <c r="K16" s="4">
        <f>IMAGE("https://cdn.verdnatura.es/image/catalog/1600x900/150712")</f>
        <v/>
      </c>
      <c r="L16" s="5" t="n"/>
      <c r="M16" s="6" t="n"/>
      <c r="N16" s="7" t="n"/>
      <c r="O16" s="8" t="n">
        <v>13.34</v>
      </c>
      <c r="P16" s="8" t="n">
        <v>13.34</v>
      </c>
    </row>
    <row r="17" ht="110" customHeight="1">
      <c r="A17" s="3" t="inlineStr">
        <is>
          <t>13032497</t>
        </is>
      </c>
      <c r="B17" s="3" t="inlineStr">
        <is>
          <t>29-06-2026</t>
        </is>
      </c>
      <c r="C17" s="3" t="inlineStr">
        <is>
          <t>Plaza</t>
        </is>
      </c>
      <c r="D17" s="3" t="inlineStr">
        <is>
          <t>68104</t>
        </is>
      </c>
      <c r="E17" s="4" t="inlineStr">
        <is>
          <t>Caja Symphony Blanco</t>
        </is>
      </c>
      <c r="F17" s="4" t="inlineStr">
        <is>
          <t>Oasis</t>
        </is>
      </c>
      <c r="G17" s="4" t="inlineStr"/>
      <c r="H17" s="3" t="inlineStr"/>
      <c r="I17" s="3" t="n">
        <v>2</v>
      </c>
      <c r="J17" s="3" t="inlineStr">
        <is>
          <t>2 шт.</t>
        </is>
      </c>
      <c r="K17" s="4">
        <f>IMAGE("https://cdn.verdnatura.es/image/catalog/1600x900/68104")</f>
        <v/>
      </c>
      <c r="L17" s="5" t="n"/>
      <c r="M17" s="6" t="n"/>
      <c r="N17" s="7" t="n"/>
      <c r="O17" s="8" t="n">
        <v>10.45</v>
      </c>
      <c r="P17" s="8" t="n">
        <v>20.9</v>
      </c>
    </row>
    <row r="18" ht="110" customHeight="1">
      <c r="A18" s="3" t="inlineStr">
        <is>
          <t>13032497</t>
        </is>
      </c>
      <c r="B18" s="3" t="inlineStr">
        <is>
          <t>29-06-2026</t>
        </is>
      </c>
      <c r="C18" s="3" t="inlineStr">
        <is>
          <t>Plaza</t>
        </is>
      </c>
      <c r="D18" s="3" t="inlineStr">
        <is>
          <t>68105</t>
        </is>
      </c>
      <c r="E18" s="4" t="inlineStr">
        <is>
          <t>Caja Symphony Rosa Claro</t>
        </is>
      </c>
      <c r="F18" s="4" t="inlineStr">
        <is>
          <t>Oasis</t>
        </is>
      </c>
      <c r="G18" s="4" t="inlineStr"/>
      <c r="H18" s="3" t="inlineStr"/>
      <c r="I18" s="3" t="n">
        <v>2</v>
      </c>
      <c r="J18" s="3" t="inlineStr">
        <is>
          <t>2 шт.</t>
        </is>
      </c>
      <c r="K18" s="4">
        <f>IMAGE("https://cdn.verdnatura.es/image/catalog/1600x900/68105")</f>
        <v/>
      </c>
      <c r="L18" s="5" t="n"/>
      <c r="M18" s="6" t="n"/>
      <c r="N18" s="7" t="n"/>
      <c r="O18" s="8" t="n">
        <v>10.45</v>
      </c>
      <c r="P18" s="8" t="n">
        <v>20.9</v>
      </c>
    </row>
    <row r="19" ht="26" customHeight="1">
      <c r="A19" s="2" t="inlineStr">
        <is>
          <t>📦  Накладная #13032873  ·  29-06-2026  ·  Plaza  ·  2 позиций  ·  bultos: 2</t>
        </is>
      </c>
    </row>
    <row r="20" ht="110" customHeight="1">
      <c r="A20" s="3" t="inlineStr">
        <is>
          <t>13032873</t>
        </is>
      </c>
      <c r="B20" s="3" t="inlineStr">
        <is>
          <t>29-06-2026</t>
        </is>
      </c>
      <c r="C20" s="3" t="inlineStr">
        <is>
          <t>Plaza</t>
        </is>
      </c>
      <c r="D20" s="3" t="inlineStr">
        <is>
          <t>207271</t>
        </is>
      </c>
      <c r="E20" s="4" t="inlineStr">
        <is>
          <t>ARG Piñas Terracota</t>
        </is>
      </c>
      <c r="F20" s="4" t="inlineStr">
        <is>
          <t>Excellent-plus</t>
        </is>
      </c>
      <c r="G20" s="4" t="inlineStr">
        <is>
          <t>COLOR Mixto · ALTURA 40 cm · MACETA 14</t>
        </is>
      </c>
      <c r="H20" s="3" t="inlineStr"/>
      <c r="I20" s="3" t="n">
        <v>6</v>
      </c>
      <c r="J20" s="3" t="inlineStr">
        <is>
          <t>6 шт.</t>
        </is>
      </c>
      <c r="K20" s="4">
        <f>IMAGE("https://cdn.verdnatura.es/image/catalog/1600x900/207271")</f>
        <v/>
      </c>
      <c r="L20" s="5" t="n"/>
      <c r="M20" s="6" t="n"/>
      <c r="N20" s="7" t="n"/>
      <c r="O20" s="8" t="n">
        <v>4.51</v>
      </c>
      <c r="P20" s="8" t="n">
        <v>27.06</v>
      </c>
    </row>
    <row r="21" ht="110" customHeight="1">
      <c r="A21" s="3" t="inlineStr">
        <is>
          <t>13032873</t>
        </is>
      </c>
      <c r="B21" s="3" t="inlineStr">
        <is>
          <t>29-06-2026</t>
        </is>
      </c>
      <c r="C21" s="3" t="inlineStr">
        <is>
          <t>Plaza</t>
        </is>
      </c>
      <c r="D21" s="3" t="inlineStr">
        <is>
          <t>5104</t>
        </is>
      </c>
      <c r="E21" s="4" t="inlineStr">
        <is>
          <t>Esponja Maxlife</t>
        </is>
      </c>
      <c r="F21" s="4" t="inlineStr">
        <is>
          <t>Oasis</t>
        </is>
      </c>
      <c r="G21" s="4" t="inlineStr"/>
      <c r="H21" s="3" t="inlineStr"/>
      <c r="I21" s="3" t="n">
        <v>4</v>
      </c>
      <c r="J21" s="3" t="inlineStr">
        <is>
          <t>4 шт.</t>
        </is>
      </c>
      <c r="K21" s="4">
        <f>IMAGE("https://cdn.verdnatura.es/image/catalog/1600x900/5104")</f>
        <v/>
      </c>
      <c r="L21" s="5" t="n"/>
      <c r="M21" s="6" t="n"/>
      <c r="N21" s="7" t="n"/>
      <c r="O21" s="8" t="n">
        <v>13.13</v>
      </c>
      <c r="P21" s="8" t="n">
        <v>52.52</v>
      </c>
    </row>
    <row r="22" ht="26" customHeight="1">
      <c r="A22" s="2" t="inlineStr">
        <is>
          <t>📦  Накладная #13033309  ·  29-06-2026  ·  Plaza  ·  13 позиций  ·  bultos: 2</t>
        </is>
      </c>
    </row>
    <row r="23" ht="110" customHeight="1">
      <c r="A23" s="3" t="inlineStr">
        <is>
          <t>13033309</t>
        </is>
      </c>
      <c r="B23" s="3" t="inlineStr">
        <is>
          <t>29-06-2026</t>
        </is>
      </c>
      <c r="C23" s="3" t="inlineStr">
        <is>
          <t>Plaza</t>
        </is>
      </c>
      <c r="D23" s="3" t="inlineStr">
        <is>
          <t>151845</t>
        </is>
      </c>
      <c r="E23" s="4" t="inlineStr">
        <is>
          <t>Asp Tree Fern</t>
        </is>
      </c>
      <c r="F23" s="4" t="inlineStr">
        <is>
          <t>The Green Genie</t>
        </is>
      </c>
      <c r="G23" s="4" t="inlineStr">
        <is>
          <t>COLOR Verde · ALTURA 70 cm</t>
        </is>
      </c>
      <c r="H23" s="3" t="inlineStr">
        <is>
          <t>Paquete</t>
        </is>
      </c>
      <c r="I23" s="3" t="n">
        <v>3</v>
      </c>
      <c r="J23" s="3" t="inlineStr">
        <is>
          <t>3 пачек</t>
        </is>
      </c>
      <c r="K23" s="4">
        <f>IMAGE("https://cdn.verdnatura.es/image/catalog/1600x900/151845")</f>
        <v/>
      </c>
      <c r="L23" s="5" t="n"/>
      <c r="M23" s="6" t="n"/>
      <c r="N23" s="7" t="n"/>
      <c r="O23" s="8" t="n">
        <v>2.68</v>
      </c>
      <c r="P23" s="8" t="n">
        <v>8.039999999999999</v>
      </c>
    </row>
    <row r="24" ht="110" customHeight="1">
      <c r="A24" s="3" t="inlineStr">
        <is>
          <t>13033309</t>
        </is>
      </c>
      <c r="B24" s="3" t="inlineStr">
        <is>
          <t>29-06-2026</t>
        </is>
      </c>
      <c r="C24" s="3" t="inlineStr">
        <is>
          <t>Plaza</t>
        </is>
      </c>
      <c r="D24" s="3" t="inlineStr">
        <is>
          <t>23434</t>
        </is>
      </c>
      <c r="E24" s="4" t="inlineStr">
        <is>
          <t>Base Acuatica Kraft</t>
        </is>
      </c>
      <c r="F24" s="4" t="inlineStr">
        <is>
          <t>Clayrton's</t>
        </is>
      </c>
      <c r="G24" s="4" t="inlineStr">
        <is>
          <t>ALTURA 24.7 cm · DIAMETRO 11.4 cm · FORMATO Waterproof</t>
        </is>
      </c>
      <c r="H24" s="3" t="inlineStr"/>
      <c r="I24" s="3" t="n">
        <v>20</v>
      </c>
      <c r="J24" s="3" t="inlineStr">
        <is>
          <t>20 шт.</t>
        </is>
      </c>
      <c r="K24" s="4">
        <f>IMAGE("https://cdn.verdnatura.es/image/catalog/1600x900/23434")</f>
        <v/>
      </c>
      <c r="L24" s="5" t="n"/>
      <c r="M24" s="6" t="n"/>
      <c r="N24" s="7" t="n"/>
      <c r="O24" s="8" t="n">
        <v>1.25</v>
      </c>
      <c r="P24" s="8" t="n">
        <v>25</v>
      </c>
    </row>
    <row r="25" ht="110" customHeight="1">
      <c r="A25" s="3" t="inlineStr">
        <is>
          <t>13033309</t>
        </is>
      </c>
      <c r="B25" s="3" t="inlineStr">
        <is>
          <t>29-06-2026</t>
        </is>
      </c>
      <c r="C25" s="3" t="inlineStr">
        <is>
          <t>Plaza</t>
        </is>
      </c>
      <c r="D25" s="3" t="inlineStr">
        <is>
          <t>23435</t>
        </is>
      </c>
      <c r="E25" s="4" t="inlineStr">
        <is>
          <t>Base Acuatica Kraft</t>
        </is>
      </c>
      <c r="F25" s="4" t="inlineStr">
        <is>
          <t>Clayrton's</t>
        </is>
      </c>
      <c r="G25" s="4" t="inlineStr">
        <is>
          <t>ALTURA 27.3 cm · DIAMETRO 12.5 cm · FORMATO Waterproof</t>
        </is>
      </c>
      <c r="H25" s="3" t="inlineStr"/>
      <c r="I25" s="3" t="n">
        <v>20</v>
      </c>
      <c r="J25" s="3" t="inlineStr">
        <is>
          <t>20 шт.</t>
        </is>
      </c>
      <c r="K25" s="4">
        <f>IMAGE("https://cdn.verdnatura.es/image/catalog/1600x900/23435")</f>
        <v/>
      </c>
      <c r="L25" s="5" t="n"/>
      <c r="M25" s="6" t="n"/>
      <c r="N25" s="7" t="n"/>
      <c r="O25" s="8" t="n">
        <v>1.48</v>
      </c>
      <c r="P25" s="8" t="n">
        <v>29.6</v>
      </c>
    </row>
    <row r="26" ht="110" customHeight="1">
      <c r="A26" s="3" t="inlineStr">
        <is>
          <t>13033309</t>
        </is>
      </c>
      <c r="B26" s="3" t="inlineStr">
        <is>
          <t>29-06-2026</t>
        </is>
      </c>
      <c r="C26" s="3" t="inlineStr">
        <is>
          <t>Plaza</t>
        </is>
      </c>
      <c r="D26" s="3" t="inlineStr">
        <is>
          <t>207193</t>
        </is>
      </c>
      <c r="E26" s="4" t="inlineStr">
        <is>
          <t>CR Vibes Purple</t>
        </is>
      </c>
      <c r="F26" s="4" t="inlineStr">
        <is>
          <t>Vegaflor</t>
        </is>
      </c>
      <c r="G26" s="4" t="inlineStr">
        <is>
          <t>COLOR Morado · ALTURA 70 cm · PESO/TALLO 60-65 gr</t>
        </is>
      </c>
      <c r="H26" s="3" t="inlineStr"/>
      <c r="I26" s="3" t="n">
        <v>20</v>
      </c>
      <c r="J26" s="3" t="inlineStr">
        <is>
          <t>20 шт.</t>
        </is>
      </c>
      <c r="K26" s="4">
        <f>IMAGE("https://cdn.verdnatura.es/image/catalog/1600x900/207193")</f>
        <v/>
      </c>
      <c r="L26" s="5" t="n"/>
      <c r="M26" s="6" t="n"/>
      <c r="N26" s="7" t="n"/>
      <c r="O26" s="8" t="n">
        <v>0.37</v>
      </c>
      <c r="P26" s="8" t="n">
        <v>7.4</v>
      </c>
    </row>
    <row r="27" ht="110" customHeight="1">
      <c r="A27" s="3" t="inlineStr">
        <is>
          <t>13033309</t>
        </is>
      </c>
      <c r="B27" s="3" t="inlineStr">
        <is>
          <t>29-06-2026</t>
        </is>
      </c>
      <c r="C27" s="3" t="inlineStr">
        <is>
          <t>Plaza</t>
        </is>
      </c>
      <c r="D27" s="3" t="inlineStr">
        <is>
          <t>124727</t>
        </is>
      </c>
      <c r="E27" s="4" t="inlineStr">
        <is>
          <t>Girasol Annus Red</t>
        </is>
      </c>
      <c r="F27" s="4" t="inlineStr">
        <is>
          <t>RencaFlor</t>
        </is>
      </c>
      <c r="G27" s="4" t="inlineStr">
        <is>
          <t>COLOR Granate · ALTURA 70 cm</t>
        </is>
      </c>
      <c r="H27" s="3" t="inlineStr"/>
      <c r="I27" s="3" t="n">
        <v>30</v>
      </c>
      <c r="J27" s="3" t="inlineStr">
        <is>
          <t>30 шт.</t>
        </is>
      </c>
      <c r="K27" s="4">
        <f>IMAGE("https://cdn.verdnatura.es/image/catalog/1600x900/124727")</f>
        <v/>
      </c>
      <c r="L27" s="5" t="n"/>
      <c r="M27" s="6" t="n"/>
      <c r="N27" s="7" t="n"/>
      <c r="O27" s="8" t="n">
        <v>0.64</v>
      </c>
      <c r="P27" s="8" t="n">
        <v>19.2</v>
      </c>
    </row>
    <row r="28" ht="110" customHeight="1">
      <c r="A28" s="3" t="inlineStr">
        <is>
          <t>13033309</t>
        </is>
      </c>
      <c r="B28" s="3" t="inlineStr">
        <is>
          <t>29-06-2026</t>
        </is>
      </c>
      <c r="C28" s="3" t="inlineStr">
        <is>
          <t>Plaza</t>
        </is>
      </c>
      <c r="D28" s="3" t="inlineStr">
        <is>
          <t>146802</t>
        </is>
      </c>
      <c r="E28" s="4" t="inlineStr">
        <is>
          <t>GRS Catalina</t>
        </is>
      </c>
      <c r="F28" s="4" t="inlineStr">
        <is>
          <t>Alexandra</t>
        </is>
      </c>
      <c r="G28" s="4" t="inlineStr">
        <is>
          <t>COLOR Amarillo · ALTURA 40 cm · BOTÓN MINIMO 3.5 cm</t>
        </is>
      </c>
      <c r="H28" s="3" t="inlineStr"/>
      <c r="I28" s="3" t="n">
        <v>24</v>
      </c>
      <c r="J28" s="3" t="inlineStr">
        <is>
          <t>24 шт.</t>
        </is>
      </c>
      <c r="K28" s="4">
        <f>IMAGE("https://cdn.verdnatura.es/image/catalog/1600x900/146802")</f>
        <v/>
      </c>
      <c r="L28" s="5" t="n"/>
      <c r="M28" s="6" t="n"/>
      <c r="N28" s="7" t="n"/>
      <c r="O28" s="8" t="n">
        <v>0.86</v>
      </c>
      <c r="P28" s="8" t="n">
        <v>20.64</v>
      </c>
    </row>
    <row r="29" ht="110" customHeight="1">
      <c r="A29" s="3" t="inlineStr">
        <is>
          <t>13033309</t>
        </is>
      </c>
      <c r="B29" s="3" t="inlineStr">
        <is>
          <t>29-06-2026</t>
        </is>
      </c>
      <c r="C29" s="3" t="inlineStr">
        <is>
          <t>Plaza</t>
        </is>
      </c>
      <c r="D29" s="3" t="inlineStr">
        <is>
          <t>150541</t>
        </is>
      </c>
      <c r="E29" s="4" t="inlineStr">
        <is>
          <t>GRS Mayra Pink</t>
        </is>
      </c>
      <c r="F29" s="4" t="inlineStr">
        <is>
          <t>La Rosaleda</t>
        </is>
      </c>
      <c r="G29" s="4" t="inlineStr">
        <is>
          <t>COLOR Rosa · ALTURA 50 cm</t>
        </is>
      </c>
      <c r="H29" s="3" t="inlineStr"/>
      <c r="I29" s="3" t="n">
        <v>25</v>
      </c>
      <c r="J29" s="3" t="inlineStr">
        <is>
          <t>25 шт.</t>
        </is>
      </c>
      <c r="K29" s="4">
        <f>IMAGE("https://cdn.verdnatura.es/image/catalog/1600x900/150541")</f>
        <v/>
      </c>
      <c r="L29" s="5" t="n"/>
      <c r="M29" s="6" t="n"/>
      <c r="N29" s="7" t="n"/>
      <c r="O29" s="8" t="n">
        <v>0.86</v>
      </c>
      <c r="P29" s="8" t="n">
        <v>21.5</v>
      </c>
    </row>
    <row r="30" ht="110" customHeight="1">
      <c r="A30" s="3" t="inlineStr">
        <is>
          <t>13033309</t>
        </is>
      </c>
      <c r="B30" s="3" t="inlineStr">
        <is>
          <t>29-06-2026</t>
        </is>
      </c>
      <c r="C30" s="3" t="inlineStr">
        <is>
          <t>Plaza</t>
        </is>
      </c>
      <c r="D30" s="3" t="inlineStr">
        <is>
          <t>160767</t>
        </is>
      </c>
      <c r="E30" s="4" t="inlineStr">
        <is>
          <t>HYD Lime Green SEL</t>
        </is>
      </c>
      <c r="F30" s="4" t="inlineStr">
        <is>
          <t>Eden Flowers</t>
        </is>
      </c>
      <c r="G30" s="4" t="inlineStr">
        <is>
          <t>COLOR Verde Claro · ALTURA 60 cm · DIAMETRO 15 cm</t>
        </is>
      </c>
      <c r="H30" s="3" t="inlineStr"/>
      <c r="I30" s="3" t="n">
        <v>20</v>
      </c>
      <c r="J30" s="3" t="inlineStr">
        <is>
          <t>20 шт.</t>
        </is>
      </c>
      <c r="K30" s="4">
        <f>IMAGE("https://cdn.verdnatura.es/image/catalog/1600x900/160767")</f>
        <v/>
      </c>
      <c r="L30" s="5" t="n"/>
      <c r="M30" s="6" t="n"/>
      <c r="N30" s="7" t="n"/>
      <c r="O30" s="8" t="n">
        <v>1.13</v>
      </c>
      <c r="P30" s="8" t="n">
        <v>22.6</v>
      </c>
    </row>
    <row r="31" ht="110" customHeight="1">
      <c r="A31" s="3" t="inlineStr">
        <is>
          <t>13033309</t>
        </is>
      </c>
      <c r="B31" s="3" t="inlineStr">
        <is>
          <t>29-06-2026</t>
        </is>
      </c>
      <c r="C31" s="3" t="inlineStr">
        <is>
          <t>Plaza</t>
        </is>
      </c>
      <c r="D31" s="3" t="inlineStr">
        <is>
          <t>5103</t>
        </is>
      </c>
      <c r="E31" s="4" t="inlineStr">
        <is>
          <t>Pelarosa Goma</t>
        </is>
      </c>
      <c r="F31" s="4" t="inlineStr">
        <is>
          <t>Oasis</t>
        </is>
      </c>
      <c r="G31" s="4" t="inlineStr"/>
      <c r="H31" s="3" t="inlineStr"/>
      <c r="I31" s="3" t="n">
        <v>1</v>
      </c>
      <c r="J31" s="3" t="inlineStr">
        <is>
          <t>1 шт.</t>
        </is>
      </c>
      <c r="K31" s="4">
        <f>IMAGE("https://cdn.verdnatura.es/image/catalog/1600x900/5103")</f>
        <v/>
      </c>
      <c r="L31" s="5" t="n"/>
      <c r="M31" s="6" t="n"/>
      <c r="N31" s="7" t="n"/>
      <c r="O31" s="8" t="n">
        <v>8.58</v>
      </c>
      <c r="P31" s="8" t="n">
        <v>8.58</v>
      </c>
    </row>
    <row r="32" ht="110" customHeight="1">
      <c r="A32" s="3" t="inlineStr">
        <is>
          <t>13033309</t>
        </is>
      </c>
      <c r="B32" s="3" t="inlineStr">
        <is>
          <t>29-06-2026</t>
        </is>
      </c>
      <c r="C32" s="3" t="inlineStr">
        <is>
          <t>Plaza</t>
        </is>
      </c>
      <c r="D32" s="3" t="inlineStr">
        <is>
          <t>17624</t>
        </is>
      </c>
      <c r="E32" s="4" t="inlineStr">
        <is>
          <t>Pelarosa Plastico</t>
        </is>
      </c>
      <c r="F32" s="4" t="inlineStr">
        <is>
          <t>Oasis</t>
        </is>
      </c>
      <c r="G32" s="4" t="inlineStr">
        <is>
          <t>COLOR Amarillo</t>
        </is>
      </c>
      <c r="H32" s="3" t="inlineStr"/>
      <c r="I32" s="3" t="n">
        <v>1</v>
      </c>
      <c r="J32" s="3" t="inlineStr">
        <is>
          <t>1 шт.</t>
        </is>
      </c>
      <c r="K32" s="4">
        <f>IMAGE("https://cdn.verdnatura.es/image/catalog/1600x900/17624")</f>
        <v/>
      </c>
      <c r="L32" s="5" t="n"/>
      <c r="M32" s="6" t="n"/>
      <c r="N32" s="7" t="n"/>
      <c r="O32" s="8" t="n">
        <v>4.63</v>
      </c>
      <c r="P32" s="8" t="n">
        <v>4.63</v>
      </c>
    </row>
    <row r="33" ht="110" customHeight="1">
      <c r="A33" s="3" t="inlineStr">
        <is>
          <t>13033309</t>
        </is>
      </c>
      <c r="B33" s="3" t="inlineStr">
        <is>
          <t>29-06-2026</t>
        </is>
      </c>
      <c r="C33" s="3" t="inlineStr">
        <is>
          <t>Plaza</t>
        </is>
      </c>
      <c r="D33" s="3" t="inlineStr">
        <is>
          <t>135400</t>
        </is>
      </c>
      <c r="E33" s="4" t="inlineStr">
        <is>
          <t>Peonia Sarah Bernhard</t>
        </is>
      </c>
      <c r="F33" s="4" t="inlineStr">
        <is>
          <t>My-Peony</t>
        </is>
      </c>
      <c r="G33" s="4" t="inlineStr">
        <is>
          <t>COLOR Rosa Claro · ALTURA 55 cm · APERTURA 2-3</t>
        </is>
      </c>
      <c r="H33" s="3" t="inlineStr"/>
      <c r="I33" s="3" t="n">
        <v>50</v>
      </c>
      <c r="J33" s="3" t="inlineStr">
        <is>
          <t>50 шт.</t>
        </is>
      </c>
      <c r="K33" s="4">
        <f>IMAGE("https://cdn.verdnatura.es/image/catalog/1600x900/135400")</f>
        <v/>
      </c>
      <c r="L33" s="5" t="n"/>
      <c r="M33" s="6" t="n"/>
      <c r="N33" s="7" t="n"/>
      <c r="O33" s="8" t="n">
        <v>1.26</v>
      </c>
      <c r="P33" s="8" t="n">
        <v>63</v>
      </c>
    </row>
    <row r="34" ht="110" customHeight="1">
      <c r="A34" s="3" t="inlineStr">
        <is>
          <t>13033309</t>
        </is>
      </c>
      <c r="B34" s="3" t="inlineStr">
        <is>
          <t>29-06-2026</t>
        </is>
      </c>
      <c r="C34" s="3" t="inlineStr">
        <is>
          <t>Plaza</t>
        </is>
      </c>
      <c r="D34" s="3" t="inlineStr">
        <is>
          <t>141600</t>
        </is>
      </c>
      <c r="E34" s="4" t="inlineStr">
        <is>
          <t>RS Be Sweet EXT</t>
        </is>
      </c>
      <c r="F34" s="4" t="inlineStr">
        <is>
          <t>Santa Dorotea</t>
        </is>
      </c>
      <c r="G34" s="4" t="inlineStr">
        <is>
          <t>COLOR Rosa Claro · ALTURA 60 cm · BOTÓN MINIMO 5.5 cm</t>
        </is>
      </c>
      <c r="H34" s="3" t="inlineStr"/>
      <c r="I34" s="3" t="n">
        <v>25</v>
      </c>
      <c r="J34" s="3" t="inlineStr">
        <is>
          <t>25 шт.</t>
        </is>
      </c>
      <c r="K34" s="4">
        <f>IMAGE("https://cdn.verdnatura.es/image/catalog/1600x900/141600")</f>
        <v/>
      </c>
      <c r="L34" s="5" t="n"/>
      <c r="M34" s="6" t="n"/>
      <c r="N34" s="7" t="n"/>
      <c r="O34" s="8" t="n">
        <v>0.67</v>
      </c>
      <c r="P34" s="8" t="n">
        <v>16.75</v>
      </c>
    </row>
    <row r="35" ht="110" customHeight="1">
      <c r="A35" s="3" t="inlineStr">
        <is>
          <t>13033309</t>
        </is>
      </c>
      <c r="B35" s="3" t="inlineStr">
        <is>
          <t>29-06-2026</t>
        </is>
      </c>
      <c r="C35" s="3" t="inlineStr">
        <is>
          <t>Plaza</t>
        </is>
      </c>
      <c r="D35" s="3" t="inlineStr">
        <is>
          <t>179996</t>
        </is>
      </c>
      <c r="E35" s="4" t="inlineStr">
        <is>
          <t>RS Mandarin X-Pression</t>
        </is>
      </c>
      <c r="F35" s="4" t="inlineStr">
        <is>
          <t>Native</t>
        </is>
      </c>
      <c r="G35" s="4" t="inlineStr">
        <is>
          <t>COLOR Rosa · ALTURA 60 cm</t>
        </is>
      </c>
      <c r="H35" s="3" t="inlineStr"/>
      <c r="I35" s="3" t="n">
        <v>25</v>
      </c>
      <c r="J35" s="3" t="inlineStr">
        <is>
          <t>25 шт.</t>
        </is>
      </c>
      <c r="K35" s="4">
        <f>IMAGE("https://cdn.verdnatura.es/image/catalog/1600x900/179996")</f>
        <v/>
      </c>
      <c r="L35" s="5" t="n"/>
      <c r="M35" s="6" t="n"/>
      <c r="N35" s="7" t="n"/>
      <c r="O35" s="8" t="n">
        <v>0.9399999999999999</v>
      </c>
      <c r="P35" s="8" t="n">
        <v>23.5</v>
      </c>
    </row>
  </sheetData>
  <mergeCells count="4">
    <mergeCell ref="A22:P22"/>
    <mergeCell ref="A14:P14"/>
    <mergeCell ref="A19:P19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2026-06-30T09:08:45Z</dcterms:created>
  <dcterms:modified xmlns:dcterms="http://purl.org/dc/terms/" xmlns:xsi="http://www.w3.org/2001/XMLSchema-instance" xsi:type="dcterms:W3CDTF">2026-06-30T09:08:45Z</dcterms:modified>
</cp:coreProperties>
</file>