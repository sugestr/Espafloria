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#13013790  ·  29-06-2026  ·  Gloria  ·  1 позиций  ·  bultos: 1</t>
        </is>
      </c>
    </row>
    <row r="3" ht="110" customHeight="1">
      <c r="A3" s="3" t="inlineStr">
        <is>
          <t>13013790</t>
        </is>
      </c>
      <c r="B3" s="3" t="inlineStr">
        <is>
          <t>29-06-2026</t>
        </is>
      </c>
      <c r="C3" s="3" t="inlineStr">
        <is>
          <t>Gloria</t>
        </is>
      </c>
      <c r="D3" s="3" t="inlineStr">
        <is>
          <t>81945</t>
        </is>
      </c>
      <c r="E3" s="4" t="inlineStr">
        <is>
          <t>Croton Petra</t>
        </is>
      </c>
      <c r="F3" s="4" t="inlineStr">
        <is>
          <t>VF</t>
        </is>
      </c>
      <c r="G3" s="4" t="inlineStr">
        <is>
          <t>COLOR Rojo/Verde · ALTURA 50 cm · MACETA 17</t>
        </is>
      </c>
      <c r="H3" s="3" t="inlineStr"/>
      <c r="I3" s="3" t="n">
        <v>6</v>
      </c>
      <c r="J3" s="3" t="inlineStr">
        <is>
          <t>6 шт.</t>
        </is>
      </c>
      <c r="K3" s="4">
        <f>IMAGE("https://cdn.verdnatura.es/image/catalog/1600x900/81945")</f>
        <v/>
      </c>
      <c r="L3" s="5" t="n"/>
      <c r="M3" s="6" t="n"/>
      <c r="N3" s="7" t="n"/>
      <c r="O3" s="8" t="n">
        <v>7.56</v>
      </c>
      <c r="P3" s="8" t="n">
        <v>45.36</v>
      </c>
    </row>
    <row r="4" ht="26" customHeight="1">
      <c r="A4" s="2" t="inlineStr">
        <is>
          <t>📦  Накладная #13032231  ·  29-06-2026  ·  Gloria  ·  33 позиций  ·  bultos: 6</t>
        </is>
      </c>
    </row>
    <row r="5" ht="110" customHeight="1">
      <c r="A5" s="3" t="inlineStr">
        <is>
          <t>13032231</t>
        </is>
      </c>
      <c r="B5" s="3" t="inlineStr">
        <is>
          <t>29-06-2026</t>
        </is>
      </c>
      <c r="C5" s="3" t="inlineStr">
        <is>
          <t>Gloria</t>
        </is>
      </c>
      <c r="D5" s="3" t="inlineStr">
        <is>
          <t>154085</t>
        </is>
      </c>
      <c r="E5" s="4" t="inlineStr">
        <is>
          <t>ANT Mix x16</t>
        </is>
      </c>
      <c r="F5" s="4" t="inlineStr"/>
      <c r="G5" s="4" t="inlineStr">
        <is>
          <t>COLOR Mixto · ALTURA 40-50 cm · DIAMETRO 10-12 cm</t>
        </is>
      </c>
      <c r="H5" s="3" t="inlineStr"/>
      <c r="I5" s="3" t="n">
        <v>16</v>
      </c>
      <c r="J5" s="3" t="inlineStr">
        <is>
          <t>16 шт.</t>
        </is>
      </c>
      <c r="K5" s="4">
        <f>IMAGE("https://cdn.verdnatura.es/image/catalog/1600x900/154085")</f>
        <v/>
      </c>
      <c r="L5" s="5" t="n"/>
      <c r="M5" s="6" t="n"/>
      <c r="N5" s="7" t="n"/>
      <c r="O5" s="8" t="n">
        <v>1.46</v>
      </c>
      <c r="P5" s="8" t="n">
        <v>23.36</v>
      </c>
    </row>
    <row r="6" ht="110" customHeight="1">
      <c r="A6" s="3" t="inlineStr">
        <is>
          <t>13032231</t>
        </is>
      </c>
      <c r="B6" s="3" t="inlineStr">
        <is>
          <t>29-06-2026</t>
        </is>
      </c>
      <c r="C6" s="3" t="inlineStr">
        <is>
          <t>Gloria</t>
        </is>
      </c>
      <c r="D6" s="3" t="inlineStr">
        <is>
          <t>110393</t>
        </is>
      </c>
      <c r="E6" s="4" t="inlineStr">
        <is>
          <t>ASP SET Pintado Burgundy</t>
        </is>
      </c>
      <c r="F6" s="4" t="inlineStr"/>
      <c r="G6" s="4" t="inlineStr">
        <is>
          <t>COLOR Burdeos · ALTURA 45 cm</t>
        </is>
      </c>
      <c r="H6" s="3" t="inlineStr">
        <is>
          <t>Tallo</t>
        </is>
      </c>
      <c r="I6" s="3" t="n">
        <v>50</v>
      </c>
      <c r="J6" s="3" t="inlineStr">
        <is>
          <t>50 стеблей</t>
        </is>
      </c>
      <c r="K6" s="4">
        <f>IMAGE("https://cdn.verdnatura.es/image/catalog/1600x900/110393")</f>
        <v/>
      </c>
      <c r="L6" s="5" t="n"/>
      <c r="M6" s="6" t="n"/>
      <c r="N6" s="7" t="n"/>
      <c r="O6" s="8" t="n">
        <v>0.23</v>
      </c>
      <c r="P6" s="8" t="n">
        <v>11.5</v>
      </c>
    </row>
    <row r="7" ht="110" customHeight="1">
      <c r="A7" s="3" t="inlineStr">
        <is>
          <t>13032231</t>
        </is>
      </c>
      <c r="B7" s="3" t="inlineStr">
        <is>
          <t>29-06-2026</t>
        </is>
      </c>
      <c r="C7" s="3" t="inlineStr">
        <is>
          <t>Gloria</t>
        </is>
      </c>
      <c r="D7" s="3" t="inlineStr">
        <is>
          <t>186655</t>
        </is>
      </c>
      <c r="E7" s="4" t="inlineStr">
        <is>
          <t>Bupleurum Rotundifolia</t>
        </is>
      </c>
      <c r="F7" s="4" t="inlineStr">
        <is>
          <t>Precise Flowers Ltd</t>
        </is>
      </c>
      <c r="G7" s="4" t="inlineStr">
        <is>
          <t>COLOR Verde · ALTURA 70 cm</t>
        </is>
      </c>
      <c r="H7" s="3" t="inlineStr">
        <is>
          <t>Tallo</t>
        </is>
      </c>
      <c r="I7" s="3" t="n">
        <v>50</v>
      </c>
      <c r="J7" s="3" t="inlineStr">
        <is>
          <t>50 стеблей</t>
        </is>
      </c>
      <c r="K7" s="4">
        <f>IMAGE("https://cdn.verdnatura.es/image/catalog/1600x900/186655")</f>
        <v/>
      </c>
      <c r="L7" s="5" t="n"/>
      <c r="M7" s="6" t="n"/>
      <c r="N7" s="7" t="n"/>
      <c r="O7" s="8" t="n">
        <v>0.34</v>
      </c>
      <c r="P7" s="8" t="n">
        <v>17</v>
      </c>
    </row>
    <row r="8" ht="110" customHeight="1">
      <c r="A8" s="3" t="inlineStr">
        <is>
          <t>13032231</t>
        </is>
      </c>
      <c r="B8" s="3" t="inlineStr">
        <is>
          <t>29-06-2026</t>
        </is>
      </c>
      <c r="C8" s="3" t="inlineStr">
        <is>
          <t>Gloria</t>
        </is>
      </c>
      <c r="D8" s="3" t="inlineStr">
        <is>
          <t>51281</t>
        </is>
      </c>
      <c r="E8" s="4" t="inlineStr">
        <is>
          <t>Cala Zazu</t>
        </is>
      </c>
      <c r="F8" s="4" t="inlineStr"/>
      <c r="G8" s="4" t="inlineStr">
        <is>
          <t>COLOR Rosa · ALTURA 50 cm</t>
        </is>
      </c>
      <c r="H8" s="3" t="inlineStr"/>
      <c r="I8" s="3" t="n">
        <v>20</v>
      </c>
      <c r="J8" s="3" t="inlineStr">
        <is>
          <t>20 шт.</t>
        </is>
      </c>
      <c r="K8" s="4">
        <f>IMAGE("https://cdn.verdnatura.es/image/catalog/1600x900/51281")</f>
        <v/>
      </c>
      <c r="L8" s="5" t="n"/>
      <c r="M8" s="6" t="n"/>
      <c r="N8" s="7" t="n"/>
      <c r="O8" s="8" t="n">
        <v>0.43</v>
      </c>
      <c r="P8" s="8" t="n">
        <v>8.6</v>
      </c>
    </row>
    <row r="9" ht="110" customHeight="1">
      <c r="A9" s="3" t="inlineStr">
        <is>
          <t>13032231</t>
        </is>
      </c>
      <c r="B9" s="3" t="inlineStr">
        <is>
          <t>29-06-2026</t>
        </is>
      </c>
      <c r="C9" s="3" t="inlineStr">
        <is>
          <t>Gloria</t>
        </is>
      </c>
      <c r="D9" s="3" t="inlineStr">
        <is>
          <t>204221</t>
        </is>
      </c>
      <c r="E9" s="4" t="inlineStr">
        <is>
          <t>Cotinus Royal Purple</t>
        </is>
      </c>
      <c r="F9" s="4" t="inlineStr"/>
      <c r="G9" s="4" t="inlineStr">
        <is>
          <t>COLOR Granate · ALTURA 50 cm</t>
        </is>
      </c>
      <c r="H9" s="3" t="inlineStr">
        <is>
          <t>Tallo</t>
        </is>
      </c>
      <c r="I9" s="3" t="n">
        <v>30</v>
      </c>
      <c r="J9" s="3" t="inlineStr">
        <is>
          <t>30 стеблей</t>
        </is>
      </c>
      <c r="K9" s="4">
        <f>IMAGE("https://cdn.verdnatura.es/image/catalog/1600x900/204221")</f>
        <v/>
      </c>
      <c r="L9" s="5" t="n"/>
      <c r="M9" s="6" t="n"/>
      <c r="N9" s="7" t="n"/>
      <c r="O9" s="8" t="n">
        <v>0.25</v>
      </c>
      <c r="P9" s="8" t="n">
        <v>7.5</v>
      </c>
    </row>
    <row r="10" ht="110" customHeight="1">
      <c r="A10" s="3" t="inlineStr">
        <is>
          <t>13032231</t>
        </is>
      </c>
      <c r="B10" s="3" t="inlineStr">
        <is>
          <t>29-06-2026</t>
        </is>
      </c>
      <c r="C10" s="3" t="inlineStr">
        <is>
          <t>Gloria</t>
        </is>
      </c>
      <c r="D10" s="3" t="inlineStr">
        <is>
          <t>198749</t>
        </is>
      </c>
      <c r="E10" s="4" t="inlineStr">
        <is>
          <t>CR Altaj Galaxy</t>
        </is>
      </c>
      <c r="F10" s="4" t="inlineStr">
        <is>
          <t>Zentoo</t>
        </is>
      </c>
      <c r="G10" s="4" t="inlineStr">
        <is>
          <t>COLOR Purpura/Rosa · ALTURA 70 cm · PESO/TALLO 105 gr</t>
        </is>
      </c>
      <c r="H10" s="3" t="inlineStr"/>
      <c r="I10" s="3" t="n">
        <v>60</v>
      </c>
      <c r="J10" s="3" t="inlineStr">
        <is>
          <t>60 шт.</t>
        </is>
      </c>
      <c r="K10" s="4">
        <f>IMAGE("https://cdn.verdnatura.es/image/catalog/1600x900/198749")</f>
        <v/>
      </c>
      <c r="L10" s="5" t="n"/>
      <c r="M10" s="6" t="n"/>
      <c r="N10" s="7" t="n"/>
      <c r="O10" s="8" t="n">
        <v>0.85</v>
      </c>
      <c r="P10" s="8" t="n">
        <v>51</v>
      </c>
    </row>
    <row r="11" ht="110" customHeight="1">
      <c r="A11" s="3" t="inlineStr">
        <is>
          <t>13032231</t>
        </is>
      </c>
      <c r="B11" s="3" t="inlineStr">
        <is>
          <t>29-06-2026</t>
        </is>
      </c>
      <c r="C11" s="3" t="inlineStr">
        <is>
          <t>Gloria</t>
        </is>
      </c>
      <c r="D11" s="3" t="inlineStr">
        <is>
          <t>198746</t>
        </is>
      </c>
      <c r="E11" s="4" t="inlineStr">
        <is>
          <t>CR Altaj Soft Pink</t>
        </is>
      </c>
      <c r="F11" s="4" t="inlineStr">
        <is>
          <t>Zentoo</t>
        </is>
      </c>
      <c r="G11" s="4" t="inlineStr">
        <is>
          <t>COLOR Rosa Claro · ALTURA 70 cm</t>
        </is>
      </c>
      <c r="H11" s="3" t="inlineStr"/>
      <c r="I11" s="3" t="n">
        <v>60</v>
      </c>
      <c r="J11" s="3" t="inlineStr">
        <is>
          <t>60 шт.</t>
        </is>
      </c>
      <c r="K11" s="4">
        <f>IMAGE("https://cdn.verdnatura.es/image/catalog/1600x900/198746")</f>
        <v/>
      </c>
      <c r="L11" s="5" t="n"/>
      <c r="M11" s="6" t="n"/>
      <c r="N11" s="7" t="n"/>
      <c r="O11" s="8" t="n">
        <v>0.85</v>
      </c>
      <c r="P11" s="8" t="n">
        <v>51</v>
      </c>
    </row>
    <row r="12" ht="110" customHeight="1">
      <c r="A12" s="3" t="inlineStr">
        <is>
          <t>13032231</t>
        </is>
      </c>
      <c r="B12" s="3" t="inlineStr">
        <is>
          <t>29-06-2026</t>
        </is>
      </c>
      <c r="C12" s="3" t="inlineStr">
        <is>
          <t>Gloria</t>
        </is>
      </c>
      <c r="D12" s="3" t="inlineStr">
        <is>
          <t>207280</t>
        </is>
      </c>
      <c r="E12" s="4" t="inlineStr">
        <is>
          <t>CR SANT Ice Mix</t>
        </is>
      </c>
      <c r="F12" s="4" t="inlineStr">
        <is>
          <t>Van Helvoort Company</t>
        </is>
      </c>
      <c r="G12" s="4" t="inlineStr">
        <is>
          <t>COLOR Mixto · ALTURA 55 cm · PESO/PAQUETE 1000 gr</t>
        </is>
      </c>
      <c r="H12" s="3" t="inlineStr"/>
      <c r="I12" s="3" t="n">
        <v>100</v>
      </c>
      <c r="J12" s="3" t="inlineStr">
        <is>
          <t>100 шт.</t>
        </is>
      </c>
      <c r="K12" s="4">
        <f>IMAGE("https://cdn.verdnatura.es/image/catalog/1600x900/207280")</f>
        <v/>
      </c>
      <c r="L12" s="5" t="n"/>
      <c r="M12" s="6" t="n"/>
      <c r="N12" s="7" t="n"/>
      <c r="O12" s="8" t="n">
        <v>0.22</v>
      </c>
      <c r="P12" s="8" t="n">
        <v>22</v>
      </c>
    </row>
    <row r="13" ht="110" customHeight="1">
      <c r="A13" s="3" t="inlineStr">
        <is>
          <t>13032231</t>
        </is>
      </c>
      <c r="B13" s="3" t="inlineStr">
        <is>
          <t>29-06-2026</t>
        </is>
      </c>
      <c r="C13" s="3" t="inlineStr">
        <is>
          <t>Gloria</t>
        </is>
      </c>
      <c r="D13" s="3" t="inlineStr">
        <is>
          <t>28101</t>
        </is>
      </c>
      <c r="E13" s="4" t="inlineStr">
        <is>
          <t>CR SANT Rossi Pink</t>
        </is>
      </c>
      <c r="F13" s="4" t="inlineStr">
        <is>
          <t>LS Santini</t>
        </is>
      </c>
      <c r="G13" s="4" t="inlineStr">
        <is>
          <t>COLOR Rosa · ALTURA 55 cm</t>
        </is>
      </c>
      <c r="H13" s="3" t="inlineStr"/>
      <c r="I13" s="3" t="n">
        <v>50</v>
      </c>
      <c r="J13" s="3" t="inlineStr">
        <is>
          <t>50 шт.</t>
        </is>
      </c>
      <c r="K13" s="4">
        <f>IMAGE("https://cdn.verdnatura.es/image/catalog/1600x900/28101")</f>
        <v/>
      </c>
      <c r="L13" s="5" t="n"/>
      <c r="M13" s="6" t="n"/>
      <c r="N13" s="7" t="n"/>
      <c r="O13" s="8" t="n">
        <v>0.32</v>
      </c>
      <c r="P13" s="8" t="n">
        <v>16</v>
      </c>
    </row>
    <row r="14" ht="110" customHeight="1">
      <c r="A14" s="3" t="inlineStr">
        <is>
          <t>13032231</t>
        </is>
      </c>
      <c r="B14" s="3" t="inlineStr">
        <is>
          <t>29-06-2026</t>
        </is>
      </c>
      <c r="C14" s="3" t="inlineStr">
        <is>
          <t>Gloria</t>
        </is>
      </c>
      <c r="D14" s="3" t="inlineStr">
        <is>
          <t>205833</t>
        </is>
      </c>
      <c r="E14" s="4" t="inlineStr">
        <is>
          <t>CR SANT Sweet Dream Mix</t>
        </is>
      </c>
      <c r="F14" s="4" t="inlineStr">
        <is>
          <t>Van Helvoort Company</t>
        </is>
      </c>
      <c r="G14" s="4" t="inlineStr">
        <is>
          <t>COLOR Mixto · ALTURA 55 cm · PESO/PAQUETE 1000 gr</t>
        </is>
      </c>
      <c r="H14" s="3" t="inlineStr"/>
      <c r="I14" s="3" t="n">
        <v>100</v>
      </c>
      <c r="J14" s="3" t="inlineStr">
        <is>
          <t>100 шт.</t>
        </is>
      </c>
      <c r="K14" s="4">
        <f>IMAGE("https://cdn.verdnatura.es/image/catalog/1600x900/205833")</f>
        <v/>
      </c>
      <c r="L14" s="5" t="n"/>
      <c r="M14" s="6" t="n"/>
      <c r="N14" s="7" t="n"/>
      <c r="O14" s="8" t="n">
        <v>0.18</v>
      </c>
      <c r="P14" s="8" t="n">
        <v>18</v>
      </c>
    </row>
    <row r="15" ht="110" customHeight="1">
      <c r="A15" s="3" t="inlineStr">
        <is>
          <t>13032231</t>
        </is>
      </c>
      <c r="B15" s="3" t="inlineStr">
        <is>
          <t>29-06-2026</t>
        </is>
      </c>
      <c r="C15" s="3" t="inlineStr">
        <is>
          <t>Gloria</t>
        </is>
      </c>
      <c r="D15" s="3" t="inlineStr">
        <is>
          <t>158375</t>
        </is>
      </c>
      <c r="E15" s="4" t="inlineStr">
        <is>
          <t>CRU Rossano Elizabeth</t>
        </is>
      </c>
      <c r="F15" s="4" t="inlineStr">
        <is>
          <t>Zentoo</t>
        </is>
      </c>
      <c r="G15" s="4" t="inlineStr">
        <is>
          <t>COLOR Amarillo/Naranja · ALTURA 70 cm · PESO/TALLO 75 gr</t>
        </is>
      </c>
      <c r="H15" s="3" t="inlineStr"/>
      <c r="I15" s="3" t="n">
        <v>20</v>
      </c>
      <c r="J15" s="3" t="inlineStr">
        <is>
          <t>20 шт.</t>
        </is>
      </c>
      <c r="K15" s="4">
        <f>IMAGE("https://cdn.verdnatura.es/image/catalog/1600x900/158375")</f>
        <v/>
      </c>
      <c r="L15" s="5" t="n"/>
      <c r="M15" s="6" t="n"/>
      <c r="N15" s="7" t="n"/>
      <c r="O15" s="8" t="n">
        <v>0.42</v>
      </c>
      <c r="P15" s="8" t="n">
        <v>8.4</v>
      </c>
    </row>
    <row r="16" ht="110" customHeight="1">
      <c r="A16" s="3" t="inlineStr">
        <is>
          <t>13032231</t>
        </is>
      </c>
      <c r="B16" s="3" t="inlineStr">
        <is>
          <t>29-06-2026</t>
        </is>
      </c>
      <c r="C16" s="3" t="inlineStr">
        <is>
          <t>Gloria</t>
        </is>
      </c>
      <c r="D16" s="3" t="inlineStr">
        <is>
          <t>197354</t>
        </is>
      </c>
      <c r="E16" s="4" t="inlineStr">
        <is>
          <t>CRU Roxo</t>
        </is>
      </c>
      <c r="F16" s="4" t="inlineStr">
        <is>
          <t>Decorum Arcadia</t>
        </is>
      </c>
      <c r="G16" s="4" t="inlineStr">
        <is>
          <t>COLOR Fucsia · ALTURA 70 cm · PESO/TALLO 85 gr</t>
        </is>
      </c>
      <c r="H16" s="3" t="inlineStr"/>
      <c r="I16" s="3" t="n">
        <v>40</v>
      </c>
      <c r="J16" s="3" t="inlineStr">
        <is>
          <t>40 шт.</t>
        </is>
      </c>
      <c r="K16" s="4">
        <f>IMAGE("https://cdn.verdnatura.es/image/catalog/1600x900/197354")</f>
        <v/>
      </c>
      <c r="L16" s="5" t="n"/>
      <c r="M16" s="6" t="n"/>
      <c r="N16" s="7" t="n"/>
      <c r="O16" s="8" t="n">
        <v>0.46</v>
      </c>
      <c r="P16" s="8" t="n">
        <v>18.4</v>
      </c>
    </row>
    <row r="17" ht="110" customHeight="1">
      <c r="A17" s="3" t="inlineStr">
        <is>
          <t>13032231</t>
        </is>
      </c>
      <c r="B17" s="3" t="inlineStr">
        <is>
          <t>29-06-2026</t>
        </is>
      </c>
      <c r="C17" s="3" t="inlineStr">
        <is>
          <t>Gloria</t>
        </is>
      </c>
      <c r="D17" s="3" t="inlineStr">
        <is>
          <t>203986</t>
        </is>
      </c>
      <c r="E17" s="4" t="inlineStr">
        <is>
          <t>Daucus Carota Dara</t>
        </is>
      </c>
      <c r="F17" s="4" t="inlineStr">
        <is>
          <t>El Máquina S.L.</t>
        </is>
      </c>
      <c r="G17" s="4" t="inlineStr">
        <is>
          <t>COLOR Púrpura · ALTURA 70 cm</t>
        </is>
      </c>
      <c r="H17" s="3" t="inlineStr">
        <is>
          <t>Paquete</t>
        </is>
      </c>
      <c r="I17" s="3" t="n">
        <v>4</v>
      </c>
      <c r="J17" s="3" t="inlineStr">
        <is>
          <t>4 пачек</t>
        </is>
      </c>
      <c r="K17" s="4">
        <f>IMAGE("https://cdn.verdnatura.es/image/catalog/1600x900/203986")</f>
        <v/>
      </c>
      <c r="L17" s="5" t="n"/>
      <c r="M17" s="6" t="n"/>
      <c r="N17" s="7" t="n"/>
      <c r="O17" s="8" t="n">
        <v>2.21</v>
      </c>
      <c r="P17" s="8" t="n">
        <v>8.84</v>
      </c>
    </row>
    <row r="18" ht="110" customHeight="1">
      <c r="A18" s="3" t="inlineStr">
        <is>
          <t>13032231</t>
        </is>
      </c>
      <c r="B18" s="3" t="inlineStr">
        <is>
          <t>29-06-2026</t>
        </is>
      </c>
      <c r="C18" s="3" t="inlineStr">
        <is>
          <t>Gloria</t>
        </is>
      </c>
      <c r="D18" s="3" t="inlineStr">
        <is>
          <t>183667</t>
        </is>
      </c>
      <c r="E18" s="4" t="inlineStr">
        <is>
          <t>Delph (consolida) Qis Rose</t>
        </is>
      </c>
      <c r="F18" s="4" t="inlineStr">
        <is>
          <t>Geert Bruygom</t>
        </is>
      </c>
      <c r="G18" s="4" t="inlineStr">
        <is>
          <t>COLOR Rosa · ALTURA 70 cm</t>
        </is>
      </c>
      <c r="H18" s="3" t="inlineStr"/>
      <c r="I18" s="3" t="n">
        <v>20</v>
      </c>
      <c r="J18" s="3" t="inlineStr">
        <is>
          <t>20 шт.</t>
        </is>
      </c>
      <c r="K18" s="4">
        <f>IMAGE("https://cdn.verdnatura.es/image/catalog/1600x900/183667")</f>
        <v/>
      </c>
      <c r="L18" s="5" t="n"/>
      <c r="M18" s="6" t="n"/>
      <c r="N18" s="7" t="n"/>
      <c r="O18" s="8" t="n">
        <v>0.38</v>
      </c>
      <c r="P18" s="8" t="n">
        <v>7.6</v>
      </c>
    </row>
    <row r="19" ht="110" customHeight="1">
      <c r="A19" s="3" t="inlineStr">
        <is>
          <t>13032231</t>
        </is>
      </c>
      <c r="B19" s="3" t="inlineStr">
        <is>
          <t>29-06-2026</t>
        </is>
      </c>
      <c r="C19" s="3" t="inlineStr">
        <is>
          <t>Gloria</t>
        </is>
      </c>
      <c r="D19" s="3" t="inlineStr">
        <is>
          <t>114770</t>
        </is>
      </c>
      <c r="E19" s="4" t="inlineStr">
        <is>
          <t>EUC Cinerea 300 gr</t>
        </is>
      </c>
      <c r="F19" s="4" t="inlineStr"/>
      <c r="G19" s="4" t="inlineStr">
        <is>
          <t>COLOR Lividum · ALTURA 70 cm</t>
        </is>
      </c>
      <c r="H19" s="3" t="inlineStr">
        <is>
          <t>Paquete</t>
        </is>
      </c>
      <c r="I19" s="3" t="n">
        <v>5</v>
      </c>
      <c r="J19" s="3" t="inlineStr">
        <is>
          <t>5 пачек</t>
        </is>
      </c>
      <c r="K19" s="4">
        <f>IMAGE("https://cdn.verdnatura.es/image/catalog/1600x900/114770")</f>
        <v/>
      </c>
      <c r="L19" s="5" t="n"/>
      <c r="M19" s="6" t="n"/>
      <c r="N19" s="7" t="n"/>
      <c r="O19" s="8" t="n">
        <v>3.67</v>
      </c>
      <c r="P19" s="8" t="n">
        <v>18.35</v>
      </c>
    </row>
    <row r="20" ht="110" customHeight="1">
      <c r="A20" s="3" t="inlineStr">
        <is>
          <t>13032231</t>
        </is>
      </c>
      <c r="B20" s="3" t="inlineStr">
        <is>
          <t>29-06-2026</t>
        </is>
      </c>
      <c r="C20" s="3" t="inlineStr">
        <is>
          <t>Gloria</t>
        </is>
      </c>
      <c r="D20" s="3" t="inlineStr">
        <is>
          <t>110792</t>
        </is>
      </c>
      <c r="E20" s="4" t="inlineStr">
        <is>
          <t>EUC Parvifolia 300 gr</t>
        </is>
      </c>
      <c r="F20" s="4" t="inlineStr"/>
      <c r="G20" s="4" t="inlineStr">
        <is>
          <t>COLOR Verde · ALTURA 70 cm</t>
        </is>
      </c>
      <c r="H20" s="3" t="inlineStr">
        <is>
          <t>Paquete</t>
        </is>
      </c>
      <c r="I20" s="3" t="n">
        <v>3</v>
      </c>
      <c r="J20" s="3" t="inlineStr">
        <is>
          <t>3 пачек</t>
        </is>
      </c>
      <c r="K20" s="4">
        <f>IMAGE("https://cdn.verdnatura.es/image/catalog/1600x900/110792")</f>
        <v/>
      </c>
      <c r="L20" s="5" t="n"/>
      <c r="M20" s="6" t="n"/>
      <c r="N20" s="7" t="n"/>
      <c r="O20" s="8" t="n">
        <v>2.83</v>
      </c>
      <c r="P20" s="8" t="n">
        <v>8.49</v>
      </c>
    </row>
    <row r="21" ht="110" customHeight="1">
      <c r="A21" s="3" t="inlineStr">
        <is>
          <t>13032231</t>
        </is>
      </c>
      <c r="B21" s="3" t="inlineStr">
        <is>
          <t>29-06-2026</t>
        </is>
      </c>
      <c r="C21" s="3" t="inlineStr">
        <is>
          <t>Gloria</t>
        </is>
      </c>
      <c r="D21" s="3" t="inlineStr">
        <is>
          <t>55133</t>
        </is>
      </c>
      <c r="E21" s="4" t="inlineStr">
        <is>
          <t>GRS Northanger Abbey</t>
        </is>
      </c>
      <c r="F21" s="4" t="inlineStr">
        <is>
          <t>Wans Roses</t>
        </is>
      </c>
      <c r="G21" s="4" t="inlineStr">
        <is>
          <t>COLOR Rosa · ALTURA 40 cm · BOTÓN MINIMO 3.0 cm</t>
        </is>
      </c>
      <c r="H21" s="3" t="inlineStr"/>
      <c r="I21" s="3" t="n">
        <v>20</v>
      </c>
      <c r="J21" s="3" t="inlineStr">
        <is>
          <t>20 шт.</t>
        </is>
      </c>
      <c r="K21" s="4">
        <f>IMAGE("https://cdn.verdnatura.es/image/catalog/1600x900/55133")</f>
        <v/>
      </c>
      <c r="L21" s="5" t="n"/>
      <c r="M21" s="6" t="n"/>
      <c r="N21" s="7" t="n"/>
      <c r="O21" s="8" t="n">
        <v>0.58</v>
      </c>
      <c r="P21" s="8" t="n">
        <v>11.6</v>
      </c>
    </row>
    <row r="22" ht="110" customHeight="1">
      <c r="A22" s="3" t="inlineStr">
        <is>
          <t>13032231</t>
        </is>
      </c>
      <c r="B22" s="3" t="inlineStr">
        <is>
          <t>29-06-2026</t>
        </is>
      </c>
      <c r="C22" s="3" t="inlineStr">
        <is>
          <t>Gloria</t>
        </is>
      </c>
      <c r="D22" s="3" t="inlineStr">
        <is>
          <t>156727</t>
        </is>
      </c>
      <c r="E22" s="4" t="inlineStr">
        <is>
          <t>HYD Sweet Verena</t>
        </is>
      </c>
      <c r="F22" s="4" t="inlineStr"/>
      <c r="G22" s="4" t="inlineStr">
        <is>
          <t>COLOR Blanco/Rosa · ALTURA 50 cm · DIAMETRO 17 cm</t>
        </is>
      </c>
      <c r="H22" s="3" t="inlineStr"/>
      <c r="I22" s="3" t="n">
        <v>20</v>
      </c>
      <c r="J22" s="3" t="inlineStr">
        <is>
          <t>20 шт.</t>
        </is>
      </c>
      <c r="K22" s="4">
        <f>IMAGE("https://cdn.verdnatura.es/image/catalog/1600x900/156727")</f>
        <v/>
      </c>
      <c r="L22" s="5" t="n"/>
      <c r="M22" s="6" t="n"/>
      <c r="N22" s="7" t="n"/>
      <c r="O22" s="8" t="n">
        <v>1.37</v>
      </c>
      <c r="P22" s="8" t="n">
        <v>27.4</v>
      </c>
    </row>
    <row r="23" ht="110" customHeight="1">
      <c r="A23" s="3" t="inlineStr">
        <is>
          <t>13032231</t>
        </is>
      </c>
      <c r="B23" s="3" t="inlineStr">
        <is>
          <t>29-06-2026</t>
        </is>
      </c>
      <c r="C23" s="3" t="inlineStr">
        <is>
          <t>Gloria</t>
        </is>
      </c>
      <c r="D23" s="3" t="inlineStr">
        <is>
          <t>207237</t>
        </is>
      </c>
      <c r="E23" s="4" t="inlineStr">
        <is>
          <t>LIM N SIN Blush Diamond</t>
        </is>
      </c>
      <c r="F23" s="4" t="inlineStr">
        <is>
          <t>Group Leader</t>
        </is>
      </c>
      <c r="G23" s="4" t="inlineStr">
        <is>
          <t>COLOR Blanco/Rosa · ALTURA 65 cm · PESO/TALLO 30 gr</t>
        </is>
      </c>
      <c r="H23" s="3" t="inlineStr"/>
      <c r="I23" s="3" t="n">
        <v>25</v>
      </c>
      <c r="J23" s="3" t="inlineStr">
        <is>
          <t>25 шт.</t>
        </is>
      </c>
      <c r="K23" s="4">
        <f>IMAGE("https://cdn.verdnatura.es/image/catalog/1600x900/207237")</f>
        <v/>
      </c>
      <c r="L23" s="5" t="n"/>
      <c r="M23" s="6" t="n"/>
      <c r="N23" s="7" t="n"/>
      <c r="O23" s="8" t="n">
        <v>0.47</v>
      </c>
      <c r="P23" s="8" t="n">
        <v>11.75</v>
      </c>
    </row>
    <row r="24" ht="110" customHeight="1">
      <c r="A24" s="3" t="inlineStr">
        <is>
          <t>13032231</t>
        </is>
      </c>
      <c r="B24" s="3" t="inlineStr">
        <is>
          <t>29-06-2026</t>
        </is>
      </c>
      <c r="C24" s="3" t="inlineStr">
        <is>
          <t>Gloria</t>
        </is>
      </c>
      <c r="D24" s="3" t="inlineStr">
        <is>
          <t>132835</t>
        </is>
      </c>
      <c r="E24" s="4" t="inlineStr">
        <is>
          <t>LIM N SIN Fucsia</t>
        </is>
      </c>
      <c r="F24" s="4" t="inlineStr"/>
      <c r="G24" s="4" t="inlineStr">
        <is>
          <t>COLOR Fucsia · ALTURA 70 cm</t>
        </is>
      </c>
      <c r="H24" s="3" t="inlineStr"/>
      <c r="I24" s="3" t="n">
        <v>25</v>
      </c>
      <c r="J24" s="3" t="inlineStr">
        <is>
          <t>25 шт.</t>
        </is>
      </c>
      <c r="K24" s="4">
        <f>IMAGE("https://cdn.verdnatura.es/image/catalog/1600x900/132835")</f>
        <v/>
      </c>
      <c r="L24" s="5" t="n"/>
      <c r="M24" s="6" t="n"/>
      <c r="N24" s="7" t="n"/>
      <c r="O24" s="8" t="n">
        <v>0.48</v>
      </c>
      <c r="P24" s="8" t="n">
        <v>12</v>
      </c>
    </row>
    <row r="25" ht="110" customHeight="1">
      <c r="A25" s="3" t="inlineStr">
        <is>
          <t>13032231</t>
        </is>
      </c>
      <c r="B25" s="3" t="inlineStr">
        <is>
          <t>29-06-2026</t>
        </is>
      </c>
      <c r="C25" s="3" t="inlineStr">
        <is>
          <t>Gloria</t>
        </is>
      </c>
      <c r="D25" s="3" t="inlineStr">
        <is>
          <t>153272</t>
        </is>
      </c>
      <c r="E25" s="4" t="inlineStr">
        <is>
          <t>LIM N SIN Rosa</t>
        </is>
      </c>
      <c r="F25" s="4" t="inlineStr">
        <is>
          <t>Fers Flowers</t>
        </is>
      </c>
      <c r="G25" s="4" t="inlineStr">
        <is>
          <t>COLOR Rosa · ALTURA 70 cm · PESO/TALLO 35 gr</t>
        </is>
      </c>
      <c r="H25" s="3" t="inlineStr"/>
      <c r="I25" s="3" t="n">
        <v>25</v>
      </c>
      <c r="J25" s="3" t="inlineStr">
        <is>
          <t>25 шт.</t>
        </is>
      </c>
      <c r="K25" s="4">
        <f>IMAGE("https://cdn.verdnatura.es/image/catalog/1600x900/153272")</f>
        <v/>
      </c>
      <c r="L25" s="5" t="n"/>
      <c r="M25" s="6" t="n"/>
      <c r="N25" s="7" t="n"/>
      <c r="O25" s="8" t="n">
        <v>0.57</v>
      </c>
      <c r="P25" s="8" t="n">
        <v>14.25</v>
      </c>
    </row>
    <row r="26" ht="110" customHeight="1">
      <c r="A26" s="3" t="inlineStr">
        <is>
          <t>13032231</t>
        </is>
      </c>
      <c r="B26" s="3" t="inlineStr">
        <is>
          <t>29-06-2026</t>
        </is>
      </c>
      <c r="C26" s="3" t="inlineStr">
        <is>
          <t>Gloria</t>
        </is>
      </c>
      <c r="D26" s="3" t="inlineStr">
        <is>
          <t>152750</t>
        </is>
      </c>
      <c r="E26" s="4" t="inlineStr">
        <is>
          <t>Lisianthus Doble Alissa Pure W</t>
        </is>
      </c>
      <c r="F26" s="4" t="inlineStr"/>
      <c r="G26" s="4" t="inlineStr">
        <is>
          <t>COLOR Blanco · ALTURA 70 cm · Nº FLORES 5</t>
        </is>
      </c>
      <c r="H26" s="3" t="inlineStr"/>
      <c r="I26" s="3" t="n">
        <v>20</v>
      </c>
      <c r="J26" s="3" t="inlineStr">
        <is>
          <t>20 шт.</t>
        </is>
      </c>
      <c r="K26" s="4">
        <f>IMAGE("https://cdn.verdnatura.es/image/catalog/1600x900/152750")</f>
        <v/>
      </c>
      <c r="L26" s="5" t="n"/>
      <c r="M26" s="6" t="n"/>
      <c r="N26" s="7" t="n"/>
      <c r="O26" s="8" t="n">
        <v>0.76</v>
      </c>
      <c r="P26" s="8" t="n">
        <v>15.2</v>
      </c>
    </row>
    <row r="27" ht="110" customHeight="1">
      <c r="A27" s="3" t="inlineStr">
        <is>
          <t>13032231</t>
        </is>
      </c>
      <c r="B27" s="3" t="inlineStr">
        <is>
          <t>29-06-2026</t>
        </is>
      </c>
      <c r="C27" s="3" t="inlineStr">
        <is>
          <t>Gloria</t>
        </is>
      </c>
      <c r="D27" s="3" t="inlineStr">
        <is>
          <t>147335</t>
        </is>
      </c>
      <c r="E27" s="4" t="inlineStr">
        <is>
          <t>Lisianthus Doble Lisanne Light</t>
        </is>
      </c>
      <c r="F27" s="4" t="inlineStr">
        <is>
          <t>LIS</t>
        </is>
      </c>
      <c r="G27" s="4" t="inlineStr">
        <is>
          <t>COLOR Rosa Claro · ALTURA 70 cm · Nº FLORES 5</t>
        </is>
      </c>
      <c r="H27" s="3" t="inlineStr"/>
      <c r="I27" s="3" t="n">
        <v>20</v>
      </c>
      <c r="J27" s="3" t="inlineStr">
        <is>
          <t>20 шт.</t>
        </is>
      </c>
      <c r="K27" s="4">
        <f>IMAGE("https://cdn.verdnatura.es/image/catalog/1600x900/147335")</f>
        <v/>
      </c>
      <c r="L27" s="5" t="n"/>
      <c r="M27" s="6" t="n"/>
      <c r="N27" s="7" t="n"/>
      <c r="O27" s="8" t="n">
        <v>0.68</v>
      </c>
      <c r="P27" s="8" t="n">
        <v>13.6</v>
      </c>
    </row>
    <row r="28" ht="110" customHeight="1">
      <c r="A28" s="3" t="inlineStr">
        <is>
          <t>13032231</t>
        </is>
      </c>
      <c r="B28" s="3" t="inlineStr">
        <is>
          <t>29-06-2026</t>
        </is>
      </c>
      <c r="C28" s="3" t="inlineStr">
        <is>
          <t>Gloria</t>
        </is>
      </c>
      <c r="D28" s="3" t="inlineStr">
        <is>
          <t>110294</t>
        </is>
      </c>
      <c r="E28" s="4" t="inlineStr">
        <is>
          <t>Madroño SEL</t>
        </is>
      </c>
      <c r="F28" s="4" t="inlineStr"/>
      <c r="G28" s="4" t="inlineStr">
        <is>
          <t>COLOR Verde · ALTURA 60 cm</t>
        </is>
      </c>
      <c r="H28" s="3" t="inlineStr">
        <is>
          <t>Paquete</t>
        </is>
      </c>
      <c r="I28" s="3" t="n">
        <v>5</v>
      </c>
      <c r="J28" s="3" t="inlineStr">
        <is>
          <t>5 пачек</t>
        </is>
      </c>
      <c r="K28" s="4">
        <f>IMAGE("https://cdn.verdnatura.es/image/catalog/1600x900/110294")</f>
        <v/>
      </c>
      <c r="L28" s="5" t="n"/>
      <c r="M28" s="6" t="n"/>
      <c r="N28" s="7" t="n"/>
      <c r="O28" s="8" t="n">
        <v>2.04</v>
      </c>
      <c r="P28" s="8" t="n">
        <v>10.2</v>
      </c>
    </row>
    <row r="29" ht="110" customHeight="1">
      <c r="A29" s="3" t="inlineStr">
        <is>
          <t>13032231</t>
        </is>
      </c>
      <c r="B29" s="3" t="inlineStr">
        <is>
          <t>29-06-2026</t>
        </is>
      </c>
      <c r="C29" s="3" t="inlineStr">
        <is>
          <t>Gloria</t>
        </is>
      </c>
      <c r="D29" s="3" t="inlineStr">
        <is>
          <t>149</t>
        </is>
      </c>
      <c r="E29" s="4" t="inlineStr">
        <is>
          <t>PITT Nigra 150 gr</t>
        </is>
      </c>
      <c r="F29" s="4" t="inlineStr"/>
      <c r="G29" s="4" t="inlineStr">
        <is>
          <t>COLOR Matizado · ALTURA 50 cm</t>
        </is>
      </c>
      <c r="H29" s="3" t="inlineStr">
        <is>
          <t>Paquete</t>
        </is>
      </c>
      <c r="I29" s="3" t="n">
        <v>5</v>
      </c>
      <c r="J29" s="3" t="inlineStr">
        <is>
          <t>5 пачек</t>
        </is>
      </c>
      <c r="K29" s="4">
        <f>IMAGE("https://cdn.verdnatura.es/image/catalog/1600x900/149")</f>
        <v/>
      </c>
      <c r="L29" s="5" t="n"/>
      <c r="M29" s="6" t="n"/>
      <c r="N29" s="7" t="n"/>
      <c r="O29" s="8" t="n">
        <v>2.38</v>
      </c>
      <c r="P29" s="8" t="n">
        <v>11.9</v>
      </c>
    </row>
    <row r="30" ht="110" customHeight="1">
      <c r="A30" s="3" t="inlineStr">
        <is>
          <t>13032231</t>
        </is>
      </c>
      <c r="B30" s="3" t="inlineStr">
        <is>
          <t>29-06-2026</t>
        </is>
      </c>
      <c r="C30" s="3" t="inlineStr">
        <is>
          <t>Gloria</t>
        </is>
      </c>
      <c r="D30" s="3" t="inlineStr">
        <is>
          <t>149659</t>
        </is>
      </c>
      <c r="E30" s="4" t="inlineStr">
        <is>
          <t>Sanguisorba Officinalis Red Dr</t>
        </is>
      </c>
      <c r="F30" s="4" t="inlineStr">
        <is>
          <t>Marginpar / ET</t>
        </is>
      </c>
      <c r="G30" s="4" t="inlineStr">
        <is>
          <t>COLOR Rojo · ALTURA 60 cm</t>
        </is>
      </c>
      <c r="H30" s="3" t="inlineStr">
        <is>
          <t>Tallo</t>
        </is>
      </c>
      <c r="I30" s="3" t="n">
        <v>25</v>
      </c>
      <c r="J30" s="3" t="inlineStr">
        <is>
          <t>25 стеблей</t>
        </is>
      </c>
      <c r="K30" s="4">
        <f>IMAGE("https://cdn.verdnatura.es/image/catalog/1600x900/149659")</f>
        <v/>
      </c>
      <c r="L30" s="5" t="n"/>
      <c r="M30" s="6" t="n"/>
      <c r="N30" s="7" t="n"/>
      <c r="O30" s="8" t="n">
        <v>0.25</v>
      </c>
      <c r="P30" s="8" t="n">
        <v>6.25</v>
      </c>
    </row>
    <row r="31" ht="110" customHeight="1">
      <c r="A31" s="3" t="inlineStr">
        <is>
          <t>13032231</t>
        </is>
      </c>
      <c r="B31" s="3" t="inlineStr">
        <is>
          <t>29-06-2026</t>
        </is>
      </c>
      <c r="C31" s="3" t="inlineStr">
        <is>
          <t>Gloria</t>
        </is>
      </c>
      <c r="D31" s="3" t="inlineStr">
        <is>
          <t>73611</t>
        </is>
      </c>
      <c r="E31" s="4" t="inlineStr">
        <is>
          <t>Skimmia J Rubella</t>
        </is>
      </c>
      <c r="F31" s="4" t="inlineStr"/>
      <c r="G31" s="4" t="inlineStr">
        <is>
          <t>COLOR Granate · ALTURA 45 cm</t>
        </is>
      </c>
      <c r="H31" s="3" t="inlineStr">
        <is>
          <t>Paquete</t>
        </is>
      </c>
      <c r="I31" s="3" t="n">
        <v>5</v>
      </c>
      <c r="J31" s="3" t="inlineStr">
        <is>
          <t>5 пачек</t>
        </is>
      </c>
      <c r="K31" s="4">
        <f>IMAGE("https://cdn.verdnatura.es/image/catalog/1600x900/73611")</f>
        <v/>
      </c>
      <c r="L31" s="5" t="n"/>
      <c r="M31" s="6" t="n"/>
      <c r="N31" s="7" t="n"/>
      <c r="O31" s="8" t="n">
        <v>3.42</v>
      </c>
      <c r="P31" s="8" t="n">
        <v>17.1</v>
      </c>
    </row>
    <row r="32" ht="110" customHeight="1">
      <c r="A32" s="3" t="inlineStr">
        <is>
          <t>13032231</t>
        </is>
      </c>
      <c r="B32" s="3" t="inlineStr">
        <is>
          <t>29-06-2026</t>
        </is>
      </c>
      <c r="C32" s="3" t="inlineStr">
        <is>
          <t>Gloria</t>
        </is>
      </c>
      <c r="D32" s="3" t="inlineStr">
        <is>
          <t>206628</t>
        </is>
      </c>
      <c r="E32" s="4" t="inlineStr">
        <is>
          <t>Statice Arlequin</t>
        </is>
      </c>
      <c r="F32" s="4" t="inlineStr">
        <is>
          <t>Santa Dorotea</t>
        </is>
      </c>
      <c r="G32" s="4" t="inlineStr">
        <is>
          <t>COLOR Mixto · ALTURA 60 cm · PESO/TALLO 20 gr</t>
        </is>
      </c>
      <c r="H32" s="3" t="inlineStr"/>
      <c r="I32" s="3" t="n">
        <v>25</v>
      </c>
      <c r="J32" s="3" t="inlineStr">
        <is>
          <t>25 шт.</t>
        </is>
      </c>
      <c r="K32" s="4">
        <f>IMAGE("https://cdn.verdnatura.es/image/catalog/1600x900/206628")</f>
        <v/>
      </c>
      <c r="L32" s="5" t="n"/>
      <c r="M32" s="6" t="n"/>
      <c r="N32" s="7" t="n"/>
      <c r="O32" s="8" t="n">
        <v>0.31</v>
      </c>
      <c r="P32" s="8" t="n">
        <v>7.75</v>
      </c>
    </row>
    <row r="33" ht="110" customHeight="1">
      <c r="A33" s="3" t="inlineStr">
        <is>
          <t>13032231</t>
        </is>
      </c>
      <c r="B33" s="3" t="inlineStr">
        <is>
          <t>29-06-2026</t>
        </is>
      </c>
      <c r="C33" s="3" t="inlineStr">
        <is>
          <t>Gloria</t>
        </is>
      </c>
      <c r="D33" s="3" t="inlineStr">
        <is>
          <t>84788</t>
        </is>
      </c>
      <c r="E33" s="4" t="inlineStr">
        <is>
          <t>Talinum Paniculatum Long John</t>
        </is>
      </c>
      <c r="F33" s="4" t="inlineStr">
        <is>
          <t>Marginpar / BF</t>
        </is>
      </c>
      <c r="G33" s="4" t="inlineStr">
        <is>
          <t>COLOR Marrón · ALTURA 80 cm</t>
        </is>
      </c>
      <c r="H33" s="3" t="inlineStr">
        <is>
          <t>Tallo</t>
        </is>
      </c>
      <c r="I33" s="3" t="n">
        <v>50</v>
      </c>
      <c r="J33" s="3" t="inlineStr">
        <is>
          <t>50 стеблей</t>
        </is>
      </c>
      <c r="K33" s="4">
        <f>IMAGE("https://cdn.verdnatura.es/image/catalog/1600x900/84788")</f>
        <v/>
      </c>
      <c r="L33" s="5" t="n"/>
      <c r="M33" s="6" t="n"/>
      <c r="N33" s="7" t="n"/>
      <c r="O33" s="8" t="n">
        <v>0.18</v>
      </c>
      <c r="P33" s="8" t="n">
        <v>9</v>
      </c>
    </row>
    <row r="34" ht="110" customHeight="1">
      <c r="A34" s="3" t="inlineStr">
        <is>
          <t>13032231</t>
        </is>
      </c>
      <c r="B34" s="3" t="inlineStr">
        <is>
          <t>29-06-2026</t>
        </is>
      </c>
      <c r="C34" s="3" t="inlineStr">
        <is>
          <t>Gloria</t>
        </is>
      </c>
      <c r="D34" s="3" t="inlineStr">
        <is>
          <t>101850</t>
        </is>
      </c>
      <c r="E34" s="4" t="inlineStr">
        <is>
          <t>TUL Big Love</t>
        </is>
      </c>
      <c r="F34" s="4" t="inlineStr"/>
      <c r="G34" s="4" t="inlineStr">
        <is>
          <t>COLOR Rosa · ALTURA 44 cm · PESO/TALLO 38 gr</t>
        </is>
      </c>
      <c r="H34" s="3" t="inlineStr"/>
      <c r="I34" s="3" t="n">
        <v>100</v>
      </c>
      <c r="J34" s="3" t="inlineStr">
        <is>
          <t>100 шт.</t>
        </is>
      </c>
      <c r="K34" s="4">
        <f>IMAGE("https://cdn.verdnatura.es/image/catalog/1600x900/101850")</f>
        <v/>
      </c>
      <c r="L34" s="5" t="n"/>
      <c r="M34" s="6" t="n"/>
      <c r="N34" s="7" t="n"/>
      <c r="O34" s="8" t="n">
        <v>0.41</v>
      </c>
      <c r="P34" s="8" t="n">
        <v>41</v>
      </c>
    </row>
    <row r="35" ht="110" customHeight="1">
      <c r="A35" s="3" t="inlineStr">
        <is>
          <t>13032231</t>
        </is>
      </c>
      <c r="B35" s="3" t="inlineStr">
        <is>
          <t>29-06-2026</t>
        </is>
      </c>
      <c r="C35" s="3" t="inlineStr">
        <is>
          <t>Gloria</t>
        </is>
      </c>
      <c r="D35" s="3" t="inlineStr">
        <is>
          <t>206294</t>
        </is>
      </c>
      <c r="E35" s="4" t="inlineStr">
        <is>
          <t>TUL Mix</t>
        </is>
      </c>
      <c r="F35" s="4" t="inlineStr">
        <is>
          <t>B &amp; L Tulips</t>
        </is>
      </c>
      <c r="G35" s="4" t="inlineStr">
        <is>
          <t>COLOR Mixto · ALTURA 28 cm · PESO/TALLO 30 gr</t>
        </is>
      </c>
      <c r="H35" s="3" t="inlineStr"/>
      <c r="I35" s="3" t="n">
        <v>50</v>
      </c>
      <c r="J35" s="3" t="inlineStr">
        <is>
          <t>50 шт.</t>
        </is>
      </c>
      <c r="K35" s="4">
        <f>IMAGE("https://cdn.verdnatura.es/image/catalog/1600x900/206294")</f>
        <v/>
      </c>
      <c r="L35" s="5" t="n"/>
      <c r="M35" s="6" t="n"/>
      <c r="N35" s="7" t="n"/>
      <c r="O35" s="8" t="n">
        <v>0.32</v>
      </c>
      <c r="P35" s="8" t="n">
        <v>16</v>
      </c>
    </row>
    <row r="36" ht="110" customHeight="1">
      <c r="A36" s="3" t="inlineStr">
        <is>
          <t>13032231</t>
        </is>
      </c>
      <c r="B36" s="3" t="inlineStr">
        <is>
          <t>29-06-2026</t>
        </is>
      </c>
      <c r="C36" s="3" t="inlineStr">
        <is>
          <t>Gloria</t>
        </is>
      </c>
      <c r="D36" s="3" t="inlineStr">
        <is>
          <t>33</t>
        </is>
      </c>
      <c r="E36" s="4" t="inlineStr">
        <is>
          <t>TUL· Marit</t>
        </is>
      </c>
      <c r="F36" s="4" t="inlineStr">
        <is>
          <t>B &amp; L Tulips</t>
        </is>
      </c>
      <c r="G36" s="4" t="inlineStr">
        <is>
          <t>COLOR Amarillo/Naranja · ALTURA 42 cm · PESO/TALLO 55 gr</t>
        </is>
      </c>
      <c r="H36" s="3" t="inlineStr"/>
      <c r="I36" s="3" t="n">
        <v>50</v>
      </c>
      <c r="J36" s="3" t="inlineStr">
        <is>
          <t>50 шт.</t>
        </is>
      </c>
      <c r="K36" s="4">
        <f>IMAGE("https://cdn.verdnatura.es/image/catalog/1600x900/33")</f>
        <v/>
      </c>
      <c r="L36" s="5" t="n"/>
      <c r="M36" s="6" t="n"/>
      <c r="N36" s="7" t="n"/>
      <c r="O36" s="8" t="n">
        <v>0.66</v>
      </c>
      <c r="P36" s="8" t="n">
        <v>33</v>
      </c>
    </row>
    <row r="37" ht="110" customHeight="1">
      <c r="A37" s="3" t="inlineStr">
        <is>
          <t>13032231</t>
        </is>
      </c>
      <c r="B37" s="3" t="inlineStr">
        <is>
          <t>29-06-2026</t>
        </is>
      </c>
      <c r="C37" s="3" t="inlineStr">
        <is>
          <t>Gloria</t>
        </is>
      </c>
      <c r="D37" s="3" t="inlineStr">
        <is>
          <t>131587</t>
        </is>
      </c>
      <c r="E37" s="4" t="inlineStr">
        <is>
          <t>TUL· Tinekevander Meer</t>
        </is>
      </c>
      <c r="F37" s="4" t="inlineStr"/>
      <c r="G37" s="4" t="inlineStr">
        <is>
          <t>COLOR Rosa · ALTURA 37 cm · PESO/TALLO 26 gr</t>
        </is>
      </c>
      <c r="H37" s="3" t="inlineStr"/>
      <c r="I37" s="3" t="n">
        <v>50</v>
      </c>
      <c r="J37" s="3" t="inlineStr">
        <is>
          <t>50 шт.</t>
        </is>
      </c>
      <c r="K37" s="4">
        <f>IMAGE("https://cdn.verdnatura.es/image/catalog/1600x900/131587")</f>
        <v/>
      </c>
      <c r="L37" s="5" t="n"/>
      <c r="M37" s="6" t="n"/>
      <c r="N37" s="7" t="n"/>
      <c r="O37" s="8" t="n">
        <v>0.26</v>
      </c>
      <c r="P37" s="8" t="n">
        <v>13</v>
      </c>
    </row>
    <row r="38" ht="26" customHeight="1">
      <c r="A38" s="2" t="inlineStr">
        <is>
          <t>📦  Накладная #13032870  ·  29-06-2026  ·  Gloria  ·  5 позиций  ·  bultos: 5</t>
        </is>
      </c>
    </row>
    <row r="39" ht="110" customHeight="1">
      <c r="A39" s="3" t="inlineStr">
        <is>
          <t>13032870</t>
        </is>
      </c>
      <c r="B39" s="3" t="inlineStr">
        <is>
          <t>29-06-2026</t>
        </is>
      </c>
      <c r="C39" s="3" t="inlineStr">
        <is>
          <t>Gloria</t>
        </is>
      </c>
      <c r="D39" s="3" t="inlineStr">
        <is>
          <t>207271</t>
        </is>
      </c>
      <c r="E39" s="4" t="inlineStr">
        <is>
          <t>ARG Piñas Terracota</t>
        </is>
      </c>
      <c r="F39" s="4" t="inlineStr">
        <is>
          <t>Excellent-plus</t>
        </is>
      </c>
      <c r="G39" s="4" t="inlineStr">
        <is>
          <t>COLOR Mixto · ALTURA 40 cm · MACETA 14</t>
        </is>
      </c>
      <c r="H39" s="3" t="inlineStr"/>
      <c r="I39" s="3" t="n">
        <v>6</v>
      </c>
      <c r="J39" s="3" t="inlineStr">
        <is>
          <t>6 шт.</t>
        </is>
      </c>
      <c r="K39" s="4">
        <f>IMAGE("https://cdn.verdnatura.es/image/catalog/1600x900/207271")</f>
        <v/>
      </c>
      <c r="L39" s="5" t="n"/>
      <c r="M39" s="6" t="n"/>
      <c r="N39" s="7" t="n"/>
      <c r="O39" s="8" t="n">
        <v>4.51</v>
      </c>
      <c r="P39" s="8" t="n">
        <v>27.06</v>
      </c>
    </row>
    <row r="40" ht="110" customHeight="1">
      <c r="A40" s="3" t="inlineStr">
        <is>
          <t>13032870</t>
        </is>
      </c>
      <c r="B40" s="3" t="inlineStr">
        <is>
          <t>29-06-2026</t>
        </is>
      </c>
      <c r="C40" s="3" t="inlineStr">
        <is>
          <t>Gloria</t>
        </is>
      </c>
      <c r="D40" s="3" t="inlineStr">
        <is>
          <t>45040</t>
        </is>
      </c>
      <c r="E40" s="4" t="inlineStr">
        <is>
          <t>Fittonia Mix 7 Colores</t>
        </is>
      </c>
      <c r="F40" s="4" t="inlineStr">
        <is>
          <t>Schoenmakers verkoop BV</t>
        </is>
      </c>
      <c r="G40" s="4" t="inlineStr">
        <is>
          <t>COLOR Mixto · ALTURA 12 cm · MACETA 8,5</t>
        </is>
      </c>
      <c r="H40" s="3" t="inlineStr"/>
      <c r="I40" s="3" t="n">
        <v>21</v>
      </c>
      <c r="J40" s="3" t="inlineStr">
        <is>
          <t>21 шт.</t>
        </is>
      </c>
      <c r="K40" s="4">
        <f>IMAGE("https://cdn.verdnatura.es/image/catalog/1600x900/45040")</f>
        <v/>
      </c>
      <c r="L40" s="5" t="n"/>
      <c r="M40" s="6" t="n"/>
      <c r="N40" s="7" t="n"/>
      <c r="O40" s="8" t="n">
        <v>0.65</v>
      </c>
      <c r="P40" s="8" t="n">
        <v>13.65</v>
      </c>
    </row>
    <row r="41" ht="110" customHeight="1">
      <c r="A41" s="3" t="inlineStr">
        <is>
          <t>13032870</t>
        </is>
      </c>
      <c r="B41" s="3" t="inlineStr">
        <is>
          <t>29-06-2026</t>
        </is>
      </c>
      <c r="C41" s="3" t="inlineStr">
        <is>
          <t>Gloria</t>
        </is>
      </c>
      <c r="D41" s="3" t="inlineStr">
        <is>
          <t>117325</t>
        </is>
      </c>
      <c r="E41" s="4" t="inlineStr">
        <is>
          <t>Peperomia Green Gold</t>
        </is>
      </c>
      <c r="F41" s="4" t="inlineStr">
        <is>
          <t>PlantWorld Smit Kwekerij</t>
        </is>
      </c>
      <c r="G41" s="4" t="inlineStr">
        <is>
          <t>COLOR Verde · ALTURA 30 cm · MACETA 15</t>
        </is>
      </c>
      <c r="H41" s="3" t="inlineStr"/>
      <c r="I41" s="3" t="n">
        <v>6</v>
      </c>
      <c r="J41" s="3" t="inlineStr">
        <is>
          <t>6 шт.</t>
        </is>
      </c>
      <c r="K41" s="4">
        <f>IMAGE("https://cdn.verdnatura.es/image/catalog/1600x900/117325")</f>
        <v/>
      </c>
      <c r="L41" s="5" t="n"/>
      <c r="M41" s="6" t="n"/>
      <c r="N41" s="7" t="n"/>
      <c r="O41" s="8" t="n">
        <v>3.96</v>
      </c>
      <c r="P41" s="8" t="n">
        <v>23.76</v>
      </c>
    </row>
    <row r="42" ht="110" customHeight="1">
      <c r="A42" s="3" t="inlineStr">
        <is>
          <t>13032870</t>
        </is>
      </c>
      <c r="B42" s="3" t="inlineStr">
        <is>
          <t>29-06-2026</t>
        </is>
      </c>
      <c r="C42" s="3" t="inlineStr">
        <is>
          <t>Gloria</t>
        </is>
      </c>
      <c r="D42" s="3" t="inlineStr">
        <is>
          <t>141855</t>
        </is>
      </c>
      <c r="E42" s="4" t="inlineStr">
        <is>
          <t>PHAL 2T Eleg Cascade Rose</t>
        </is>
      </c>
      <c r="F42" s="4" t="inlineStr">
        <is>
          <t>Kw J.P. Konst &amp; Zn BV</t>
        </is>
      </c>
      <c r="G42" s="4" t="inlineStr">
        <is>
          <t>COLOR Blanco/Rosa · ALTURA 45 cm · MACETA 12</t>
        </is>
      </c>
      <c r="H42" s="3" t="inlineStr"/>
      <c r="I42" s="3" t="n">
        <v>6</v>
      </c>
      <c r="J42" s="3" t="inlineStr">
        <is>
          <t>6 шт.</t>
        </is>
      </c>
      <c r="K42" s="4">
        <f>IMAGE("https://cdn.verdnatura.es/image/catalog/1600x900/141855")</f>
        <v/>
      </c>
      <c r="L42" s="5" t="n"/>
      <c r="M42" s="6" t="n"/>
      <c r="N42" s="7" t="n"/>
      <c r="O42" s="8" t="n">
        <v>5.21</v>
      </c>
      <c r="P42" s="8" t="n">
        <v>31.26</v>
      </c>
    </row>
    <row r="43" ht="110" customHeight="1">
      <c r="A43" s="3" t="inlineStr">
        <is>
          <t>13032870</t>
        </is>
      </c>
      <c r="B43" s="3" t="inlineStr">
        <is>
          <t>29-06-2026</t>
        </is>
      </c>
      <c r="C43" s="3" t="inlineStr">
        <is>
          <t>Gloria</t>
        </is>
      </c>
      <c r="D43" s="3" t="inlineStr">
        <is>
          <t>199214</t>
        </is>
      </c>
      <c r="E43" s="4" t="inlineStr">
        <is>
          <t>PHAL 3T Mix (5 Colors)</t>
        </is>
      </c>
      <c r="F43" s="4" t="inlineStr">
        <is>
          <t>Bonito Plant</t>
        </is>
      </c>
      <c r="G43" s="4" t="inlineStr">
        <is>
          <t>COLOR Mixto · ALTURA 60 cm · MACETA 12</t>
        </is>
      </c>
      <c r="H43" s="3" t="inlineStr"/>
      <c r="I43" s="3" t="n">
        <v>12</v>
      </c>
      <c r="J43" s="3" t="inlineStr">
        <is>
          <t>12 шт.</t>
        </is>
      </c>
      <c r="K43" s="4">
        <f>IMAGE("https://cdn.verdnatura.es/image/catalog/1600x900/199214")</f>
        <v/>
      </c>
      <c r="L43" s="5" t="n"/>
      <c r="M43" s="6" t="n"/>
      <c r="N43" s="7" t="n"/>
      <c r="O43" s="8" t="n">
        <v>6.55</v>
      </c>
      <c r="P43" s="8" t="n">
        <v>78.59999999999999</v>
      </c>
    </row>
    <row r="44" ht="26" customHeight="1">
      <c r="A44" s="2" t="inlineStr">
        <is>
          <t>📦  Накладная #13033297  ·  29-06-2026  ·  Gloria  ·  11 позиций  ·  bultos: 2</t>
        </is>
      </c>
    </row>
    <row r="45" ht="110" customHeight="1">
      <c r="A45" s="3" t="inlineStr">
        <is>
          <t>13033297</t>
        </is>
      </c>
      <c r="B45" s="3" t="inlineStr">
        <is>
          <t>29-06-2026</t>
        </is>
      </c>
      <c r="C45" s="3" t="inlineStr">
        <is>
          <t>Gloria</t>
        </is>
      </c>
      <c r="D45" s="3" t="inlineStr">
        <is>
          <t>207193</t>
        </is>
      </c>
      <c r="E45" s="4" t="inlineStr">
        <is>
          <t>CR Vibes Purple</t>
        </is>
      </c>
      <c r="F45" s="4" t="inlineStr">
        <is>
          <t>Vegaflor</t>
        </is>
      </c>
      <c r="G45" s="4" t="inlineStr">
        <is>
          <t>COLOR Morado · ALTURA 70 cm · PESO/TALLO 60-65 gr</t>
        </is>
      </c>
      <c r="H45" s="3" t="inlineStr"/>
      <c r="I45" s="3" t="n">
        <v>40</v>
      </c>
      <c r="J45" s="3" t="inlineStr">
        <is>
          <t>40 шт.</t>
        </is>
      </c>
      <c r="K45" s="4">
        <f>IMAGE("https://cdn.verdnatura.es/image/catalog/1600x900/207193")</f>
        <v/>
      </c>
      <c r="L45" s="5" t="n"/>
      <c r="M45" s="6" t="n"/>
      <c r="N45" s="7" t="n"/>
      <c r="O45" s="8" t="n">
        <v>0.37</v>
      </c>
      <c r="P45" s="8" t="n">
        <v>14.8</v>
      </c>
    </row>
    <row r="46" ht="110" customHeight="1">
      <c r="A46" s="3" t="inlineStr">
        <is>
          <t>13033297</t>
        </is>
      </c>
      <c r="B46" s="3" t="inlineStr">
        <is>
          <t>29-06-2026</t>
        </is>
      </c>
      <c r="C46" s="3" t="inlineStr">
        <is>
          <t>Gloria</t>
        </is>
      </c>
      <c r="D46" s="3" t="inlineStr">
        <is>
          <t>147537</t>
        </is>
      </c>
      <c r="E46" s="4" t="inlineStr">
        <is>
          <t>CRU Anastasia Pink</t>
        </is>
      </c>
      <c r="F46" s="4" t="inlineStr">
        <is>
          <t>Sayonara</t>
        </is>
      </c>
      <c r="G46" s="4" t="inlineStr">
        <is>
          <t>COLOR Rosa · ALTURA 70 cm · PESO/TALLO 60-65 gr</t>
        </is>
      </c>
      <c r="H46" s="3" t="inlineStr"/>
      <c r="I46" s="3" t="n">
        <v>20</v>
      </c>
      <c r="J46" s="3" t="inlineStr">
        <is>
          <t>20 шт.</t>
        </is>
      </c>
      <c r="K46" s="4">
        <f>IMAGE("https://cdn.verdnatura.es/image/catalog/1600x900/147537")</f>
        <v/>
      </c>
      <c r="L46" s="5" t="n"/>
      <c r="M46" s="6" t="n"/>
      <c r="N46" s="7" t="n"/>
      <c r="O46" s="8" t="n">
        <v>0.49</v>
      </c>
      <c r="P46" s="8" t="n">
        <v>9.800000000000001</v>
      </c>
    </row>
    <row r="47" ht="110" customHeight="1">
      <c r="A47" s="3" t="inlineStr">
        <is>
          <t>13033297</t>
        </is>
      </c>
      <c r="B47" s="3" t="inlineStr">
        <is>
          <t>29-06-2026</t>
        </is>
      </c>
      <c r="C47" s="3" t="inlineStr">
        <is>
          <t>Gloria</t>
        </is>
      </c>
      <c r="D47" s="3" t="inlineStr">
        <is>
          <t>124727</t>
        </is>
      </c>
      <c r="E47" s="4" t="inlineStr">
        <is>
          <t>Girasol Annus Red</t>
        </is>
      </c>
      <c r="F47" s="4" t="inlineStr">
        <is>
          <t>RencaFlor</t>
        </is>
      </c>
      <c r="G47" s="4" t="inlineStr">
        <is>
          <t>COLOR Granate · ALTURA 70 cm</t>
        </is>
      </c>
      <c r="H47" s="3" t="inlineStr"/>
      <c r="I47" s="3" t="n">
        <v>30</v>
      </c>
      <c r="J47" s="3" t="inlineStr">
        <is>
          <t>30 шт.</t>
        </is>
      </c>
      <c r="K47" s="4">
        <f>IMAGE("https://cdn.verdnatura.es/image/catalog/1600x900/124727")</f>
        <v/>
      </c>
      <c r="L47" s="5" t="n"/>
      <c r="M47" s="6" t="n"/>
      <c r="N47" s="7" t="n"/>
      <c r="O47" s="8" t="n">
        <v>0.64</v>
      </c>
      <c r="P47" s="8" t="n">
        <v>19.2</v>
      </c>
    </row>
    <row r="48" ht="110" customHeight="1">
      <c r="A48" s="3" t="inlineStr">
        <is>
          <t>13033297</t>
        </is>
      </c>
      <c r="B48" s="3" t="inlineStr">
        <is>
          <t>29-06-2026</t>
        </is>
      </c>
      <c r="C48" s="3" t="inlineStr">
        <is>
          <t>Gloria</t>
        </is>
      </c>
      <c r="D48" s="3" t="inlineStr">
        <is>
          <t>146802</t>
        </is>
      </c>
      <c r="E48" s="4" t="inlineStr">
        <is>
          <t>GRS Catalina</t>
        </is>
      </c>
      <c r="F48" s="4" t="inlineStr">
        <is>
          <t>Alexandra</t>
        </is>
      </c>
      <c r="G48" s="4" t="inlineStr">
        <is>
          <t>COLOR Amarillo · ALTURA 40 cm · BOTÓN MINIMO 3.5 cm</t>
        </is>
      </c>
      <c r="H48" s="3" t="inlineStr"/>
      <c r="I48" s="3" t="n">
        <v>24</v>
      </c>
      <c r="J48" s="3" t="inlineStr">
        <is>
          <t>24 шт.</t>
        </is>
      </c>
      <c r="K48" s="4">
        <f>IMAGE("https://cdn.verdnatura.es/image/catalog/1600x900/146802")</f>
        <v/>
      </c>
      <c r="L48" s="5" t="n"/>
      <c r="M48" s="6" t="n"/>
      <c r="N48" s="7" t="n"/>
      <c r="O48" s="8" t="n">
        <v>0.86</v>
      </c>
      <c r="P48" s="8" t="n">
        <v>20.64</v>
      </c>
    </row>
    <row r="49" ht="110" customHeight="1">
      <c r="A49" s="3" t="inlineStr">
        <is>
          <t>13033297</t>
        </is>
      </c>
      <c r="B49" s="3" t="inlineStr">
        <is>
          <t>29-06-2026</t>
        </is>
      </c>
      <c r="C49" s="3" t="inlineStr">
        <is>
          <t>Gloria</t>
        </is>
      </c>
      <c r="D49" s="3" t="inlineStr">
        <is>
          <t>150541</t>
        </is>
      </c>
      <c r="E49" s="4" t="inlineStr">
        <is>
          <t>GRS Mayra Pink</t>
        </is>
      </c>
      <c r="F49" s="4" t="inlineStr">
        <is>
          <t>La Rosaleda</t>
        </is>
      </c>
      <c r="G49" s="4" t="inlineStr">
        <is>
          <t>COLOR Rosa · ALTURA 50 cm</t>
        </is>
      </c>
      <c r="H49" s="3" t="inlineStr"/>
      <c r="I49" s="3" t="n">
        <v>25</v>
      </c>
      <c r="J49" s="3" t="inlineStr">
        <is>
          <t>25 шт.</t>
        </is>
      </c>
      <c r="K49" s="4">
        <f>IMAGE("https://cdn.verdnatura.es/image/catalog/1600x900/150541")</f>
        <v/>
      </c>
      <c r="L49" s="5" t="n"/>
      <c r="M49" s="6" t="n"/>
      <c r="N49" s="7" t="n"/>
      <c r="O49" s="8" t="n">
        <v>0.86</v>
      </c>
      <c r="P49" s="8" t="n">
        <v>21.5</v>
      </c>
    </row>
    <row r="50" ht="110" customHeight="1">
      <c r="A50" s="3" t="inlineStr">
        <is>
          <t>13033297</t>
        </is>
      </c>
      <c r="B50" s="3" t="inlineStr">
        <is>
          <t>29-06-2026</t>
        </is>
      </c>
      <c r="C50" s="3" t="inlineStr">
        <is>
          <t>Gloria</t>
        </is>
      </c>
      <c r="D50" s="3" t="inlineStr">
        <is>
          <t>160767</t>
        </is>
      </c>
      <c r="E50" s="4" t="inlineStr">
        <is>
          <t>HYD Lime Green SEL</t>
        </is>
      </c>
      <c r="F50" s="4" t="inlineStr">
        <is>
          <t>Eden Flowers</t>
        </is>
      </c>
      <c r="G50" s="4" t="inlineStr">
        <is>
          <t>COLOR Verde Claro · ALTURA 60 cm · DIAMETRO 15 cm</t>
        </is>
      </c>
      <c r="H50" s="3" t="inlineStr"/>
      <c r="I50" s="3" t="n">
        <v>20</v>
      </c>
      <c r="J50" s="3" t="inlineStr">
        <is>
          <t>20 шт.</t>
        </is>
      </c>
      <c r="K50" s="4">
        <f>IMAGE("https://cdn.verdnatura.es/image/catalog/1600x900/160767")</f>
        <v/>
      </c>
      <c r="L50" s="5" t="n"/>
      <c r="M50" s="6" t="n"/>
      <c r="N50" s="7" t="n"/>
      <c r="O50" s="8" t="n">
        <v>1.13</v>
      </c>
      <c r="P50" s="8" t="n">
        <v>22.6</v>
      </c>
    </row>
    <row r="51" ht="110" customHeight="1">
      <c r="A51" s="3" t="inlineStr">
        <is>
          <t>13033297</t>
        </is>
      </c>
      <c r="B51" s="3" t="inlineStr">
        <is>
          <t>29-06-2026</t>
        </is>
      </c>
      <c r="C51" s="3" t="inlineStr">
        <is>
          <t>Gloria</t>
        </is>
      </c>
      <c r="D51" s="3" t="inlineStr">
        <is>
          <t>151514</t>
        </is>
      </c>
      <c r="E51" s="4" t="inlineStr">
        <is>
          <t>Molucella</t>
        </is>
      </c>
      <c r="F51" s="4" t="inlineStr">
        <is>
          <t>Multiflora</t>
        </is>
      </c>
      <c r="G51" s="4" t="inlineStr">
        <is>
          <t>COLOR Verde · ALTURA 80 cm</t>
        </is>
      </c>
      <c r="H51" s="3" t="inlineStr">
        <is>
          <t>Tallo</t>
        </is>
      </c>
      <c r="I51" s="3" t="n">
        <v>20</v>
      </c>
      <c r="J51" s="3" t="inlineStr">
        <is>
          <t>20 стеблей</t>
        </is>
      </c>
      <c r="K51" s="4">
        <f>IMAGE("https://cdn.verdnatura.es/image/catalog/1600x900/151514")</f>
        <v/>
      </c>
      <c r="L51" s="5" t="n"/>
      <c r="M51" s="6" t="n"/>
      <c r="N51" s="7" t="n"/>
      <c r="O51" s="8" t="n">
        <v>0.4</v>
      </c>
      <c r="P51" s="8" t="n">
        <v>8</v>
      </c>
    </row>
    <row r="52" ht="110" customHeight="1">
      <c r="A52" s="3" t="inlineStr">
        <is>
          <t>13033297</t>
        </is>
      </c>
      <c r="B52" s="3" t="inlineStr">
        <is>
          <t>29-06-2026</t>
        </is>
      </c>
      <c r="C52" s="3" t="inlineStr">
        <is>
          <t>Gloria</t>
        </is>
      </c>
      <c r="D52" s="3" t="inlineStr">
        <is>
          <t>24458</t>
        </is>
      </c>
      <c r="E52" s="4" t="inlineStr">
        <is>
          <t>Peonia Red Charm</t>
        </is>
      </c>
      <c r="F52" s="4" t="inlineStr"/>
      <c r="G52" s="4" t="inlineStr">
        <is>
          <t>COLOR Granate · ALTURA 55 cm · APERTURA 2-3</t>
        </is>
      </c>
      <c r="H52" s="3" t="inlineStr"/>
      <c r="I52" s="3" t="n">
        <v>60</v>
      </c>
      <c r="J52" s="3" t="inlineStr">
        <is>
          <t>60 шт.</t>
        </is>
      </c>
      <c r="K52" s="4">
        <f>IMAGE("https://cdn.verdnatura.es/image/catalog/1600x900/24458")</f>
        <v/>
      </c>
      <c r="L52" s="5" t="n"/>
      <c r="M52" s="6" t="n"/>
      <c r="N52" s="7" t="n"/>
      <c r="O52" s="8" t="n">
        <v>1.09</v>
      </c>
      <c r="P52" s="8" t="n">
        <v>65.40000000000001</v>
      </c>
    </row>
    <row r="53" ht="110" customHeight="1">
      <c r="A53" s="3" t="inlineStr">
        <is>
          <t>13033297</t>
        </is>
      </c>
      <c r="B53" s="3" t="inlineStr">
        <is>
          <t>29-06-2026</t>
        </is>
      </c>
      <c r="C53" s="3" t="inlineStr">
        <is>
          <t>Gloria</t>
        </is>
      </c>
      <c r="D53" s="3" t="inlineStr">
        <is>
          <t>135400</t>
        </is>
      </c>
      <c r="E53" s="4" t="inlineStr">
        <is>
          <t>Peonia Sarah Bernhard</t>
        </is>
      </c>
      <c r="F53" s="4" t="inlineStr">
        <is>
          <t>My-Peony</t>
        </is>
      </c>
      <c r="G53" s="4" t="inlineStr">
        <is>
          <t>COLOR Rosa Claro · ALTURA 55 cm · APERTURA 2-3</t>
        </is>
      </c>
      <c r="H53" s="3" t="inlineStr"/>
      <c r="I53" s="3" t="n">
        <v>50</v>
      </c>
      <c r="J53" s="3" t="inlineStr">
        <is>
          <t>50 шт.</t>
        </is>
      </c>
      <c r="K53" s="4">
        <f>IMAGE("https://cdn.verdnatura.es/image/catalog/1600x900/135400")</f>
        <v/>
      </c>
      <c r="L53" s="5" t="n"/>
      <c r="M53" s="6" t="n"/>
      <c r="N53" s="7" t="n"/>
      <c r="O53" s="8" t="n">
        <v>1.26</v>
      </c>
      <c r="P53" s="8" t="n">
        <v>63</v>
      </c>
    </row>
    <row r="54" ht="110" customHeight="1">
      <c r="A54" s="3" t="inlineStr">
        <is>
          <t>13033297</t>
        </is>
      </c>
      <c r="B54" s="3" t="inlineStr">
        <is>
          <t>29-06-2026</t>
        </is>
      </c>
      <c r="C54" s="3" t="inlineStr">
        <is>
          <t>Gloria</t>
        </is>
      </c>
      <c r="D54" s="3" t="inlineStr">
        <is>
          <t>179996</t>
        </is>
      </c>
      <c r="E54" s="4" t="inlineStr">
        <is>
          <t>RS Mandarin X-Pression</t>
        </is>
      </c>
      <c r="F54" s="4" t="inlineStr">
        <is>
          <t>Native</t>
        </is>
      </c>
      <c r="G54" s="4" t="inlineStr">
        <is>
          <t>COLOR Rosa · ALTURA 60 cm</t>
        </is>
      </c>
      <c r="H54" s="3" t="inlineStr"/>
      <c r="I54" s="3" t="n">
        <v>25</v>
      </c>
      <c r="J54" s="3" t="inlineStr">
        <is>
          <t>25 шт.</t>
        </is>
      </c>
      <c r="K54" s="4">
        <f>IMAGE("https://cdn.verdnatura.es/image/catalog/1600x900/179996")</f>
        <v/>
      </c>
      <c r="L54" s="5" t="n"/>
      <c r="M54" s="6" t="n"/>
      <c r="N54" s="7" t="n"/>
      <c r="O54" s="8" t="n">
        <v>0.9399999999999999</v>
      </c>
      <c r="P54" s="8" t="n">
        <v>23.5</v>
      </c>
    </row>
    <row r="55" ht="110" customHeight="1">
      <c r="A55" s="3" t="inlineStr">
        <is>
          <t>13033297</t>
        </is>
      </c>
      <c r="B55" s="3" t="inlineStr">
        <is>
          <t>29-06-2026</t>
        </is>
      </c>
      <c r="C55" s="3" t="inlineStr">
        <is>
          <t>Gloria</t>
        </is>
      </c>
      <c r="D55" s="3" t="inlineStr">
        <is>
          <t>47267</t>
        </is>
      </c>
      <c r="E55" s="4" t="inlineStr">
        <is>
          <t>RS Mondial EXT</t>
        </is>
      </c>
      <c r="F55" s="4" t="inlineStr">
        <is>
          <t>Floraroma</t>
        </is>
      </c>
      <c r="G55" s="4" t="inlineStr">
        <is>
          <t>COLOR Blanco · ALTURA 60 cm · BOTÓN MINIMO 6 cm</t>
        </is>
      </c>
      <c r="H55" s="3" t="inlineStr"/>
      <c r="I55" s="3" t="n">
        <v>25</v>
      </c>
      <c r="J55" s="3" t="inlineStr">
        <is>
          <t>25 шт.</t>
        </is>
      </c>
      <c r="K55" s="4">
        <f>IMAGE("https://cdn.verdnatura.es/image/catalog/1600x900/47267")</f>
        <v/>
      </c>
      <c r="L55" s="5" t="n"/>
      <c r="M55" s="6" t="n"/>
      <c r="N55" s="7" t="n"/>
      <c r="O55" s="8" t="n">
        <v>0.66</v>
      </c>
      <c r="P55" s="8" t="n">
        <v>16.5</v>
      </c>
    </row>
  </sheetData>
  <mergeCells count="4">
    <mergeCell ref="A44:P44"/>
    <mergeCell ref="A38:P38"/>
    <mergeCell ref="A4:P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2026-06-30T09:08:45Z</dcterms:created>
  <dcterms:modified xmlns:dcterms="http://purl.org/dc/terms/" xmlns:xsi="http://www.w3.org/2001/XMLSchema-instance" xsi:type="dcterms:W3CDTF">2026-06-30T09:08:45Z</dcterms:modified>
</cp:coreProperties>
</file>