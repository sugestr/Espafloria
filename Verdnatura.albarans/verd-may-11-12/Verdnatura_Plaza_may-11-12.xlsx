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#12772482  ·  11-05-2026  ·  Plaza  ·  2 позиций  ·  bultos: 0</t>
        </is>
      </c>
    </row>
    <row r="3" ht="110" customHeight="1">
      <c r="A3" s="3" t="inlineStr">
        <is>
          <t>12772482</t>
        </is>
      </c>
      <c r="B3" s="3" t="inlineStr">
        <is>
          <t>11-05-2026</t>
        </is>
      </c>
      <c r="C3" s="3" t="inlineStr">
        <is>
          <t>Plaza</t>
        </is>
      </c>
      <c r="D3" s="3" t="inlineStr">
        <is>
          <t>139272</t>
        </is>
      </c>
      <c r="E3" s="4" t="inlineStr">
        <is>
          <t>Calas Julia Mix</t>
        </is>
      </c>
      <c r="F3" s="4" t="inlineStr">
        <is>
          <t>Dynaplant</t>
        </is>
      </c>
      <c r="G3" s="4" t="inlineStr">
        <is>
          <t>COLOR Mixto · ALTURA 40 cm · MACETA 15</t>
        </is>
      </c>
      <c r="H3" s="3" t="inlineStr"/>
      <c r="I3" s="3" t="n">
        <v>6</v>
      </c>
      <c r="J3" s="3" t="inlineStr">
        <is>
          <t>6 шт.</t>
        </is>
      </c>
      <c r="K3" s="4">
        <f>IMAGE("https://cdn.verdnatura.es/image/catalog/1600x900/139272")</f>
        <v/>
      </c>
      <c r="L3" s="5" t="n"/>
      <c r="M3" s="6" t="n"/>
      <c r="N3" s="7" t="n"/>
      <c r="O3" s="8" t="n">
        <v>8.27</v>
      </c>
      <c r="P3" s="8" t="n">
        <v>49.62</v>
      </c>
    </row>
    <row r="4" ht="110" customHeight="1">
      <c r="A4" s="3" t="inlineStr">
        <is>
          <t>12772482</t>
        </is>
      </c>
      <c r="B4" s="3" t="inlineStr">
        <is>
          <t>11-05-2026</t>
        </is>
      </c>
      <c r="C4" s="3" t="inlineStr">
        <is>
          <t>Plaza</t>
        </is>
      </c>
      <c r="D4" s="3" t="inlineStr">
        <is>
          <t>173277</t>
        </is>
      </c>
      <c r="E4" s="4" t="inlineStr">
        <is>
          <t>Set de 3 Macetas Hoyuelos</t>
        </is>
      </c>
      <c r="F4" s="4" t="inlineStr">
        <is>
          <t>Mega Ceramics</t>
        </is>
      </c>
      <c r="G4" s="4" t="inlineStr">
        <is>
          <t>ALTURA 26 cm · DIAMETRO 32 cm · DIAMETRO BOCA 26 cm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IMAGE("https://cdn.verdnatura.es/image/catalog/1600x900/173277")</f>
        <v/>
      </c>
      <c r="L4" s="5" t="n"/>
      <c r="M4" s="6" t="n"/>
      <c r="N4" s="7" t="n"/>
      <c r="O4" s="8" t="n">
        <v>26.48</v>
      </c>
      <c r="P4" s="8" t="n">
        <v>52.96</v>
      </c>
    </row>
    <row r="5" ht="26" customHeight="1">
      <c r="A5" s="2" t="inlineStr">
        <is>
          <t>📦  Накладная #12780246  ·  11-05-2026  ·  Plaza  ·  14 позиций  ·  bultos: 0</t>
        </is>
      </c>
    </row>
    <row r="6" ht="110" customHeight="1">
      <c r="A6" s="3" t="inlineStr">
        <is>
          <t>12780246</t>
        </is>
      </c>
      <c r="B6" s="3" t="inlineStr">
        <is>
          <t>11-05-2026</t>
        </is>
      </c>
      <c r="C6" s="3" t="inlineStr">
        <is>
          <t>Plaza</t>
        </is>
      </c>
      <c r="D6" s="3" t="inlineStr">
        <is>
          <t>52709</t>
        </is>
      </c>
      <c r="E6" s="4" t="inlineStr">
        <is>
          <t>· Lilium Oriental Colet 5</t>
        </is>
      </c>
      <c r="F6" s="4" t="inlineStr">
        <is>
          <t>Klaver</t>
        </is>
      </c>
      <c r="G6" s="4" t="inlineStr">
        <is>
          <t>COLOR Rosa · ALTURA 85 cm</t>
        </is>
      </c>
      <c r="H6" s="3" t="inlineStr"/>
      <c r="I6" s="3" t="n">
        <v>10</v>
      </c>
      <c r="J6" s="3" t="inlineStr">
        <is>
          <t>10 шт.</t>
        </is>
      </c>
      <c r="K6" s="4">
        <f>IMAGE("https://cdn.verdnatura.es/image/catalog/1600x900/52709")</f>
        <v/>
      </c>
      <c r="L6" s="5" t="n"/>
      <c r="M6" s="6" t="n"/>
      <c r="N6" s="7" t="n"/>
      <c r="O6" s="8" t="n">
        <v>1.99</v>
      </c>
      <c r="P6" s="8" t="n">
        <v>19.9</v>
      </c>
    </row>
    <row r="7" ht="110" customHeight="1">
      <c r="A7" s="3" t="inlineStr">
        <is>
          <t>12780246</t>
        </is>
      </c>
      <c r="B7" s="3" t="inlineStr">
        <is>
          <t>11-05-2026</t>
        </is>
      </c>
      <c r="C7" s="3" t="inlineStr">
        <is>
          <t>Plaza</t>
        </is>
      </c>
      <c r="D7" s="3" t="inlineStr">
        <is>
          <t>83581</t>
        </is>
      </c>
      <c r="E7" s="4" t="inlineStr">
        <is>
          <t>CR Abbey 75 gr</t>
        </is>
      </c>
      <c r="F7" s="4" t="inlineStr">
        <is>
          <t>Zentoo</t>
        </is>
      </c>
      <c r="G7" s="4" t="inlineStr">
        <is>
          <t>COLOR Rosa Claro · ALTURA 70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IMAGE("https://cdn.verdnatura.es/image/catalog/1600x900/83581")</f>
        <v/>
      </c>
      <c r="L7" s="5" t="n"/>
      <c r="M7" s="6" t="n"/>
      <c r="N7" s="7" t="n"/>
      <c r="O7" s="8" t="n">
        <v>0.71</v>
      </c>
      <c r="P7" s="8" t="n">
        <v>14.2</v>
      </c>
    </row>
    <row r="8" ht="110" customHeight="1">
      <c r="A8" s="3" t="inlineStr">
        <is>
          <t>12780246</t>
        </is>
      </c>
      <c r="B8" s="3" t="inlineStr">
        <is>
          <t>11-05-2026</t>
        </is>
      </c>
      <c r="C8" s="3" t="inlineStr">
        <is>
          <t>Plaza</t>
        </is>
      </c>
      <c r="D8" s="3" t="inlineStr">
        <is>
          <t>91141</t>
        </is>
      </c>
      <c r="E8" s="4" t="inlineStr">
        <is>
          <t>CR Pastela Rose 115 gr</t>
        </is>
      </c>
      <c r="F8" s="4" t="inlineStr">
        <is>
          <t>Zentoo</t>
        </is>
      </c>
      <c r="G8" s="4" t="inlineStr">
        <is>
          <t>COLOR Rosa Claro · ALTURA 70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IMAGE("https://cdn.verdnatura.es/image/catalog/1600x900/91141")</f>
        <v/>
      </c>
      <c r="L8" s="5" t="n"/>
      <c r="M8" s="6" t="n"/>
      <c r="N8" s="7" t="n"/>
      <c r="O8" s="8" t="n">
        <v>0.73</v>
      </c>
      <c r="P8" s="8" t="n">
        <v>14.6</v>
      </c>
    </row>
    <row r="9" ht="110" customHeight="1">
      <c r="A9" s="3" t="inlineStr">
        <is>
          <t>12780246</t>
        </is>
      </c>
      <c r="B9" s="3" t="inlineStr">
        <is>
          <t>11-05-2026</t>
        </is>
      </c>
      <c r="C9" s="3" t="inlineStr">
        <is>
          <t>Plaza</t>
        </is>
      </c>
      <c r="D9" s="3" t="inlineStr">
        <is>
          <t>200196</t>
        </is>
      </c>
      <c r="E9" s="4" t="inlineStr">
        <is>
          <t>CR SANT Inzell</t>
        </is>
      </c>
      <c r="F9" s="4" t="inlineStr">
        <is>
          <t>Van Helvoort Company</t>
        </is>
      </c>
      <c r="G9" s="4" t="inlineStr">
        <is>
          <t>COLOR Blanco · ALTURA 55 cm · PESO/PAQUETE 1000 gr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IMAGE("https://cdn.verdnatura.es/image/catalog/1600x900/200196")</f>
        <v/>
      </c>
      <c r="L9" s="5" t="n"/>
      <c r="M9" s="6" t="n"/>
      <c r="N9" s="7" t="n"/>
      <c r="O9" s="8" t="n">
        <v>0.6</v>
      </c>
      <c r="P9" s="8" t="n">
        <v>15</v>
      </c>
    </row>
    <row r="10" ht="110" customHeight="1">
      <c r="A10" s="3" t="inlineStr">
        <is>
          <t>12780246</t>
        </is>
      </c>
      <c r="B10" s="3" t="inlineStr">
        <is>
          <t>11-05-2026</t>
        </is>
      </c>
      <c r="C10" s="3" t="inlineStr">
        <is>
          <t>Plaza</t>
        </is>
      </c>
      <c r="D10" s="3" t="inlineStr">
        <is>
          <t>201908</t>
        </is>
      </c>
      <c r="E10" s="4" t="inlineStr">
        <is>
          <t>CR SANT Mix Blush Pastel</t>
        </is>
      </c>
      <c r="F10" s="4" t="inlineStr">
        <is>
          <t>Zentoo</t>
        </is>
      </c>
      <c r="G10" s="4" t="inlineStr">
        <is>
          <t>COLOR Mixto · ALTURA 55 cm · PESO/PAQUETE 1100 gr</t>
        </is>
      </c>
      <c r="H10" s="3" t="inlineStr"/>
      <c r="I10" s="3" t="n">
        <v>25</v>
      </c>
      <c r="J10" s="3" t="inlineStr">
        <is>
          <t>25 шт.</t>
        </is>
      </c>
      <c r="K10" s="4">
        <f>IMAGE("https://cdn.verdnatura.es/image/catalog/1600x900/201908")</f>
        <v/>
      </c>
      <c r="L10" s="5" t="n"/>
      <c r="M10" s="6" t="n"/>
      <c r="N10" s="7" t="n"/>
      <c r="O10" s="8" t="n">
        <v>0.63</v>
      </c>
      <c r="P10" s="8" t="n">
        <v>15.75</v>
      </c>
    </row>
    <row r="11" ht="110" customHeight="1">
      <c r="A11" s="3" t="inlineStr">
        <is>
          <t>12780246</t>
        </is>
      </c>
      <c r="B11" s="3" t="inlineStr">
        <is>
          <t>11-05-2026</t>
        </is>
      </c>
      <c r="C11" s="3" t="inlineStr">
        <is>
          <t>Plaza</t>
        </is>
      </c>
      <c r="D11" s="3" t="inlineStr">
        <is>
          <t>162201</t>
        </is>
      </c>
      <c r="E11" s="4" t="inlineStr">
        <is>
          <t>LO Amistad (Premium) 4</t>
        </is>
      </c>
      <c r="F11" s="4" t="inlineStr">
        <is>
          <t>Florient-Remko vd Ma</t>
        </is>
      </c>
      <c r="G11" s="4" t="inlineStr">
        <is>
          <t>COLOR Rosa Claro · ALTURA 90 cm</t>
        </is>
      </c>
      <c r="H11" s="3" t="inlineStr"/>
      <c r="I11" s="3" t="n">
        <v>10</v>
      </c>
      <c r="J11" s="3" t="inlineStr">
        <is>
          <t>10 шт.</t>
        </is>
      </c>
      <c r="K11" s="4">
        <f>IMAGE("https://cdn.verdnatura.es/image/catalog/1600x900/162201")</f>
        <v/>
      </c>
      <c r="L11" s="5" t="n"/>
      <c r="M11" s="6" t="n"/>
      <c r="N11" s="7" t="n"/>
      <c r="O11" s="8" t="n">
        <v>2.43</v>
      </c>
      <c r="P11" s="8" t="n">
        <v>24.3</v>
      </c>
    </row>
    <row r="12" ht="110" customHeight="1">
      <c r="A12" s="3" t="inlineStr">
        <is>
          <t>12780246</t>
        </is>
      </c>
      <c r="B12" s="3" t="inlineStr">
        <is>
          <t>11-05-2026</t>
        </is>
      </c>
      <c r="C12" s="3" t="inlineStr">
        <is>
          <t>Plaza</t>
        </is>
      </c>
      <c r="D12" s="3" t="inlineStr">
        <is>
          <t>201650</t>
        </is>
      </c>
      <c r="E12" s="4" t="inlineStr">
        <is>
          <t>Peonia Alexander Fleming</t>
        </is>
      </c>
      <c r="F12" s="4" t="inlineStr">
        <is>
          <t>Dominique</t>
        </is>
      </c>
      <c r="G12" s="4" t="inlineStr">
        <is>
          <t>COLOR Fucsia · ALTURA 45 cm</t>
        </is>
      </c>
      <c r="H12" s="3" t="inlineStr"/>
      <c r="I12" s="3" t="n">
        <v>30</v>
      </c>
      <c r="J12" s="3" t="inlineStr">
        <is>
          <t>30 шт.</t>
        </is>
      </c>
      <c r="K12" s="4">
        <f>IMAGE("https://cdn.verdnatura.es/image/catalog/1600x900/201650")</f>
        <v/>
      </c>
      <c r="L12" s="5" t="n"/>
      <c r="M12" s="6" t="n"/>
      <c r="N12" s="7" t="n"/>
      <c r="O12" s="8" t="n">
        <v>1.37</v>
      </c>
      <c r="P12" s="8" t="n">
        <v>41.1</v>
      </c>
    </row>
    <row r="13" ht="110" customHeight="1">
      <c r="A13" s="3" t="inlineStr">
        <is>
          <t>12780246</t>
        </is>
      </c>
      <c r="B13" s="3" t="inlineStr">
        <is>
          <t>11-05-2026</t>
        </is>
      </c>
      <c r="C13" s="3" t="inlineStr">
        <is>
          <t>Plaza</t>
        </is>
      </c>
      <c r="D13" s="3" t="inlineStr">
        <is>
          <t>24458</t>
        </is>
      </c>
      <c r="E13" s="4" t="inlineStr">
        <is>
          <t>Peonia Red Charm</t>
        </is>
      </c>
      <c r="F13" s="4" t="inlineStr"/>
      <c r="G13" s="4" t="inlineStr">
        <is>
          <t>COLOR Granate · ALTURA 55 cm · APERTURA 2-3</t>
        </is>
      </c>
      <c r="H13" s="3" t="inlineStr"/>
      <c r="I13" s="3" t="n">
        <v>30</v>
      </c>
      <c r="J13" s="3" t="inlineStr">
        <is>
          <t>30 шт.</t>
        </is>
      </c>
      <c r="K13" s="4">
        <f>IMAGE("https://cdn.verdnatura.es/image/catalog/1600x900/24458")</f>
        <v/>
      </c>
      <c r="L13" s="5" t="n"/>
      <c r="M13" s="6" t="n"/>
      <c r="N13" s="7" t="n"/>
      <c r="O13" s="8" t="n">
        <v>1.55</v>
      </c>
      <c r="P13" s="8" t="n">
        <v>46.5</v>
      </c>
    </row>
    <row r="14" ht="110" customHeight="1">
      <c r="A14" s="3" t="inlineStr">
        <is>
          <t>12780246</t>
        </is>
      </c>
      <c r="B14" s="3" t="inlineStr">
        <is>
          <t>11-05-2026</t>
        </is>
      </c>
      <c r="C14" s="3" t="inlineStr">
        <is>
          <t>Plaza</t>
        </is>
      </c>
      <c r="D14" s="3" t="inlineStr">
        <is>
          <t>23532</t>
        </is>
      </c>
      <c r="E14" s="4" t="inlineStr">
        <is>
          <t>RANUN Mega Mix</t>
        </is>
      </c>
      <c r="F14" s="4" t="inlineStr">
        <is>
          <t>Promoflor</t>
        </is>
      </c>
      <c r="G14" s="4" t="inlineStr">
        <is>
          <t>COLOR Mixto · ALTURA 40 cm</t>
        </is>
      </c>
      <c r="H14" s="3" t="inlineStr"/>
      <c r="I14" s="3" t="n">
        <v>100</v>
      </c>
      <c r="J14" s="3" t="inlineStr">
        <is>
          <t>100 шт.</t>
        </is>
      </c>
      <c r="K14" s="4">
        <f>IMAGE("https://cdn.verdnatura.es/image/catalog/1600x900/23532")</f>
        <v/>
      </c>
      <c r="L14" s="5" t="n"/>
      <c r="M14" s="6" t="n"/>
      <c r="N14" s="7" t="n"/>
      <c r="O14" s="8" t="n">
        <v>0.43</v>
      </c>
      <c r="P14" s="8" t="n">
        <v>43</v>
      </c>
    </row>
    <row r="15" ht="110" customHeight="1">
      <c r="A15" s="3" t="inlineStr">
        <is>
          <t>12780246</t>
        </is>
      </c>
      <c r="B15" s="3" t="inlineStr">
        <is>
          <t>11-05-2026</t>
        </is>
      </c>
      <c r="C15" s="3" t="inlineStr">
        <is>
          <t>Plaza</t>
        </is>
      </c>
      <c r="D15" s="3" t="inlineStr">
        <is>
          <t>94665</t>
        </is>
      </c>
      <c r="E15" s="4" t="inlineStr">
        <is>
          <t>RSR Chimo</t>
        </is>
      </c>
      <c r="F15" s="4" t="inlineStr">
        <is>
          <t>Braam Roses</t>
        </is>
      </c>
      <c r="G15" s="4" t="inlineStr">
        <is>
          <t>COLOR Fucsia · ALTURA 50 cm · TAMAÑO BOTÓN Pequeño</t>
        </is>
      </c>
      <c r="H15" s="3" t="inlineStr"/>
      <c r="I15" s="3" t="n">
        <v>40</v>
      </c>
      <c r="J15" s="3" t="inlineStr">
        <is>
          <t>40 шт.</t>
        </is>
      </c>
      <c r="K15" s="4">
        <f>IMAGE("https://cdn.verdnatura.es/image/catalog/1600x900/94665")</f>
        <v/>
      </c>
      <c r="L15" s="5" t="n"/>
      <c r="M15" s="6" t="n"/>
      <c r="N15" s="7" t="n"/>
      <c r="O15" s="8" t="n">
        <v>0.41</v>
      </c>
      <c r="P15" s="8" t="n">
        <v>16.4</v>
      </c>
    </row>
    <row r="16" ht="110" customHeight="1">
      <c r="A16" s="3" t="inlineStr">
        <is>
          <t>12780246</t>
        </is>
      </c>
      <c r="B16" s="3" t="inlineStr">
        <is>
          <t>11-05-2026</t>
        </is>
      </c>
      <c r="C16" s="3" t="inlineStr">
        <is>
          <t>Plaza</t>
        </is>
      </c>
      <c r="D16" s="3" t="inlineStr">
        <is>
          <t>42966</t>
        </is>
      </c>
      <c r="E16" s="4" t="inlineStr">
        <is>
          <t>Tanacetum Single Vegmo</t>
        </is>
      </c>
      <c r="F16" s="4" t="inlineStr">
        <is>
          <t>Grootscholten Matricaria</t>
        </is>
      </c>
      <c r="G16" s="4" t="inlineStr">
        <is>
          <t>COLOR Blanco/Amarillo · ALTURA 60 cm</t>
        </is>
      </c>
      <c r="H16" s="3" t="inlineStr"/>
      <c r="I16" s="3" t="n">
        <v>25</v>
      </c>
      <c r="J16" s="3" t="inlineStr">
        <is>
          <t>25 шт.</t>
        </is>
      </c>
      <c r="K16" s="4">
        <f>IMAGE("https://cdn.verdnatura.es/image/catalog/1600x900/42966")</f>
        <v/>
      </c>
      <c r="L16" s="5" t="n"/>
      <c r="M16" s="6" t="n"/>
      <c r="N16" s="7" t="n"/>
      <c r="O16" s="8" t="n">
        <v>0.7</v>
      </c>
      <c r="P16" s="8" t="n">
        <v>17.5</v>
      </c>
    </row>
    <row r="17" ht="110" customHeight="1">
      <c r="A17" s="3" t="inlineStr">
        <is>
          <t>12780246</t>
        </is>
      </c>
      <c r="B17" s="3" t="inlineStr">
        <is>
          <t>11-05-2026</t>
        </is>
      </c>
      <c r="C17" s="3" t="inlineStr">
        <is>
          <t>Plaza</t>
        </is>
      </c>
      <c r="D17" s="3" t="inlineStr">
        <is>
          <t>201746</t>
        </is>
      </c>
      <c r="E17" s="4" t="inlineStr">
        <is>
          <t>TUL Everton</t>
        </is>
      </c>
      <c r="F17" s="4" t="inlineStr"/>
      <c r="G17" s="4" t="inlineStr">
        <is>
          <t>COLOR Rojo · ALTURA 42 cm · PESO/TALLO 44 gr</t>
        </is>
      </c>
      <c r="H17" s="3" t="inlineStr"/>
      <c r="I17" s="3" t="n">
        <v>50</v>
      </c>
      <c r="J17" s="3" t="inlineStr">
        <is>
          <t>50 шт.</t>
        </is>
      </c>
      <c r="K17" s="4">
        <f>IMAGE("https://cdn.verdnatura.es/image/catalog/1600x900/201746")</f>
        <v/>
      </c>
      <c r="L17" s="5" t="n"/>
      <c r="M17" s="6" t="n"/>
      <c r="N17" s="7" t="n"/>
      <c r="O17" s="8" t="n">
        <v>0.46</v>
      </c>
      <c r="P17" s="8" t="n">
        <v>23</v>
      </c>
    </row>
    <row r="18" ht="110" customHeight="1">
      <c r="A18" s="3" t="inlineStr">
        <is>
          <t>12780246</t>
        </is>
      </c>
      <c r="B18" s="3" t="inlineStr">
        <is>
          <t>11-05-2026</t>
        </is>
      </c>
      <c r="C18" s="3" t="inlineStr">
        <is>
          <t>Plaza</t>
        </is>
      </c>
      <c r="D18" s="3" t="inlineStr">
        <is>
          <t>10581</t>
        </is>
      </c>
      <c r="E18" s="4" t="inlineStr">
        <is>
          <t>TUL White Liberstar Coronet</t>
        </is>
      </c>
      <c r="F18" s="4" t="inlineStr"/>
      <c r="G18" s="4" t="inlineStr">
        <is>
          <t>COLOR Blanco/Rosa · ALTURA 34 cm · PESO/TALLO 22 gr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IMAGE("https://cdn.verdnatura.es/image/catalog/1600x900/10581")</f>
        <v/>
      </c>
      <c r="L18" s="5" t="n"/>
      <c r="M18" s="6" t="n"/>
      <c r="N18" s="7" t="n"/>
      <c r="O18" s="8" t="n">
        <v>0.3</v>
      </c>
      <c r="P18" s="8" t="n">
        <v>15</v>
      </c>
    </row>
    <row r="19" ht="110" customHeight="1">
      <c r="A19" s="3" t="inlineStr">
        <is>
          <t>12780246</t>
        </is>
      </c>
      <c r="B19" s="3" t="inlineStr">
        <is>
          <t>11-05-2026</t>
        </is>
      </c>
      <c r="C19" s="3" t="inlineStr">
        <is>
          <t>Plaza</t>
        </is>
      </c>
      <c r="D19" s="3" t="inlineStr">
        <is>
          <t>89829</t>
        </is>
      </c>
      <c r="E19" s="4" t="inlineStr">
        <is>
          <t>TUL· Tresor</t>
        </is>
      </c>
      <c r="F19" s="4" t="inlineStr"/>
      <c r="G19" s="4" t="inlineStr">
        <is>
          <t>COLOR Rosa · ALTURA 44 cm · PESO/TALLO 46 gr</t>
        </is>
      </c>
      <c r="H19" s="3" t="inlineStr"/>
      <c r="I19" s="3" t="n">
        <v>100</v>
      </c>
      <c r="J19" s="3" t="inlineStr">
        <is>
          <t>100 шт.</t>
        </is>
      </c>
      <c r="K19" s="4">
        <f>IMAGE("https://cdn.verdnatura.es/image/catalog/1600x900/89829")</f>
        <v/>
      </c>
      <c r="L19" s="5" t="n"/>
      <c r="M19" s="6" t="n"/>
      <c r="N19" s="7" t="n"/>
      <c r="O19" s="8" t="n">
        <v>0.57</v>
      </c>
      <c r="P19" s="8" t="n">
        <v>57</v>
      </c>
    </row>
    <row r="20" ht="26" customHeight="1">
      <c r="A20" s="2" t="inlineStr">
        <is>
          <t>📦  Накладная #12781454  ·  11-05-2026  ·  Plaza  ·  6 позиций  ·  bultos: 6</t>
        </is>
      </c>
    </row>
    <row r="21" ht="110" customHeight="1">
      <c r="A21" s="3" t="inlineStr">
        <is>
          <t>12781454</t>
        </is>
      </c>
      <c r="B21" s="3" t="inlineStr">
        <is>
          <t>11-05-2026</t>
        </is>
      </c>
      <c r="C21" s="3" t="inlineStr">
        <is>
          <t>Plaza</t>
        </is>
      </c>
      <c r="D21" s="3" t="inlineStr">
        <is>
          <t>200889</t>
        </is>
      </c>
      <c r="E21" s="4" t="inlineStr">
        <is>
          <t>Ananas Mi Amigo (Mazie)</t>
        </is>
      </c>
      <c r="F21" s="4" t="inlineStr">
        <is>
          <t>Riza Bromelia Specialist</t>
        </is>
      </c>
      <c r="G21" s="4" t="inlineStr">
        <is>
          <t>COLOR Verde · ALTURA 40 cm · MACETA 12</t>
        </is>
      </c>
      <c r="H21" s="3" t="inlineStr"/>
      <c r="I21" s="3" t="n">
        <v>6</v>
      </c>
      <c r="J21" s="3" t="inlineStr">
        <is>
          <t>6 шт.</t>
        </is>
      </c>
      <c r="K21" s="4">
        <f>IMAGE("https://cdn.verdnatura.es/image/catalog/1600x900/200889")</f>
        <v/>
      </c>
      <c r="L21" s="5" t="n"/>
      <c r="M21" s="6" t="n"/>
      <c r="N21" s="7" t="n"/>
      <c r="O21" s="8" t="n">
        <v>5.75</v>
      </c>
      <c r="P21" s="8" t="n">
        <v>34.5</v>
      </c>
    </row>
    <row r="22" ht="110" customHeight="1">
      <c r="A22" s="3" t="inlineStr">
        <is>
          <t>12781454</t>
        </is>
      </c>
      <c r="B22" s="3" t="inlineStr">
        <is>
          <t>11-05-2026</t>
        </is>
      </c>
      <c r="C22" s="3" t="inlineStr">
        <is>
          <t>Plaza</t>
        </is>
      </c>
      <c r="D22" s="3" t="inlineStr">
        <is>
          <t>104672</t>
        </is>
      </c>
      <c r="E22" s="4" t="inlineStr">
        <is>
          <t>ANT Esudo (In Couture) DIAMOND</t>
        </is>
      </c>
      <c r="F22" s="4" t="inlineStr">
        <is>
          <t>Houwenplant</t>
        </is>
      </c>
      <c r="G22" s="4" t="inlineStr">
        <is>
          <t>COLOR Rojo · ALTURA 36 cm · MACETA 12</t>
        </is>
      </c>
      <c r="H22" s="3" t="inlineStr"/>
      <c r="I22" s="3" t="n">
        <v>10</v>
      </c>
      <c r="J22" s="3" t="inlineStr">
        <is>
          <t>10 шт.</t>
        </is>
      </c>
      <c r="K22" s="4">
        <f>IMAGE("https://cdn.verdnatura.es/image/catalog/1600x900/104672")</f>
        <v/>
      </c>
      <c r="L22" s="5" t="n"/>
      <c r="M22" s="6" t="n"/>
      <c r="N22" s="7" t="n"/>
      <c r="O22" s="8" t="n">
        <v>6.65</v>
      </c>
      <c r="P22" s="8" t="n">
        <v>66.5</v>
      </c>
    </row>
    <row r="23" ht="110" customHeight="1">
      <c r="A23" s="3" t="inlineStr">
        <is>
          <t>12781454</t>
        </is>
      </c>
      <c r="B23" s="3" t="inlineStr">
        <is>
          <t>11-05-2026</t>
        </is>
      </c>
      <c r="C23" s="3" t="inlineStr">
        <is>
          <t>Plaza</t>
        </is>
      </c>
      <c r="D23" s="3" t="inlineStr">
        <is>
          <t>36629</t>
        </is>
      </c>
      <c r="E23" s="4" t="inlineStr">
        <is>
          <t>DRAC Frag Derem Lemon Lime 2T</t>
        </is>
      </c>
      <c r="F23" s="4" t="inlineStr">
        <is>
          <t>Vireo-Hedera Plant</t>
        </is>
      </c>
      <c r="G23" s="4" t="inlineStr">
        <is>
          <t>COLOR Verde/Amarillo · ALTURA 70 cm · MACETA 17</t>
        </is>
      </c>
      <c r="H23" s="3" t="inlineStr"/>
      <c r="I23" s="3" t="n">
        <v>6</v>
      </c>
      <c r="J23" s="3" t="inlineStr">
        <is>
          <t>6 шт.</t>
        </is>
      </c>
      <c r="K23" s="4">
        <f>IMAGE("https://cdn.verdnatura.es/image/catalog/1600x900/36629")</f>
        <v/>
      </c>
      <c r="L23" s="5" t="n"/>
      <c r="M23" s="6" t="n"/>
      <c r="N23" s="7" t="n"/>
      <c r="O23" s="8" t="n">
        <v>8.960000000000001</v>
      </c>
      <c r="P23" s="8" t="n">
        <v>53.76</v>
      </c>
    </row>
    <row r="24" ht="110" customHeight="1">
      <c r="A24" s="3" t="inlineStr">
        <is>
          <t>12781454</t>
        </is>
      </c>
      <c r="B24" s="3" t="inlineStr">
        <is>
          <t>11-05-2026</t>
        </is>
      </c>
      <c r="C24" s="3" t="inlineStr">
        <is>
          <t>Plaza</t>
        </is>
      </c>
      <c r="D24" s="3" t="inlineStr">
        <is>
          <t>150406</t>
        </is>
      </c>
      <c r="E24" s="4" t="inlineStr">
        <is>
          <t>Miltoniopsis Mix 1T</t>
        </is>
      </c>
      <c r="F24" s="4" t="inlineStr">
        <is>
          <t>Inca Orchids</t>
        </is>
      </c>
      <c r="G24" s="4" t="inlineStr">
        <is>
          <t>COLOR Mixto · ALTURA 35 cm · MACETA 9</t>
        </is>
      </c>
      <c r="H24" s="3" t="inlineStr"/>
      <c r="I24" s="3" t="n">
        <v>12</v>
      </c>
      <c r="J24" s="3" t="inlineStr">
        <is>
          <t>12 шт.</t>
        </is>
      </c>
      <c r="K24" s="4">
        <f>IMAGE("https://cdn.verdnatura.es/image/catalog/1600x900/150406")</f>
        <v/>
      </c>
      <c r="L24" s="5" t="n"/>
      <c r="M24" s="6" t="n"/>
      <c r="N24" s="7" t="n"/>
      <c r="O24" s="8" t="n">
        <v>4.32</v>
      </c>
      <c r="P24" s="8" t="n">
        <v>51.84</v>
      </c>
    </row>
    <row r="25" ht="110" customHeight="1">
      <c r="A25" s="3" t="inlineStr">
        <is>
          <t>12781454</t>
        </is>
      </c>
      <c r="B25" s="3" t="inlineStr">
        <is>
          <t>11-05-2026</t>
        </is>
      </c>
      <c r="C25" s="3" t="inlineStr">
        <is>
          <t>Plaza</t>
        </is>
      </c>
      <c r="D25" s="3" t="inlineStr">
        <is>
          <t>182618</t>
        </is>
      </c>
      <c r="E25" s="4" t="inlineStr">
        <is>
          <t>PHAL 3T Cerámica Kolibri Mix (</t>
        </is>
      </c>
      <c r="F25" s="4" t="inlineStr">
        <is>
          <t>OK Plant</t>
        </is>
      </c>
      <c r="G25" s="4" t="inlineStr">
        <is>
          <t>COLOR Mixto · ALTURA 40 cm · MACETA 9</t>
        </is>
      </c>
      <c r="H25" s="3" t="inlineStr"/>
      <c r="I25" s="3" t="n">
        <v>6</v>
      </c>
      <c r="J25" s="3" t="inlineStr">
        <is>
          <t>6 шт.</t>
        </is>
      </c>
      <c r="K25" s="4">
        <f>IMAGE("https://cdn.verdnatura.es/image/catalog/1600x900/182618")</f>
        <v/>
      </c>
      <c r="L25" s="5" t="n"/>
      <c r="M25" s="6" t="n"/>
      <c r="N25" s="7" t="n"/>
      <c r="O25" s="8" t="n">
        <v>8.41</v>
      </c>
      <c r="P25" s="8" t="n">
        <v>50.46</v>
      </c>
    </row>
    <row r="26" ht="110" customHeight="1">
      <c r="A26" s="3" t="inlineStr">
        <is>
          <t>12781454</t>
        </is>
      </c>
      <c r="B26" s="3" t="inlineStr">
        <is>
          <t>11-05-2026</t>
        </is>
      </c>
      <c r="C26" s="3" t="inlineStr">
        <is>
          <t>Plaza</t>
        </is>
      </c>
      <c r="D26" s="3" t="inlineStr">
        <is>
          <t>175834</t>
        </is>
      </c>
      <c r="E26" s="4" t="inlineStr">
        <is>
          <t>PHIL Imperial Green 1T</t>
        </is>
      </c>
      <c r="F26" s="4" t="inlineStr">
        <is>
          <t>PlantWorld JoGrow</t>
        </is>
      </c>
      <c r="G26" s="4" t="inlineStr">
        <is>
          <t>COLOR Marrón/Verde · ALTURA 40 cm · MACETA 12</t>
        </is>
      </c>
      <c r="H26" s="3" t="inlineStr"/>
      <c r="I26" s="3" t="n">
        <v>6</v>
      </c>
      <c r="J26" s="3" t="inlineStr">
        <is>
          <t>6 шт.</t>
        </is>
      </c>
      <c r="K26" s="4">
        <f>IMAGE("https://cdn.verdnatura.es/image/catalog/1600x900/175834")</f>
        <v/>
      </c>
      <c r="L26" s="5" t="n"/>
      <c r="M26" s="6" t="n"/>
      <c r="N26" s="7" t="n"/>
      <c r="O26" s="8" t="n">
        <v>2.69</v>
      </c>
      <c r="P26" s="8" t="n">
        <v>16.14</v>
      </c>
    </row>
    <row r="27" ht="26" customHeight="1">
      <c r="A27" s="2" t="inlineStr">
        <is>
          <t>📦  Накладная #12781750  ·  11-05-2026  ·  Plaza  ·  1 позиций  ·  bultos: 1</t>
        </is>
      </c>
    </row>
    <row r="28" ht="110" customHeight="1">
      <c r="A28" s="3" t="inlineStr">
        <is>
          <t>12781750</t>
        </is>
      </c>
      <c r="B28" s="3" t="inlineStr">
        <is>
          <t>11-05-2026</t>
        </is>
      </c>
      <c r="C28" s="3" t="inlineStr">
        <is>
          <t>Plaza</t>
        </is>
      </c>
      <c r="D28" s="3" t="inlineStr">
        <is>
          <t>160486</t>
        </is>
      </c>
      <c r="E28" s="4" t="inlineStr">
        <is>
          <t>DRAC Frag Massangeana 3T</t>
        </is>
      </c>
      <c r="F28" s="4" t="inlineStr">
        <is>
          <t>RF</t>
        </is>
      </c>
      <c r="G28" s="4" t="inlineStr">
        <is>
          <t>COLOR Verde/Amarillo · ALTURA 135 cm · MACETA 24</t>
        </is>
      </c>
      <c r="H28" s="3" t="inlineStr"/>
      <c r="I28" s="3" t="n">
        <v>1</v>
      </c>
      <c r="J28" s="3" t="inlineStr">
        <is>
          <t>1 шт.</t>
        </is>
      </c>
      <c r="K28" s="4">
        <f>IMAGE("https://cdn.verdnatura.es/image/catalog/1600x900/160486")</f>
        <v/>
      </c>
      <c r="L28" s="5" t="n"/>
      <c r="M28" s="6" t="n"/>
      <c r="N28" s="7" t="n"/>
      <c r="O28" s="8" t="n">
        <v>23.19</v>
      </c>
      <c r="P28" s="8" t="n">
        <v>23.19</v>
      </c>
    </row>
  </sheetData>
  <mergeCells count="4">
    <mergeCell ref="A5:P5"/>
    <mergeCell ref="A27:P27"/>
    <mergeCell ref="A20:P20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