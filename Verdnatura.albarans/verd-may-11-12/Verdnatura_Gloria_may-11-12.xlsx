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#12771033  ·  11-05-2026  ·  Gloria  ·  1 позиций  ·  bultos: 2</t>
        </is>
      </c>
    </row>
    <row r="3" ht="110" customHeight="1">
      <c r="A3" s="3" t="inlineStr">
        <is>
          <t>12771033</t>
        </is>
      </c>
      <c r="B3" s="3" t="inlineStr">
        <is>
          <t>11-05-2026</t>
        </is>
      </c>
      <c r="C3" s="3" t="inlineStr">
        <is>
          <t>Gloria</t>
        </is>
      </c>
      <c r="D3" s="3" t="inlineStr">
        <is>
          <t>173277</t>
        </is>
      </c>
      <c r="E3" s="4" t="inlineStr">
        <is>
          <t>Set de 3 Macetas Hoyuelos</t>
        </is>
      </c>
      <c r="F3" s="4" t="inlineStr">
        <is>
          <t>Mega Ceramics</t>
        </is>
      </c>
      <c r="G3" s="4" t="inlineStr">
        <is>
          <t>ALTURA 26 cm · DIAMETRO 32 cm · DIAMETRO BOCA 26 cm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IMAGE("https://cdn.verdnatura.es/image/catalog/1600x900/173277")</f>
        <v/>
      </c>
      <c r="L3" s="5" t="n"/>
      <c r="M3" s="6" t="n"/>
      <c r="N3" s="7" t="n"/>
      <c r="O3" s="8" t="n">
        <v>27.51</v>
      </c>
      <c r="P3" s="8" t="n">
        <v>55.02</v>
      </c>
    </row>
    <row r="4" ht="26" customHeight="1">
      <c r="A4" s="2" t="inlineStr">
        <is>
          <t>📦  Накладная #12780258  ·  11-05-2026  ·  Gloria  ·  22 позиций  ·  bultos: 0</t>
        </is>
      </c>
    </row>
    <row r="5" ht="110" customHeight="1">
      <c r="A5" s="3" t="inlineStr">
        <is>
          <t>12780258</t>
        </is>
      </c>
      <c r="B5" s="3" t="inlineStr">
        <is>
          <t>11-05-2026</t>
        </is>
      </c>
      <c r="C5" s="3" t="inlineStr">
        <is>
          <t>Gloria</t>
        </is>
      </c>
      <c r="D5" s="3" t="inlineStr">
        <is>
          <t>167505</t>
        </is>
      </c>
      <c r="E5" s="4" t="inlineStr">
        <is>
          <t>Allium Neapolitanum Flocon</t>
        </is>
      </c>
      <c r="F5" s="4" t="inlineStr"/>
      <c r="G5" s="4" t="inlineStr">
        <is>
          <t>COLOR Blanco · ALTURA 40 cm</t>
        </is>
      </c>
      <c r="H5" s="3" t="inlineStr"/>
      <c r="I5" s="3" t="n">
        <v>20</v>
      </c>
      <c r="J5" s="3" t="inlineStr">
        <is>
          <t>20 шт.</t>
        </is>
      </c>
      <c r="K5" s="4">
        <f>IMAGE("https://cdn.verdnatura.es/image/catalog/1600x900/167505")</f>
        <v/>
      </c>
      <c r="L5" s="5" t="n"/>
      <c r="M5" s="6" t="n"/>
      <c r="N5" s="7" t="n"/>
      <c r="O5" s="8" t="n">
        <v>0.4</v>
      </c>
      <c r="P5" s="8" t="n">
        <v>8</v>
      </c>
    </row>
    <row r="6" ht="110" customHeight="1">
      <c r="A6" s="3" t="inlineStr">
        <is>
          <t>12780258</t>
        </is>
      </c>
      <c r="B6" s="3" t="inlineStr">
        <is>
          <t>11-05-2026</t>
        </is>
      </c>
      <c r="C6" s="3" t="inlineStr">
        <is>
          <t>Gloria</t>
        </is>
      </c>
      <c r="D6" s="3" t="inlineStr">
        <is>
          <t>83581</t>
        </is>
      </c>
      <c r="E6" s="4" t="inlineStr">
        <is>
          <t>CR Abbey 75 gr</t>
        </is>
      </c>
      <c r="F6" s="4" t="inlineStr">
        <is>
          <t>Zentoo</t>
        </is>
      </c>
      <c r="G6" s="4" t="inlineStr">
        <is>
          <t>COLOR Rosa Claro · ALTURA 70 cm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IMAGE("https://cdn.verdnatura.es/image/catalog/1600x900/83581")</f>
        <v/>
      </c>
      <c r="L6" s="5" t="n"/>
      <c r="M6" s="6" t="n"/>
      <c r="N6" s="7" t="n"/>
      <c r="O6" s="8" t="n">
        <v>0.7</v>
      </c>
      <c r="P6" s="8" t="n">
        <v>14</v>
      </c>
    </row>
    <row r="7" ht="110" customHeight="1">
      <c r="A7" s="3" t="inlineStr">
        <is>
          <t>12780258</t>
        </is>
      </c>
      <c r="B7" s="3" t="inlineStr">
        <is>
          <t>11-05-2026</t>
        </is>
      </c>
      <c r="C7" s="3" t="inlineStr">
        <is>
          <t>Gloria</t>
        </is>
      </c>
      <c r="D7" s="3" t="inlineStr">
        <is>
          <t>200196</t>
        </is>
      </c>
      <c r="E7" s="4" t="inlineStr">
        <is>
          <t>CR SANT Inzell</t>
        </is>
      </c>
      <c r="F7" s="4" t="inlineStr">
        <is>
          <t>Van Helvoort Company</t>
        </is>
      </c>
      <c r="G7" s="4" t="inlineStr">
        <is>
          <t>COLOR Blanco · ALTURA 55 cm · PESO/PAQUETE 1000 gr</t>
        </is>
      </c>
      <c r="H7" s="3" t="inlineStr"/>
      <c r="I7" s="3" t="n">
        <v>25</v>
      </c>
      <c r="J7" s="3" t="inlineStr">
        <is>
          <t>25 шт.</t>
        </is>
      </c>
      <c r="K7" s="4">
        <f>IMAGE("https://cdn.verdnatura.es/image/catalog/1600x900/200196")</f>
        <v/>
      </c>
      <c r="L7" s="5" t="n"/>
      <c r="M7" s="6" t="n"/>
      <c r="N7" s="7" t="n"/>
      <c r="O7" s="8" t="n">
        <v>0.59</v>
      </c>
      <c r="P7" s="8" t="n">
        <v>14.75</v>
      </c>
    </row>
    <row r="8" ht="110" customHeight="1">
      <c r="A8" s="3" t="inlineStr">
        <is>
          <t>12780258</t>
        </is>
      </c>
      <c r="B8" s="3" t="inlineStr">
        <is>
          <t>11-05-2026</t>
        </is>
      </c>
      <c r="C8" s="3" t="inlineStr">
        <is>
          <t>Gloria</t>
        </is>
      </c>
      <c r="D8" s="3" t="inlineStr">
        <is>
          <t>201908</t>
        </is>
      </c>
      <c r="E8" s="4" t="inlineStr">
        <is>
          <t>CR SANT Mix Blush Pastel</t>
        </is>
      </c>
      <c r="F8" s="4" t="inlineStr">
        <is>
          <t>Zentoo</t>
        </is>
      </c>
      <c r="G8" s="4" t="inlineStr">
        <is>
          <t>COLOR Mixto · ALTURA 55 cm · PESO/PAQUETE 1100 gr</t>
        </is>
      </c>
      <c r="H8" s="3" t="inlineStr"/>
      <c r="I8" s="3" t="n">
        <v>50</v>
      </c>
      <c r="J8" s="3" t="inlineStr">
        <is>
          <t>50 шт.</t>
        </is>
      </c>
      <c r="K8" s="4">
        <f>IMAGE("https://cdn.verdnatura.es/image/catalog/1600x900/201908")</f>
        <v/>
      </c>
      <c r="L8" s="5" t="n"/>
      <c r="M8" s="6" t="n"/>
      <c r="N8" s="7" t="n"/>
      <c r="O8" s="8" t="n">
        <v>0.62</v>
      </c>
      <c r="P8" s="8" t="n">
        <v>31</v>
      </c>
    </row>
    <row r="9" ht="110" customHeight="1">
      <c r="A9" s="3" t="inlineStr">
        <is>
          <t>12780258</t>
        </is>
      </c>
      <c r="B9" s="3" t="inlineStr">
        <is>
          <t>11-05-2026</t>
        </is>
      </c>
      <c r="C9" s="3" t="inlineStr">
        <is>
          <t>Gloria</t>
        </is>
      </c>
      <c r="D9" s="3" t="inlineStr">
        <is>
          <t>190359</t>
        </is>
      </c>
      <c r="E9" s="4" t="inlineStr">
        <is>
          <t>F Arroz Rosa</t>
        </is>
      </c>
      <c r="F9" s="4" t="inlineStr">
        <is>
          <t>Piazza Dei Fiori</t>
        </is>
      </c>
      <c r="G9" s="4" t="inlineStr">
        <is>
          <t>COLOR Blanco/Rosa · ALTURA 65 cm</t>
        </is>
      </c>
      <c r="H9" s="3" t="inlineStr"/>
      <c r="I9" s="3" t="n">
        <v>3</v>
      </c>
      <c r="J9" s="3" t="inlineStr">
        <is>
          <t>3 шт.</t>
        </is>
      </c>
      <c r="K9" s="4">
        <f>IMAGE("https://cdn.verdnatura.es/image/catalog/1600x900/190359")</f>
        <v/>
      </c>
      <c r="L9" s="5" t="n"/>
      <c r="M9" s="6" t="n"/>
      <c r="N9" s="7" t="n"/>
      <c r="O9" s="8" t="n">
        <v>2.6</v>
      </c>
      <c r="P9" s="8" t="n">
        <v>7.8</v>
      </c>
    </row>
    <row r="10" ht="110" customHeight="1">
      <c r="A10" s="3" t="inlineStr">
        <is>
          <t>12780258</t>
        </is>
      </c>
      <c r="B10" s="3" t="inlineStr">
        <is>
          <t>11-05-2026</t>
        </is>
      </c>
      <c r="C10" s="3" t="inlineStr">
        <is>
          <t>Gloria</t>
        </is>
      </c>
      <c r="D10" s="3" t="inlineStr">
        <is>
          <t>134889</t>
        </is>
      </c>
      <c r="E10" s="4" t="inlineStr">
        <is>
          <t>Girasol Vincent s Choice</t>
        </is>
      </c>
      <c r="F10" s="4" t="inlineStr">
        <is>
          <t>Canaraflor</t>
        </is>
      </c>
      <c r="G10" s="4" t="inlineStr">
        <is>
          <t>COLOR Naranja claro · ALTURA 70 cm</t>
        </is>
      </c>
      <c r="H10" s="3" t="inlineStr"/>
      <c r="I10" s="3" t="n">
        <v>30</v>
      </c>
      <c r="J10" s="3" t="inlineStr">
        <is>
          <t>30 шт.</t>
        </is>
      </c>
      <c r="K10" s="4">
        <f>IMAGE("https://cdn.verdnatura.es/image/catalog/1600x900/134889")</f>
        <v/>
      </c>
      <c r="L10" s="5" t="n"/>
      <c r="M10" s="6" t="n"/>
      <c r="N10" s="7" t="n"/>
      <c r="O10" s="8" t="n">
        <v>0.6</v>
      </c>
      <c r="P10" s="8" t="n">
        <v>18</v>
      </c>
    </row>
    <row r="11" ht="110" customHeight="1">
      <c r="A11" s="3" t="inlineStr">
        <is>
          <t>12780258</t>
        </is>
      </c>
      <c r="B11" s="3" t="inlineStr">
        <is>
          <t>11-05-2026</t>
        </is>
      </c>
      <c r="C11" s="3" t="inlineStr">
        <is>
          <t>Gloria</t>
        </is>
      </c>
      <c r="D11" s="3" t="inlineStr">
        <is>
          <t>80925</t>
        </is>
      </c>
      <c r="E11" s="4" t="inlineStr">
        <is>
          <t>Grosella Ribes 400 gr</t>
        </is>
      </c>
      <c r="F11" s="4" t="inlineStr"/>
      <c r="G11" s="4" t="inlineStr">
        <is>
          <t>ALTURA 60 cm · COLOR Verde · ORIGEN Italia</t>
        </is>
      </c>
      <c r="H11" s="3" t="inlineStr"/>
      <c r="I11" s="3" t="n">
        <v>2</v>
      </c>
      <c r="J11" s="3" t="inlineStr">
        <is>
          <t>2 шт.</t>
        </is>
      </c>
      <c r="K11" s="4">
        <f>IMAGE("https://cdn.verdnatura.es/image/catalog/1600x900/80925")</f>
        <v/>
      </c>
      <c r="L11" s="5" t="n"/>
      <c r="M11" s="6" t="n"/>
      <c r="N11" s="7" t="n"/>
      <c r="O11" s="8" t="n">
        <v>4.7</v>
      </c>
      <c r="P11" s="8" t="n">
        <v>9.4</v>
      </c>
    </row>
    <row r="12" ht="110" customHeight="1">
      <c r="A12" s="3" t="inlineStr">
        <is>
          <t>12780258</t>
        </is>
      </c>
      <c r="B12" s="3" t="inlineStr">
        <is>
          <t>11-05-2026</t>
        </is>
      </c>
      <c r="C12" s="3" t="inlineStr">
        <is>
          <t>Gloria</t>
        </is>
      </c>
      <c r="D12" s="3" t="inlineStr">
        <is>
          <t>167332</t>
        </is>
      </c>
      <c r="E12" s="4" t="inlineStr">
        <is>
          <t>Lisianthus Alissa Pink</t>
        </is>
      </c>
      <c r="F12" s="4" t="inlineStr">
        <is>
          <t>Lugt Lisianthus</t>
        </is>
      </c>
      <c r="G12" s="4" t="inlineStr">
        <is>
          <t>COLOR Rosa Claro · ALTURA 70 cm · Nº FLORES 5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IMAGE("https://cdn.verdnatura.es/image/catalog/1600x900/167332")</f>
        <v/>
      </c>
      <c r="L12" s="5" t="n"/>
      <c r="M12" s="6" t="n"/>
      <c r="N12" s="7" t="n"/>
      <c r="O12" s="8" t="n">
        <v>1.45</v>
      </c>
      <c r="P12" s="8" t="n">
        <v>29</v>
      </c>
    </row>
    <row r="13" ht="110" customHeight="1">
      <c r="A13" s="3" t="inlineStr">
        <is>
          <t>12780258</t>
        </is>
      </c>
      <c r="B13" s="3" t="inlineStr">
        <is>
          <t>11-05-2026</t>
        </is>
      </c>
      <c r="C13" s="3" t="inlineStr">
        <is>
          <t>Gloria</t>
        </is>
      </c>
      <c r="D13" s="3" t="inlineStr">
        <is>
          <t>162201</t>
        </is>
      </c>
      <c r="E13" s="4" t="inlineStr">
        <is>
          <t>LO Amistad (Premium) 4</t>
        </is>
      </c>
      <c r="F13" s="4" t="inlineStr">
        <is>
          <t>Florient-Remko vd Ma</t>
        </is>
      </c>
      <c r="G13" s="4" t="inlineStr">
        <is>
          <t>COLOR Rosa Claro · ALTURA 90 cm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IMAGE("https://cdn.verdnatura.es/image/catalog/1600x900/162201")</f>
        <v/>
      </c>
      <c r="L13" s="5" t="n"/>
      <c r="M13" s="6" t="n"/>
      <c r="N13" s="7" t="n"/>
      <c r="O13" s="8" t="n">
        <v>2.41</v>
      </c>
      <c r="P13" s="8" t="n">
        <v>24.1</v>
      </c>
    </row>
    <row r="14" ht="110" customHeight="1">
      <c r="A14" s="3" t="inlineStr">
        <is>
          <t>12780258</t>
        </is>
      </c>
      <c r="B14" s="3" t="inlineStr">
        <is>
          <t>11-05-2026</t>
        </is>
      </c>
      <c r="C14" s="3" t="inlineStr">
        <is>
          <t>Gloria</t>
        </is>
      </c>
      <c r="D14" s="3" t="inlineStr">
        <is>
          <t>142766</t>
        </is>
      </c>
      <c r="E14" s="4" t="inlineStr">
        <is>
          <t>LO Roselily Samantha 4-5</t>
        </is>
      </c>
      <c r="F14" s="4" t="inlineStr">
        <is>
          <t>Moerman Lilium BV</t>
        </is>
      </c>
      <c r="G14" s="4" t="inlineStr">
        <is>
          <t>COLOR Rosa · ALTURA 80 cm · TAMAÑO BOTON 6-8</t>
        </is>
      </c>
      <c r="H14" s="3" t="inlineStr"/>
      <c r="I14" s="3" t="n">
        <v>10</v>
      </c>
      <c r="J14" s="3" t="inlineStr">
        <is>
          <t>10 шт.</t>
        </is>
      </c>
      <c r="K14" s="4">
        <f>IMAGE("https://cdn.verdnatura.es/image/catalog/1600x900/142766")</f>
        <v/>
      </c>
      <c r="L14" s="5" t="n"/>
      <c r="M14" s="6" t="n"/>
      <c r="N14" s="7" t="n"/>
      <c r="O14" s="8" t="n">
        <v>2.03</v>
      </c>
      <c r="P14" s="8" t="n">
        <v>20.3</v>
      </c>
    </row>
    <row r="15" ht="110" customHeight="1">
      <c r="A15" s="3" t="inlineStr">
        <is>
          <t>12780258</t>
        </is>
      </c>
      <c r="B15" s="3" t="inlineStr">
        <is>
          <t>11-05-2026</t>
        </is>
      </c>
      <c r="C15" s="3" t="inlineStr">
        <is>
          <t>Gloria</t>
        </is>
      </c>
      <c r="D15" s="3" t="inlineStr">
        <is>
          <t>31748</t>
        </is>
      </c>
      <c r="E15" s="4" t="inlineStr">
        <is>
          <t>Lucky Bamboo Espiral</t>
        </is>
      </c>
      <c r="F15" s="4" t="inlineStr">
        <is>
          <t>Oriental</t>
        </is>
      </c>
      <c r="G15" s="4" t="inlineStr">
        <is>
          <t>COLOR Verde · ALTURA 70 cm · LONGITUD BROTE 0-2 cm (muy poco brote)</t>
        </is>
      </c>
      <c r="H15" s="3" t="inlineStr"/>
      <c r="I15" s="3" t="n">
        <v>10</v>
      </c>
      <c r="J15" s="3" t="inlineStr">
        <is>
          <t>10 шт.</t>
        </is>
      </c>
      <c r="K15" s="4">
        <f>IMAGE("https://cdn.verdnatura.es/image/catalog/1600x900/31748")</f>
        <v/>
      </c>
      <c r="L15" s="5" t="n"/>
      <c r="M15" s="6" t="n"/>
      <c r="N15" s="7" t="n"/>
      <c r="O15" s="8" t="n">
        <v>1.85</v>
      </c>
      <c r="P15" s="8" t="n">
        <v>18.5</v>
      </c>
    </row>
    <row r="16" ht="110" customHeight="1">
      <c r="A16" s="3" t="inlineStr">
        <is>
          <t>12780258</t>
        </is>
      </c>
      <c r="B16" s="3" t="inlineStr">
        <is>
          <t>11-05-2026</t>
        </is>
      </c>
      <c r="C16" s="3" t="inlineStr">
        <is>
          <t>Gloria</t>
        </is>
      </c>
      <c r="D16" s="3" t="inlineStr">
        <is>
          <t>201042</t>
        </is>
      </c>
      <c r="E16" s="4" t="inlineStr">
        <is>
          <t>Panicum Fountain</t>
        </is>
      </c>
      <c r="F16" s="4" t="inlineStr">
        <is>
          <t>Della Stella</t>
        </is>
      </c>
      <c r="G16" s="4" t="inlineStr">
        <is>
          <t>COLOR Verde · ALTURA 80 cm</t>
        </is>
      </c>
      <c r="H16" s="3" t="inlineStr">
        <is>
          <t>Tallo</t>
        </is>
      </c>
      <c r="I16" s="3" t="n">
        <v>50</v>
      </c>
      <c r="J16" s="3" t="inlineStr">
        <is>
          <t>50 стеблей</t>
        </is>
      </c>
      <c r="K16" s="4">
        <f>IMAGE("https://cdn.verdnatura.es/image/catalog/1600x900/201042")</f>
        <v/>
      </c>
      <c r="L16" s="5" t="n"/>
      <c r="M16" s="6" t="n"/>
      <c r="N16" s="7" t="n"/>
      <c r="O16" s="8" t="n">
        <v>0.18</v>
      </c>
      <c r="P16" s="8" t="n">
        <v>9</v>
      </c>
    </row>
    <row r="17" ht="110" customHeight="1">
      <c r="A17" s="3" t="inlineStr">
        <is>
          <t>12780258</t>
        </is>
      </c>
      <c r="B17" s="3" t="inlineStr">
        <is>
          <t>11-05-2026</t>
        </is>
      </c>
      <c r="C17" s="3" t="inlineStr">
        <is>
          <t>Gloria</t>
        </is>
      </c>
      <c r="D17" s="3" t="inlineStr">
        <is>
          <t>178291</t>
        </is>
      </c>
      <c r="E17" s="4" t="inlineStr">
        <is>
          <t>Peonia Florence Nicholls</t>
        </is>
      </c>
      <c r="F17" s="4" t="inlineStr">
        <is>
          <t>Dominique</t>
        </is>
      </c>
      <c r="G17" s="4" t="inlineStr">
        <is>
          <t>COLOR Blanco/Rosa · ALTURA 50 cm · APERTURA 2-3</t>
        </is>
      </c>
      <c r="H17" s="3" t="inlineStr"/>
      <c r="I17" s="3" t="n">
        <v>60</v>
      </c>
      <c r="J17" s="3" t="inlineStr">
        <is>
          <t>60 шт.</t>
        </is>
      </c>
      <c r="K17" s="4">
        <f>IMAGE("https://cdn.verdnatura.es/image/catalog/1600x900/178291")</f>
        <v/>
      </c>
      <c r="L17" s="5" t="n"/>
      <c r="M17" s="6" t="n"/>
      <c r="N17" s="7" t="n"/>
      <c r="O17" s="8" t="n">
        <v>1.26</v>
      </c>
      <c r="P17" s="8" t="n">
        <v>75.59999999999999</v>
      </c>
    </row>
    <row r="18" ht="110" customHeight="1">
      <c r="A18" s="3" t="inlineStr">
        <is>
          <t>12780258</t>
        </is>
      </c>
      <c r="B18" s="3" t="inlineStr">
        <is>
          <t>11-05-2026</t>
        </is>
      </c>
      <c r="C18" s="3" t="inlineStr">
        <is>
          <t>Gloria</t>
        </is>
      </c>
      <c r="D18" s="3" t="inlineStr">
        <is>
          <t>178978</t>
        </is>
      </c>
      <c r="E18" s="4" t="inlineStr">
        <is>
          <t>Peonia Red Charm</t>
        </is>
      </c>
      <c r="F18" s="4" t="inlineStr">
        <is>
          <t>My-Peony</t>
        </is>
      </c>
      <c r="G18" s="4" t="inlineStr">
        <is>
          <t>COLOR Granate · ALTURA 55 cm · APERTURA 2-3</t>
        </is>
      </c>
      <c r="H18" s="3" t="inlineStr"/>
      <c r="I18" s="3" t="n">
        <v>40</v>
      </c>
      <c r="J18" s="3" t="inlineStr">
        <is>
          <t>40 шт.</t>
        </is>
      </c>
      <c r="K18" s="4">
        <f>IMAGE("https://cdn.verdnatura.es/image/catalog/1600x900/178978")</f>
        <v/>
      </c>
      <c r="L18" s="5" t="n"/>
      <c r="M18" s="6" t="n"/>
      <c r="N18" s="7" t="n"/>
      <c r="O18" s="8" t="n">
        <v>1.15</v>
      </c>
      <c r="P18" s="8" t="n">
        <v>46</v>
      </c>
    </row>
    <row r="19" ht="110" customHeight="1">
      <c r="A19" s="3" t="inlineStr">
        <is>
          <t>12780258</t>
        </is>
      </c>
      <c r="B19" s="3" t="inlineStr">
        <is>
          <t>11-05-2026</t>
        </is>
      </c>
      <c r="C19" s="3" t="inlineStr">
        <is>
          <t>Gloria</t>
        </is>
      </c>
      <c r="D19" s="3" t="inlineStr">
        <is>
          <t>23465</t>
        </is>
      </c>
      <c r="E19" s="4" t="inlineStr">
        <is>
          <t>RANUN Vanilla Cloni</t>
        </is>
      </c>
      <c r="F19" s="4" t="inlineStr">
        <is>
          <t>Promoflor</t>
        </is>
      </c>
      <c r="G19" s="4" t="inlineStr">
        <is>
          <t>COLOR Crema · ALTURA 40 cm</t>
        </is>
      </c>
      <c r="H19" s="3" t="inlineStr"/>
      <c r="I19" s="3" t="n">
        <v>50</v>
      </c>
      <c r="J19" s="3" t="inlineStr">
        <is>
          <t>50 шт.</t>
        </is>
      </c>
      <c r="K19" s="4">
        <f>IMAGE("https://cdn.verdnatura.es/image/catalog/1600x900/23465")</f>
        <v/>
      </c>
      <c r="L19" s="5" t="n"/>
      <c r="M19" s="6" t="n"/>
      <c r="N19" s="7" t="n"/>
      <c r="O19" s="8" t="n">
        <v>0.7</v>
      </c>
      <c r="P19" s="8" t="n">
        <v>35</v>
      </c>
    </row>
    <row r="20" ht="110" customHeight="1">
      <c r="A20" s="3" t="inlineStr">
        <is>
          <t>12780258</t>
        </is>
      </c>
      <c r="B20" s="3" t="inlineStr">
        <is>
          <t>11-05-2026</t>
        </is>
      </c>
      <c r="C20" s="3" t="inlineStr">
        <is>
          <t>Gloria</t>
        </is>
      </c>
      <c r="D20" s="3" t="inlineStr">
        <is>
          <t>94665</t>
        </is>
      </c>
      <c r="E20" s="4" t="inlineStr">
        <is>
          <t>RSR Chimo</t>
        </is>
      </c>
      <c r="F20" s="4" t="inlineStr">
        <is>
          <t>Braam Roses</t>
        </is>
      </c>
      <c r="G20" s="4" t="inlineStr">
        <is>
          <t>COLOR Fucsia · ALTURA 50 cm · TAMAÑO BOTÓN Pequeño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IMAGE("https://cdn.verdnatura.es/image/catalog/1600x900/94665")</f>
        <v/>
      </c>
      <c r="L20" s="5" t="n"/>
      <c r="M20" s="6" t="n"/>
      <c r="N20" s="7" t="n"/>
      <c r="O20" s="8" t="n">
        <v>0.39</v>
      </c>
      <c r="P20" s="8" t="n">
        <v>19.5</v>
      </c>
    </row>
    <row r="21" ht="110" customHeight="1">
      <c r="A21" s="3" t="inlineStr">
        <is>
          <t>12780258</t>
        </is>
      </c>
      <c r="B21" s="3" t="inlineStr">
        <is>
          <t>11-05-2026</t>
        </is>
      </c>
      <c r="C21" s="3" t="inlineStr">
        <is>
          <t>Gloria</t>
        </is>
      </c>
      <c r="D21" s="3" t="inlineStr">
        <is>
          <t>26302</t>
        </is>
      </c>
      <c r="E21" s="4" t="inlineStr">
        <is>
          <t>SYR Horsteinsten</t>
        </is>
      </c>
      <c r="F21" s="4" t="inlineStr"/>
      <c r="G21" s="4" t="inlineStr">
        <is>
          <t>COLOR Lavanda · ALTURA 40 cm · Nº FLORES 2</t>
        </is>
      </c>
      <c r="H21" s="3" t="inlineStr"/>
      <c r="I21" s="3" t="n">
        <v>20</v>
      </c>
      <c r="J21" s="3" t="inlineStr">
        <is>
          <t>20 шт.</t>
        </is>
      </c>
      <c r="K21" s="4">
        <f>IMAGE("https://cdn.verdnatura.es/image/catalog/1600x900/26302")</f>
        <v/>
      </c>
      <c r="L21" s="5" t="n"/>
      <c r="M21" s="6" t="n"/>
      <c r="N21" s="7" t="n"/>
      <c r="O21" s="8" t="n">
        <v>1.31</v>
      </c>
      <c r="P21" s="8" t="n">
        <v>26.2</v>
      </c>
    </row>
    <row r="22" ht="110" customHeight="1">
      <c r="A22" s="3" t="inlineStr">
        <is>
          <t>12780258</t>
        </is>
      </c>
      <c r="B22" s="3" t="inlineStr">
        <is>
          <t>11-05-2026</t>
        </is>
      </c>
      <c r="C22" s="3" t="inlineStr">
        <is>
          <t>Gloria</t>
        </is>
      </c>
      <c r="D22" s="3" t="inlineStr">
        <is>
          <t>193064</t>
        </is>
      </c>
      <c r="E22" s="4" t="inlineStr">
        <is>
          <t>Tanacetum Pa Cameron</t>
        </is>
      </c>
      <c r="F22" s="4" t="inlineStr">
        <is>
          <t>Kw. Pieter van Staalduinen</t>
        </is>
      </c>
      <c r="G22" s="4" t="inlineStr">
        <is>
          <t>COLOR Blanco/Amarillo · ALTURA 65 cm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IMAGE("https://cdn.verdnatura.es/image/catalog/1600x900/193064")</f>
        <v/>
      </c>
      <c r="L22" s="5" t="n"/>
      <c r="M22" s="6" t="n"/>
      <c r="N22" s="7" t="n"/>
      <c r="O22" s="8" t="n">
        <v>0.5</v>
      </c>
      <c r="P22" s="8" t="n">
        <v>25</v>
      </c>
    </row>
    <row r="23" ht="110" customHeight="1">
      <c r="A23" s="3" t="inlineStr">
        <is>
          <t>12780258</t>
        </is>
      </c>
      <c r="B23" s="3" t="inlineStr">
        <is>
          <t>11-05-2026</t>
        </is>
      </c>
      <c r="C23" s="3" t="inlineStr">
        <is>
          <t>Gloria</t>
        </is>
      </c>
      <c r="D23" s="3" t="inlineStr">
        <is>
          <t>201746</t>
        </is>
      </c>
      <c r="E23" s="4" t="inlineStr">
        <is>
          <t>TUL Everton</t>
        </is>
      </c>
      <c r="F23" s="4" t="inlineStr"/>
      <c r="G23" s="4" t="inlineStr">
        <is>
          <t>COLOR Rojo · ALTURA 42 cm · PESO/TALLO 44 gr</t>
        </is>
      </c>
      <c r="H23" s="3" t="inlineStr"/>
      <c r="I23" s="3" t="n">
        <v>50</v>
      </c>
      <c r="J23" s="3" t="inlineStr">
        <is>
          <t>50 шт.</t>
        </is>
      </c>
      <c r="K23" s="4">
        <f>IMAGE("https://cdn.verdnatura.es/image/catalog/1600x900/201746")</f>
        <v/>
      </c>
      <c r="L23" s="5" t="n"/>
      <c r="M23" s="6" t="n"/>
      <c r="N23" s="7" t="n"/>
      <c r="O23" s="8" t="n">
        <v>0.45</v>
      </c>
      <c r="P23" s="8" t="n">
        <v>22.5</v>
      </c>
    </row>
    <row r="24" ht="110" customHeight="1">
      <c r="A24" s="3" t="inlineStr">
        <is>
          <t>12780258</t>
        </is>
      </c>
      <c r="B24" s="3" t="inlineStr">
        <is>
          <t>11-05-2026</t>
        </is>
      </c>
      <c r="C24" s="3" t="inlineStr">
        <is>
          <t>Gloria</t>
        </is>
      </c>
      <c r="D24" s="3" t="inlineStr">
        <is>
          <t>10581</t>
        </is>
      </c>
      <c r="E24" s="4" t="inlineStr">
        <is>
          <t>TUL White Liberstar Coronet</t>
        </is>
      </c>
      <c r="F24" s="4" t="inlineStr"/>
      <c r="G24" s="4" t="inlineStr">
        <is>
          <t>COLOR Blanco/Rosa · ALTURA 34 cm · PESO/TALLO 22 gr</t>
        </is>
      </c>
      <c r="H24" s="3" t="inlineStr"/>
      <c r="I24" s="3" t="n">
        <v>100</v>
      </c>
      <c r="J24" s="3" t="inlineStr">
        <is>
          <t>100 шт.</t>
        </is>
      </c>
      <c r="K24" s="4">
        <f>IMAGE("https://cdn.verdnatura.es/image/catalog/1600x900/10581")</f>
        <v/>
      </c>
      <c r="L24" s="5" t="n"/>
      <c r="M24" s="6" t="n"/>
      <c r="N24" s="7" t="n"/>
      <c r="O24" s="8" t="n">
        <v>0.3</v>
      </c>
      <c r="P24" s="8" t="n">
        <v>30</v>
      </c>
    </row>
    <row r="25" ht="110" customHeight="1">
      <c r="A25" s="3" t="inlineStr">
        <is>
          <t>12780258</t>
        </is>
      </c>
      <c r="B25" s="3" t="inlineStr">
        <is>
          <t>11-05-2026</t>
        </is>
      </c>
      <c r="C25" s="3" t="inlineStr">
        <is>
          <t>Gloria</t>
        </is>
      </c>
      <c r="D25" s="3" t="inlineStr">
        <is>
          <t>89829</t>
        </is>
      </c>
      <c r="E25" s="4" t="inlineStr">
        <is>
          <t>TUL· Tresor</t>
        </is>
      </c>
      <c r="F25" s="4" t="inlineStr"/>
      <c r="G25" s="4" t="inlineStr">
        <is>
          <t>COLOR Rosa · ALTURA 44 cm · PESO/TALLO 46 gr</t>
        </is>
      </c>
      <c r="H25" s="3" t="inlineStr"/>
      <c r="I25" s="3" t="n">
        <v>100</v>
      </c>
      <c r="J25" s="3" t="inlineStr">
        <is>
          <t>100 шт.</t>
        </is>
      </c>
      <c r="K25" s="4">
        <f>IMAGE("https://cdn.verdnatura.es/image/catalog/1600x900/89829")</f>
        <v/>
      </c>
      <c r="L25" s="5" t="n"/>
      <c r="M25" s="6" t="n"/>
      <c r="N25" s="7" t="n"/>
      <c r="O25" s="8" t="n">
        <v>0.53</v>
      </c>
      <c r="P25" s="8" t="n">
        <v>53</v>
      </c>
    </row>
    <row r="26" ht="110" customHeight="1">
      <c r="A26" s="3" t="inlineStr">
        <is>
          <t>12780258</t>
        </is>
      </c>
      <c r="B26" s="3" t="inlineStr">
        <is>
          <t>11-05-2026</t>
        </is>
      </c>
      <c r="C26" s="3" t="inlineStr">
        <is>
          <t>Gloria</t>
        </is>
      </c>
      <c r="D26" s="3" t="inlineStr">
        <is>
          <t>10971</t>
        </is>
      </c>
      <c r="E26" s="4" t="inlineStr">
        <is>
          <t>Viburnum Roseum</t>
        </is>
      </c>
      <c r="F26" s="4" t="inlineStr"/>
      <c r="G26" s="4" t="inlineStr">
        <is>
          <t>COLOR Verde Claro · ALTURA 70 cm · Nº FLORES 2</t>
        </is>
      </c>
      <c r="H26" s="3" t="inlineStr"/>
      <c r="I26" s="3" t="n">
        <v>10</v>
      </c>
      <c r="J26" s="3" t="inlineStr">
        <is>
          <t>10 шт.</t>
        </is>
      </c>
      <c r="K26" s="4">
        <f>IMAGE("https://cdn.verdnatura.es/image/catalog/1600x900/10971")</f>
        <v/>
      </c>
      <c r="L26" s="5" t="n"/>
      <c r="M26" s="6" t="n"/>
      <c r="N26" s="7" t="n"/>
      <c r="O26" s="8" t="n">
        <v>1.07</v>
      </c>
      <c r="P26" s="8" t="n">
        <v>10.7</v>
      </c>
    </row>
    <row r="27" ht="26" customHeight="1">
      <c r="A27" s="2" t="inlineStr">
        <is>
          <t>📦  Накладная #12780786  ·  11-05-2026  ·  Gloria  ·  8 позиций  ·  bultos: 0</t>
        </is>
      </c>
    </row>
    <row r="28" ht="110" customHeight="1">
      <c r="A28" s="3" t="inlineStr">
        <is>
          <t>12780786</t>
        </is>
      </c>
      <c r="B28" s="3" t="inlineStr">
        <is>
          <t>11-05-2026</t>
        </is>
      </c>
      <c r="C28" s="3" t="inlineStr">
        <is>
          <t>Gloria</t>
        </is>
      </c>
      <c r="D28" s="3" t="inlineStr">
        <is>
          <t>171750</t>
        </is>
      </c>
      <c r="E28" s="4" t="inlineStr">
        <is>
          <t>Cesta Hierba marina Redonda</t>
        </is>
      </c>
      <c r="F28" s="4" t="inlineStr">
        <is>
          <t>Verdnatura</t>
        </is>
      </c>
      <c r="G28" s="4" t="inlineStr">
        <is>
          <t>ALTURA 10.5 cm · DIAMETRO 12.5 cm · DIAMETRO BOCA 11.5 cm</t>
        </is>
      </c>
      <c r="H28" s="3" t="inlineStr"/>
      <c r="I28" s="3" t="n">
        <v>6</v>
      </c>
      <c r="J28" s="3" t="inlineStr">
        <is>
          <t>6 шт.</t>
        </is>
      </c>
      <c r="K28" s="4">
        <f>IMAGE("https://cdn.verdnatura.es/image/catalog/1600x900/171750")</f>
        <v/>
      </c>
      <c r="L28" s="5" t="n"/>
      <c r="M28" s="6" t="n"/>
      <c r="N28" s="7" t="n"/>
      <c r="O28" s="8" t="n">
        <v>1.15</v>
      </c>
      <c r="P28" s="8" t="n">
        <v>6.9</v>
      </c>
    </row>
    <row r="29" ht="110" customHeight="1">
      <c r="A29" s="3" t="inlineStr">
        <is>
          <t>12780786</t>
        </is>
      </c>
      <c r="B29" s="3" t="inlineStr">
        <is>
          <t>11-05-2026</t>
        </is>
      </c>
      <c r="C29" s="3" t="inlineStr">
        <is>
          <t>Gloria</t>
        </is>
      </c>
      <c r="D29" s="3" t="inlineStr">
        <is>
          <t>171753</t>
        </is>
      </c>
      <c r="E29" s="4" t="inlineStr">
        <is>
          <t>Cesta Hierba marina Redonda</t>
        </is>
      </c>
      <c r="F29" s="4" t="inlineStr">
        <is>
          <t>Verdnatura</t>
        </is>
      </c>
      <c r="G29" s="4" t="inlineStr">
        <is>
          <t>ALTURA 12 cm · DIAMETRO 12.5 cm · DIAMETRO BOCA 11.5 cm</t>
        </is>
      </c>
      <c r="H29" s="3" t="inlineStr"/>
      <c r="I29" s="3" t="n">
        <v>12</v>
      </c>
      <c r="J29" s="3" t="inlineStr">
        <is>
          <t>12 шт.</t>
        </is>
      </c>
      <c r="K29" s="4">
        <f>IMAGE("https://cdn.verdnatura.es/image/catalog/1600x900/171753")</f>
        <v/>
      </c>
      <c r="L29" s="5" t="n"/>
      <c r="M29" s="6" t="n"/>
      <c r="N29" s="7" t="n"/>
      <c r="O29" s="8" t="n">
        <v>1.4</v>
      </c>
      <c r="P29" s="8" t="n">
        <v>16.8</v>
      </c>
    </row>
    <row r="30" ht="110" customHeight="1">
      <c r="A30" s="3" t="inlineStr">
        <is>
          <t>12780786</t>
        </is>
      </c>
      <c r="B30" s="3" t="inlineStr">
        <is>
          <t>11-05-2026</t>
        </is>
      </c>
      <c r="C30" s="3" t="inlineStr">
        <is>
          <t>Gloria</t>
        </is>
      </c>
      <c r="D30" s="3" t="inlineStr">
        <is>
          <t>171754</t>
        </is>
      </c>
      <c r="E30" s="4" t="inlineStr">
        <is>
          <t>Cesta Hierba marina Redonda</t>
        </is>
      </c>
      <c r="F30" s="4" t="inlineStr">
        <is>
          <t>Verdnatura</t>
        </is>
      </c>
      <c r="G30" s="4" t="inlineStr">
        <is>
          <t>ALTURA 13 cm · DIAMETRO 14 cm · DIAMETRO BOCA 13.5 cm</t>
        </is>
      </c>
      <c r="H30" s="3" t="inlineStr"/>
      <c r="I30" s="3" t="n">
        <v>12</v>
      </c>
      <c r="J30" s="3" t="inlineStr">
        <is>
          <t>12 шт.</t>
        </is>
      </c>
      <c r="K30" s="4">
        <f>IMAGE("https://cdn.verdnatura.es/image/catalog/1600x900/171754")</f>
        <v/>
      </c>
      <c r="L30" s="5" t="n"/>
      <c r="M30" s="6" t="n"/>
      <c r="N30" s="7" t="n"/>
      <c r="O30" s="8" t="n">
        <v>1.73</v>
      </c>
      <c r="P30" s="8" t="n">
        <v>20.76</v>
      </c>
    </row>
    <row r="31" ht="110" customHeight="1">
      <c r="A31" s="3" t="inlineStr">
        <is>
          <t>12780786</t>
        </is>
      </c>
      <c r="B31" s="3" t="inlineStr">
        <is>
          <t>11-05-2026</t>
        </is>
      </c>
      <c r="C31" s="3" t="inlineStr">
        <is>
          <t>Gloria</t>
        </is>
      </c>
      <c r="D31" s="3" t="inlineStr">
        <is>
          <t>171755</t>
        </is>
      </c>
      <c r="E31" s="4" t="inlineStr">
        <is>
          <t>Cesta Hierba marina Redonda</t>
        </is>
      </c>
      <c r="F31" s="4" t="inlineStr">
        <is>
          <t>Verdnatura</t>
        </is>
      </c>
      <c r="G31" s="4" t="inlineStr">
        <is>
          <t>ALTURA 14 cm · DIAMETRO 16 cm · DIAMETRO BOCA 15 cm</t>
        </is>
      </c>
      <c r="H31" s="3" t="inlineStr"/>
      <c r="I31" s="3" t="n">
        <v>6</v>
      </c>
      <c r="J31" s="3" t="inlineStr">
        <is>
          <t>6 шт.</t>
        </is>
      </c>
      <c r="K31" s="4">
        <f>IMAGE("https://cdn.verdnatura.es/image/catalog/1600x900/171755")</f>
        <v/>
      </c>
      <c r="L31" s="5" t="n"/>
      <c r="M31" s="6" t="n"/>
      <c r="N31" s="7" t="n"/>
      <c r="O31" s="8" t="n">
        <v>2.23</v>
      </c>
      <c r="P31" s="8" t="n">
        <v>13.38</v>
      </c>
    </row>
    <row r="32" ht="110" customHeight="1">
      <c r="A32" s="3" t="inlineStr">
        <is>
          <t>12780786</t>
        </is>
      </c>
      <c r="B32" s="3" t="inlineStr">
        <is>
          <t>11-05-2026</t>
        </is>
      </c>
      <c r="C32" s="3" t="inlineStr">
        <is>
          <t>Gloria</t>
        </is>
      </c>
      <c r="D32" s="3" t="inlineStr">
        <is>
          <t>171756</t>
        </is>
      </c>
      <c r="E32" s="4" t="inlineStr">
        <is>
          <t>Cesta Hierba marina Redonda</t>
        </is>
      </c>
      <c r="F32" s="4" t="inlineStr">
        <is>
          <t>Verdnatura</t>
        </is>
      </c>
      <c r="G32" s="4" t="inlineStr">
        <is>
          <t>ALTURA 17 cm · DIAMETRO 18 cm · COLOR Natural</t>
        </is>
      </c>
      <c r="H32" s="3" t="inlineStr"/>
      <c r="I32" s="3" t="n">
        <v>6</v>
      </c>
      <c r="J32" s="3" t="inlineStr">
        <is>
          <t>6 шт.</t>
        </is>
      </c>
      <c r="K32" s="4">
        <f>IMAGE("https://cdn.verdnatura.es/image/catalog/1600x900/171756")</f>
        <v/>
      </c>
      <c r="L32" s="5" t="n"/>
      <c r="M32" s="6" t="n"/>
      <c r="N32" s="7" t="n"/>
      <c r="O32" s="8" t="n">
        <v>2.8</v>
      </c>
      <c r="P32" s="8" t="n">
        <v>16.8</v>
      </c>
    </row>
    <row r="33" ht="110" customHeight="1">
      <c r="A33" s="3" t="inlineStr">
        <is>
          <t>12780786</t>
        </is>
      </c>
      <c r="B33" s="3" t="inlineStr">
        <is>
          <t>11-05-2026</t>
        </is>
      </c>
      <c r="C33" s="3" t="inlineStr">
        <is>
          <t>Gloria</t>
        </is>
      </c>
      <c r="D33" s="3" t="inlineStr">
        <is>
          <t>184554</t>
        </is>
      </c>
      <c r="E33" s="4" t="inlineStr">
        <is>
          <t>Cesta Leticia L</t>
        </is>
      </c>
      <c r="F33" s="4" t="inlineStr">
        <is>
          <t>Verdnatura</t>
        </is>
      </c>
      <c r="G33" s="4" t="inlineStr">
        <is>
          <t>ALTURA CON ASA 32 cm · ALTURA 25 cm · DIAMETRO 25 cm</t>
        </is>
      </c>
      <c r="H33" s="3" t="inlineStr"/>
      <c r="I33" s="3" t="n">
        <v>2</v>
      </c>
      <c r="J33" s="3" t="inlineStr">
        <is>
          <t>2 шт.</t>
        </is>
      </c>
      <c r="K33" s="4">
        <f>IMAGE("https://cdn.verdnatura.es/image/catalog/1600x900/184554")</f>
        <v/>
      </c>
      <c r="L33" s="5" t="n"/>
      <c r="M33" s="6" t="n"/>
      <c r="N33" s="7" t="n"/>
      <c r="O33" s="8" t="n">
        <v>6.7</v>
      </c>
      <c r="P33" s="8" t="n">
        <v>13.4</v>
      </c>
    </row>
    <row r="34" ht="110" customHeight="1">
      <c r="A34" s="3" t="inlineStr">
        <is>
          <t>12780786</t>
        </is>
      </c>
      <c r="B34" s="3" t="inlineStr">
        <is>
          <t>11-05-2026</t>
        </is>
      </c>
      <c r="C34" s="3" t="inlineStr">
        <is>
          <t>Gloria</t>
        </is>
      </c>
      <c r="D34" s="3" t="inlineStr">
        <is>
          <t>184555</t>
        </is>
      </c>
      <c r="E34" s="4" t="inlineStr">
        <is>
          <t>Cesta Leticia S</t>
        </is>
      </c>
      <c r="F34" s="4" t="inlineStr">
        <is>
          <t>Verdnatura</t>
        </is>
      </c>
      <c r="G34" s="4" t="inlineStr">
        <is>
          <t>ALTURA CON ASA 24 cm · ALTURA 17.5 cm · DIAMETRO 19 cm</t>
        </is>
      </c>
      <c r="H34" s="3" t="inlineStr"/>
      <c r="I34" s="3" t="n">
        <v>2</v>
      </c>
      <c r="J34" s="3" t="inlineStr">
        <is>
          <t>2 шт.</t>
        </is>
      </c>
      <c r="K34" s="4">
        <f>IMAGE("https://cdn.verdnatura.es/image/catalog/1600x900/184555")</f>
        <v/>
      </c>
      <c r="L34" s="5" t="n"/>
      <c r="M34" s="6" t="n"/>
      <c r="N34" s="7" t="n"/>
      <c r="O34" s="8" t="n">
        <v>3.23</v>
      </c>
      <c r="P34" s="8" t="n">
        <v>6.46</v>
      </c>
    </row>
    <row r="35" ht="110" customHeight="1">
      <c r="A35" s="3" t="inlineStr">
        <is>
          <t>12780786</t>
        </is>
      </c>
      <c r="B35" s="3" t="inlineStr">
        <is>
          <t>11-05-2026</t>
        </is>
      </c>
      <c r="C35" s="3" t="inlineStr">
        <is>
          <t>Gloria</t>
        </is>
      </c>
      <c r="D35" s="3" t="inlineStr">
        <is>
          <t>189986</t>
        </is>
      </c>
      <c r="E35" s="4" t="inlineStr">
        <is>
          <t>Jarrón Animales Mix x4</t>
        </is>
      </c>
      <c r="F35" s="4" t="inlineStr">
        <is>
          <t>G. Wurm</t>
        </is>
      </c>
      <c r="G35" s="4" t="inlineStr">
        <is>
          <t>ALTURA 12 cm · ANCHO 5 cm · LARGO 7 cm</t>
        </is>
      </c>
      <c r="H35" s="3" t="inlineStr"/>
      <c r="I35" s="3" t="n">
        <v>4</v>
      </c>
      <c r="J35" s="3" t="inlineStr">
        <is>
          <t>4 шт.</t>
        </is>
      </c>
      <c r="K35" s="4">
        <f>IMAGE("https://cdn.verdnatura.es/image/catalog/1600x900/189986")</f>
        <v/>
      </c>
      <c r="L35" s="5" t="n"/>
      <c r="M35" s="6" t="n"/>
      <c r="N35" s="7" t="n"/>
      <c r="O35" s="8" t="n">
        <v>2.31</v>
      </c>
      <c r="P35" s="8" t="n">
        <v>9.24</v>
      </c>
    </row>
    <row r="36" ht="26" customHeight="1">
      <c r="A36" s="2" t="inlineStr">
        <is>
          <t>📦  Накладная #12781457  ·  11-05-2026  ·  Gloria  ·  5 позиций  ·  bultos: 5</t>
        </is>
      </c>
    </row>
    <row r="37" ht="110" customHeight="1">
      <c r="A37" s="3" t="inlineStr">
        <is>
          <t>12781457</t>
        </is>
      </c>
      <c r="B37" s="3" t="inlineStr">
        <is>
          <t>11-05-2026</t>
        </is>
      </c>
      <c r="C37" s="3" t="inlineStr">
        <is>
          <t>Gloria</t>
        </is>
      </c>
      <c r="D37" s="3" t="inlineStr">
        <is>
          <t>90300</t>
        </is>
      </c>
      <c r="E37" s="4" t="inlineStr">
        <is>
          <t>ANT Aristo PRO 5Flo</t>
        </is>
      </c>
      <c r="F37" s="4" t="inlineStr">
        <is>
          <t>Amazone plants</t>
        </is>
      </c>
      <c r="G37" s="4" t="inlineStr">
        <is>
          <t>COLOR Rojo · ALTURA 35 cm · MACETA 12</t>
        </is>
      </c>
      <c r="H37" s="3" t="inlineStr"/>
      <c r="I37" s="3" t="n">
        <v>10</v>
      </c>
      <c r="J37" s="3" t="inlineStr">
        <is>
          <t>10 шт.</t>
        </is>
      </c>
      <c r="K37" s="4">
        <f>IMAGE("https://cdn.verdnatura.es/image/catalog/1600x900/90300")</f>
        <v/>
      </c>
      <c r="L37" s="5" t="n"/>
      <c r="M37" s="6" t="n"/>
      <c r="N37" s="7" t="n"/>
      <c r="O37" s="8" t="n">
        <v>6.06</v>
      </c>
      <c r="P37" s="8" t="n">
        <v>60.6</v>
      </c>
    </row>
    <row r="38" ht="110" customHeight="1">
      <c r="A38" s="3" t="inlineStr">
        <is>
          <t>12781457</t>
        </is>
      </c>
      <c r="B38" s="3" t="inlineStr">
        <is>
          <t>11-05-2026</t>
        </is>
      </c>
      <c r="C38" s="3" t="inlineStr">
        <is>
          <t>Gloria</t>
        </is>
      </c>
      <c r="D38" s="3" t="inlineStr">
        <is>
          <t>111580</t>
        </is>
      </c>
      <c r="E38" s="4" t="inlineStr">
        <is>
          <t>Copa Sinfonía</t>
        </is>
      </c>
      <c r="F38" s="4" t="inlineStr">
        <is>
          <t>Verdnatura</t>
        </is>
      </c>
      <c r="G38" s="4" t="inlineStr">
        <is>
          <t>ALTURA 21 cm · DIAMETRO 20 cm · DIAMETRO BOCA 16 cm</t>
        </is>
      </c>
      <c r="H38" s="3" t="inlineStr"/>
      <c r="I38" s="3" t="n">
        <v>12</v>
      </c>
      <c r="J38" s="3" t="inlineStr">
        <is>
          <t>12 шт.</t>
        </is>
      </c>
      <c r="K38" s="4">
        <f>IMAGE("https://cdn.verdnatura.es/image/catalog/1600x900/111580")</f>
        <v/>
      </c>
      <c r="L38" s="5" t="n"/>
      <c r="M38" s="6" t="n"/>
      <c r="N38" s="7" t="n"/>
      <c r="O38" s="8" t="n">
        <v>6.62</v>
      </c>
      <c r="P38" s="8" t="n">
        <v>79.44</v>
      </c>
    </row>
    <row r="39" ht="110" customHeight="1">
      <c r="A39" s="3" t="inlineStr">
        <is>
          <t>12781457</t>
        </is>
      </c>
      <c r="B39" s="3" t="inlineStr">
        <is>
          <t>11-05-2026</t>
        </is>
      </c>
      <c r="C39" s="3" t="inlineStr">
        <is>
          <t>Gloria</t>
        </is>
      </c>
      <c r="D39" s="3" t="inlineStr">
        <is>
          <t>62042</t>
        </is>
      </c>
      <c r="E39" s="4" t="inlineStr">
        <is>
          <t>DENDRO Star Class Apollon 3T</t>
        </is>
      </c>
      <c r="F39" s="4" t="inlineStr">
        <is>
          <t>De Hoog Orchids</t>
        </is>
      </c>
      <c r="G39" s="4" t="inlineStr">
        <is>
          <t>COLOR Blanco · ALTURA 45 cm · MACETA 12</t>
        </is>
      </c>
      <c r="H39" s="3" t="inlineStr"/>
      <c r="I39" s="3" t="n">
        <v>6</v>
      </c>
      <c r="J39" s="3" t="inlineStr">
        <is>
          <t>6 шт.</t>
        </is>
      </c>
      <c r="K39" s="4">
        <f>IMAGE("https://cdn.verdnatura.es/image/catalog/1600x900/62042")</f>
        <v/>
      </c>
      <c r="L39" s="5" t="n"/>
      <c r="M39" s="6" t="n"/>
      <c r="N39" s="7" t="n"/>
      <c r="O39" s="8" t="n">
        <v>9.67</v>
      </c>
      <c r="P39" s="8" t="n">
        <v>58.02</v>
      </c>
    </row>
    <row r="40" ht="110" customHeight="1">
      <c r="A40" s="3" t="inlineStr">
        <is>
          <t>12781457</t>
        </is>
      </c>
      <c r="B40" s="3" t="inlineStr">
        <is>
          <t>11-05-2026</t>
        </is>
      </c>
      <c r="C40" s="3" t="inlineStr">
        <is>
          <t>Gloria</t>
        </is>
      </c>
      <c r="D40" s="3" t="inlineStr">
        <is>
          <t>182618</t>
        </is>
      </c>
      <c r="E40" s="4" t="inlineStr">
        <is>
          <t>PHAL 3T Cerámica Kolibri Mix (</t>
        </is>
      </c>
      <c r="F40" s="4" t="inlineStr">
        <is>
          <t>OK Plant</t>
        </is>
      </c>
      <c r="G40" s="4" t="inlineStr">
        <is>
          <t>COLOR Mixto · ALTURA 40 cm · MACETA 9</t>
        </is>
      </c>
      <c r="H40" s="3" t="inlineStr"/>
      <c r="I40" s="3" t="n">
        <v>6</v>
      </c>
      <c r="J40" s="3" t="inlineStr">
        <is>
          <t>6 шт.</t>
        </is>
      </c>
      <c r="K40" s="4">
        <f>IMAGE("https://cdn.verdnatura.es/image/catalog/1600x900/182618")</f>
        <v/>
      </c>
      <c r="L40" s="5" t="n"/>
      <c r="M40" s="6" t="n"/>
      <c r="N40" s="7" t="n"/>
      <c r="O40" s="8" t="n">
        <v>8.33</v>
      </c>
      <c r="P40" s="8" t="n">
        <v>49.98</v>
      </c>
    </row>
    <row r="41" ht="110" customHeight="1">
      <c r="A41" s="3" t="inlineStr">
        <is>
          <t>12781457</t>
        </is>
      </c>
      <c r="B41" s="3" t="inlineStr">
        <is>
          <t>11-05-2026</t>
        </is>
      </c>
      <c r="C41" s="3" t="inlineStr">
        <is>
          <t>Gloria</t>
        </is>
      </c>
      <c r="D41" s="3" t="inlineStr">
        <is>
          <t>121788</t>
        </is>
      </c>
      <c r="E41" s="4" t="inlineStr">
        <is>
          <t>Set de 3 Macetas Reptil</t>
        </is>
      </c>
      <c r="F41" s="4" t="inlineStr">
        <is>
          <t>Verdnatura</t>
        </is>
      </c>
      <c r="G41" s="4" t="inlineStr">
        <is>
          <t>ALTURA 19 cm · DIAMETRO 19 cm · DIAMETRO BOCA 16 cm</t>
        </is>
      </c>
      <c r="H41" s="3" t="inlineStr"/>
      <c r="I41" s="3" t="n">
        <v>4</v>
      </c>
      <c r="J41" s="3" t="inlineStr">
        <is>
          <t>4 шт.</t>
        </is>
      </c>
      <c r="K41" s="4">
        <f>IMAGE("https://cdn.verdnatura.es/image/catalog/1600x900/121788")</f>
        <v/>
      </c>
      <c r="L41" s="5" t="n"/>
      <c r="M41" s="6" t="n"/>
      <c r="N41" s="7" t="n"/>
      <c r="O41" s="8" t="n">
        <v>10.18</v>
      </c>
      <c r="P41" s="8" t="n">
        <v>40.72</v>
      </c>
    </row>
    <row r="42" ht="26" customHeight="1">
      <c r="A42" s="2" t="inlineStr">
        <is>
          <t>📦  Накладная #12781939  ·  11-05-2026  ·  Gloria  ·  9 позиций  ·  bultos: 0</t>
        </is>
      </c>
    </row>
    <row r="43" ht="110" customHeight="1">
      <c r="A43" s="3" t="inlineStr">
        <is>
          <t>12781939</t>
        </is>
      </c>
      <c r="B43" s="3" t="inlineStr">
        <is>
          <t>11-05-2026</t>
        </is>
      </c>
      <c r="C43" s="3" t="inlineStr">
        <is>
          <t>Gloria</t>
        </is>
      </c>
      <c r="D43" s="3" t="inlineStr">
        <is>
          <t>201484</t>
        </is>
      </c>
      <c r="E43" s="4" t="inlineStr">
        <is>
          <t>GRS Candy X-Pression</t>
        </is>
      </c>
      <c r="F43" s="4" t="inlineStr">
        <is>
          <t>Milagro</t>
        </is>
      </c>
      <c r="G43" s="4" t="inlineStr">
        <is>
          <t>COLOR Rosa · ALTURA 50 cm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IMAGE("https://cdn.verdnatura.es/image/catalog/1600x900/201484")</f>
        <v/>
      </c>
      <c r="L43" s="5" t="n"/>
      <c r="M43" s="6" t="n"/>
      <c r="N43" s="7" t="n"/>
      <c r="O43" s="8" t="n">
        <v>0.82</v>
      </c>
      <c r="P43" s="8" t="n">
        <v>20.5</v>
      </c>
    </row>
    <row r="44" ht="110" customHeight="1">
      <c r="A44" s="3" t="inlineStr">
        <is>
          <t>12781939</t>
        </is>
      </c>
      <c r="B44" s="3" t="inlineStr">
        <is>
          <t>11-05-2026</t>
        </is>
      </c>
      <c r="C44" s="3" t="inlineStr">
        <is>
          <t>Gloria</t>
        </is>
      </c>
      <c r="D44" s="3" t="inlineStr">
        <is>
          <t>196557</t>
        </is>
      </c>
      <c r="E44" s="4" t="inlineStr">
        <is>
          <t>GRS Pink Xpression</t>
        </is>
      </c>
      <c r="F44" s="4" t="inlineStr">
        <is>
          <t>Ecuador</t>
        </is>
      </c>
      <c r="G44" s="4" t="inlineStr">
        <is>
          <t>COLOR Rosa · ALTURA 60 cm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IMAGE("https://cdn.verdnatura.es/image/catalog/1600x900/196557")</f>
        <v/>
      </c>
      <c r="L44" s="5" t="n"/>
      <c r="M44" s="6" t="n"/>
      <c r="N44" s="7" t="n"/>
      <c r="O44" s="8" t="n">
        <v>0.95</v>
      </c>
      <c r="P44" s="8" t="n">
        <v>23.75</v>
      </c>
    </row>
    <row r="45" ht="110" customHeight="1">
      <c r="A45" s="3" t="inlineStr">
        <is>
          <t>12781939</t>
        </is>
      </c>
      <c r="B45" s="3" t="inlineStr">
        <is>
          <t>11-05-2026</t>
        </is>
      </c>
      <c r="C45" s="3" t="inlineStr">
        <is>
          <t>Gloria</t>
        </is>
      </c>
      <c r="D45" s="3" t="inlineStr">
        <is>
          <t>193125</t>
        </is>
      </c>
      <c r="E45" s="4" t="inlineStr">
        <is>
          <t>HYD Pintado Rosso PRE</t>
        </is>
      </c>
      <c r="F45" s="4" t="inlineStr">
        <is>
          <t>Santa Dorotea</t>
        </is>
      </c>
      <c r="G45" s="4" t="inlineStr">
        <is>
          <t>COLOR Rosa Claro · ALTURA 60 cm · DIAMETRO 18 cm</t>
        </is>
      </c>
      <c r="H45" s="3" t="inlineStr"/>
      <c r="I45" s="3" t="n">
        <v>20</v>
      </c>
      <c r="J45" s="3" t="inlineStr">
        <is>
          <t>20 шт.</t>
        </is>
      </c>
      <c r="K45" s="4">
        <f>IMAGE("https://cdn.verdnatura.es/image/catalog/1600x900/193125")</f>
        <v/>
      </c>
      <c r="L45" s="5" t="n"/>
      <c r="M45" s="6" t="n"/>
      <c r="N45" s="7" t="n"/>
      <c r="O45" s="8" t="n">
        <v>1.08</v>
      </c>
      <c r="P45" s="8" t="n">
        <v>21.6</v>
      </c>
    </row>
    <row r="46" ht="110" customHeight="1">
      <c r="A46" s="3" t="inlineStr">
        <is>
          <t>12781939</t>
        </is>
      </c>
      <c r="B46" s="3" t="inlineStr">
        <is>
          <t>11-05-2026</t>
        </is>
      </c>
      <c r="C46" s="3" t="inlineStr">
        <is>
          <t>Gloria</t>
        </is>
      </c>
      <c r="D46" s="3" t="inlineStr">
        <is>
          <t>189190</t>
        </is>
      </c>
      <c r="E46" s="4" t="inlineStr">
        <is>
          <t>RS Be Sweet EXT</t>
        </is>
      </c>
      <c r="F46" s="4" t="inlineStr">
        <is>
          <t>Ecuador</t>
        </is>
      </c>
      <c r="G46" s="4" t="inlineStr">
        <is>
          <t>COLOR Rosa Claro · ALTURA 60 cm · BOTÓN MINIMO 5.5 cm</t>
        </is>
      </c>
      <c r="H46" s="3" t="inlineStr"/>
      <c r="I46" s="3" t="n">
        <v>25</v>
      </c>
      <c r="J46" s="3" t="inlineStr">
        <is>
          <t>25 шт.</t>
        </is>
      </c>
      <c r="K46" s="4">
        <f>IMAGE("https://cdn.verdnatura.es/image/catalog/1600x900/189190")</f>
        <v/>
      </c>
      <c r="L46" s="5" t="n"/>
      <c r="M46" s="6" t="n"/>
      <c r="N46" s="7" t="n"/>
      <c r="O46" s="8" t="n">
        <v>0.6899999999999999</v>
      </c>
      <c r="P46" s="8" t="n">
        <v>17.25</v>
      </c>
    </row>
    <row r="47" ht="110" customHeight="1">
      <c r="A47" s="3" t="inlineStr">
        <is>
          <t>12781939</t>
        </is>
      </c>
      <c r="B47" s="3" t="inlineStr">
        <is>
          <t>11-05-2026</t>
        </is>
      </c>
      <c r="C47" s="3" t="inlineStr">
        <is>
          <t>Gloria</t>
        </is>
      </c>
      <c r="D47" s="3" t="inlineStr">
        <is>
          <t>177175</t>
        </is>
      </c>
      <c r="E47" s="4" t="inlineStr">
        <is>
          <t>RS Explorer EXT</t>
        </is>
      </c>
      <c r="F47" s="4" t="inlineStr">
        <is>
          <t>Ecuador</t>
        </is>
      </c>
      <c r="G47" s="4" t="inlineStr">
        <is>
          <t>COLOR Rojo · ALTURA 60 cm · BOTÓN MINIMO 6 cm</t>
        </is>
      </c>
      <c r="H47" s="3" t="inlineStr"/>
      <c r="I47" s="3" t="n">
        <v>25</v>
      </c>
      <c r="J47" s="3" t="inlineStr">
        <is>
          <t>25 шт.</t>
        </is>
      </c>
      <c r="K47" s="4">
        <f>IMAGE("https://cdn.verdnatura.es/image/catalog/1600x900/177175")</f>
        <v/>
      </c>
      <c r="L47" s="5" t="n"/>
      <c r="M47" s="6" t="n"/>
      <c r="N47" s="7" t="n"/>
      <c r="O47" s="8" t="n">
        <v>0.64</v>
      </c>
      <c r="P47" s="8" t="n">
        <v>16</v>
      </c>
    </row>
    <row r="48" ht="110" customHeight="1">
      <c r="A48" s="3" t="inlineStr">
        <is>
          <t>12781939</t>
        </is>
      </c>
      <c r="B48" s="3" t="inlineStr">
        <is>
          <t>11-05-2026</t>
        </is>
      </c>
      <c r="C48" s="3" t="inlineStr">
        <is>
          <t>Gloria</t>
        </is>
      </c>
      <c r="D48" s="3" t="inlineStr">
        <is>
          <t>177171</t>
        </is>
      </c>
      <c r="E48" s="4" t="inlineStr">
        <is>
          <t>RS Frutteto EXT</t>
        </is>
      </c>
      <c r="F48" s="4" t="inlineStr">
        <is>
          <t>Ecuador</t>
        </is>
      </c>
      <c r="G48" s="4" t="inlineStr">
        <is>
          <t>COLOR Champagne · ALTURA 60 cm · BOTÓN MINIMO 5.5 cm</t>
        </is>
      </c>
      <c r="H48" s="3" t="inlineStr"/>
      <c r="I48" s="3" t="n">
        <v>50</v>
      </c>
      <c r="J48" s="3" t="inlineStr">
        <is>
          <t>50 шт.</t>
        </is>
      </c>
      <c r="K48" s="4">
        <f>IMAGE("https://cdn.verdnatura.es/image/catalog/1600x900/177171")</f>
        <v/>
      </c>
      <c r="L48" s="5" t="n"/>
      <c r="M48" s="6" t="n"/>
      <c r="N48" s="7" t="n"/>
      <c r="O48" s="8" t="n">
        <v>0.6899999999999999</v>
      </c>
      <c r="P48" s="8" t="n">
        <v>34.5</v>
      </c>
    </row>
    <row r="49" ht="110" customHeight="1">
      <c r="A49" s="3" t="inlineStr">
        <is>
          <t>12781939</t>
        </is>
      </c>
      <c r="B49" s="3" t="inlineStr">
        <is>
          <t>11-05-2026</t>
        </is>
      </c>
      <c r="C49" s="3" t="inlineStr">
        <is>
          <t>Gloria</t>
        </is>
      </c>
      <c r="D49" s="3" t="inlineStr">
        <is>
          <t>129238</t>
        </is>
      </c>
      <c r="E49" s="4" t="inlineStr">
        <is>
          <t>RS Mondial SEL</t>
        </is>
      </c>
      <c r="F49" s="4" t="inlineStr">
        <is>
          <t>Excellence</t>
        </is>
      </c>
      <c r="G49" s="4" t="inlineStr">
        <is>
          <t>COLOR Blanco · ALTURA 60 cm · BOTÓN MINIMO 6 cm</t>
        </is>
      </c>
      <c r="H49" s="3" t="inlineStr"/>
      <c r="I49" s="3" t="n">
        <v>25</v>
      </c>
      <c r="J49" s="3" t="inlineStr">
        <is>
          <t>25 шт.</t>
        </is>
      </c>
      <c r="K49" s="4">
        <f>IMAGE("https://cdn.verdnatura.es/image/catalog/1600x900/129238")</f>
        <v/>
      </c>
      <c r="L49" s="5" t="n"/>
      <c r="M49" s="6" t="n"/>
      <c r="N49" s="7" t="n"/>
      <c r="O49" s="8" t="n">
        <v>0.61</v>
      </c>
      <c r="P49" s="8" t="n">
        <v>15.25</v>
      </c>
    </row>
    <row r="50" ht="110" customHeight="1">
      <c r="A50" s="3" t="inlineStr">
        <is>
          <t>12781939</t>
        </is>
      </c>
      <c r="B50" s="3" t="inlineStr">
        <is>
          <t>11-05-2026</t>
        </is>
      </c>
      <c r="C50" s="3" t="inlineStr">
        <is>
          <t>Gloria</t>
        </is>
      </c>
      <c r="D50" s="3" t="inlineStr">
        <is>
          <t>138637</t>
        </is>
      </c>
      <c r="E50" s="4" t="inlineStr">
        <is>
          <t>RS Red Panther SEL</t>
        </is>
      </c>
      <c r="F50" s="4" t="inlineStr">
        <is>
          <t>Milagro</t>
        </is>
      </c>
      <c r="G50" s="4" t="inlineStr">
        <is>
          <t>COLOR Rojo/Rosa · ALTURA 60 cm · BOTÓN MINIMO 6 cm</t>
        </is>
      </c>
      <c r="H50" s="3" t="inlineStr"/>
      <c r="I50" s="3" t="n">
        <v>25</v>
      </c>
      <c r="J50" s="3" t="inlineStr">
        <is>
          <t>25 шт.</t>
        </is>
      </c>
      <c r="K50" s="4">
        <f>IMAGE("https://cdn.verdnatura.es/image/catalog/1600x900/138637")</f>
        <v/>
      </c>
      <c r="L50" s="5" t="n"/>
      <c r="M50" s="6" t="n"/>
      <c r="N50" s="7" t="n"/>
      <c r="O50" s="8" t="n">
        <v>0.83</v>
      </c>
      <c r="P50" s="8" t="n">
        <v>20.75</v>
      </c>
    </row>
    <row r="51" ht="110" customHeight="1">
      <c r="A51" s="3" t="inlineStr">
        <is>
          <t>12781939</t>
        </is>
      </c>
      <c r="B51" s="3" t="inlineStr">
        <is>
          <t>11-05-2026</t>
        </is>
      </c>
      <c r="C51" s="3" t="inlineStr">
        <is>
          <t>Gloria</t>
        </is>
      </c>
      <c r="D51" s="3" t="inlineStr">
        <is>
          <t>156925</t>
        </is>
      </c>
      <c r="E51" s="4" t="inlineStr">
        <is>
          <t>RSR Lovely Lydia</t>
        </is>
      </c>
      <c r="F51" s="4" t="inlineStr">
        <is>
          <t>Minar Roses</t>
        </is>
      </c>
      <c r="G51" s="4" t="inlineStr">
        <is>
          <t>COLOR Fucsia · ALTURA 50 cm · TAMAÑO BOTON Mediano</t>
        </is>
      </c>
      <c r="H51" s="3" t="inlineStr"/>
      <c r="I51" s="3" t="n">
        <v>30</v>
      </c>
      <c r="J51" s="3" t="inlineStr">
        <is>
          <t>30 шт.</t>
        </is>
      </c>
      <c r="K51" s="4">
        <f>IMAGE("https://cdn.verdnatura.es/image/catalog/1600x900/156925")</f>
        <v/>
      </c>
      <c r="L51" s="5" t="n"/>
      <c r="M51" s="6" t="n"/>
      <c r="N51" s="7" t="n"/>
      <c r="O51" s="8" t="n">
        <v>0.48</v>
      </c>
      <c r="P51" s="8" t="n">
        <v>14.4</v>
      </c>
    </row>
  </sheetData>
  <mergeCells count="5">
    <mergeCell ref="A42:P42"/>
    <mergeCell ref="A36:P36"/>
    <mergeCell ref="A27:P27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2026-06-22T21:39:05Z</dcterms:created>
  <dcterms:modified xmlns:dcterms="http://purl.org/dc/terms/" xmlns:xsi="http://www.w3.org/2001/XMLSchema-instance" xsi:type="dcterms:W3CDTF">2026-06-22T21:39:05Z</dcterms:modified>
</cp:coreProperties>
</file>