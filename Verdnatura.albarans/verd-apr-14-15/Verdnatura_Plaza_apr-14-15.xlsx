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#12614440  ·  13-04-2026  ·  Plaza  ·  1 позиций  ·  bultos: 1</t>
        </is>
      </c>
    </row>
    <row r="3" ht="110" customHeight="1">
      <c r="A3" s="3" t="inlineStr">
        <is>
          <t>12614440</t>
        </is>
      </c>
      <c r="B3" s="3" t="inlineStr">
        <is>
          <t>13-04-2026</t>
        </is>
      </c>
      <c r="C3" s="3" t="inlineStr">
        <is>
          <t>Plaza</t>
        </is>
      </c>
      <c r="D3" s="3" t="inlineStr">
        <is>
          <t>93392</t>
        </is>
      </c>
      <c r="E3" s="4" t="inlineStr">
        <is>
          <t>Cubos Expositor Pequeño</t>
        </is>
      </c>
      <c r="F3" s="4" t="inlineStr"/>
      <c r="G3" s="4" t="inlineStr">
        <is>
          <t>COLOR Negro · ALTURA 25 cm</t>
        </is>
      </c>
      <c r="H3" s="3" t="inlineStr"/>
      <c r="I3" s="3" t="n">
        <v>5</v>
      </c>
      <c r="J3" s="3" t="inlineStr">
        <is>
          <t>5 шт.</t>
        </is>
      </c>
      <c r="K3" s="4">
        <f>IMAGE("https://cdn.verdnatura.es/image/catalog/1600x900/93392")</f>
        <v/>
      </c>
      <c r="L3" s="5" t="n"/>
      <c r="M3" s="6" t="n"/>
      <c r="N3" s="7" t="n"/>
      <c r="O3" s="8" t="n">
        <v>3.61</v>
      </c>
      <c r="P3" s="8" t="n">
        <v>18.05</v>
      </c>
    </row>
    <row r="4" ht="26" customHeight="1">
      <c r="A4" s="2" t="inlineStr">
        <is>
          <t>📦  Накладная #12616246  ·  13-04-2026  ·  Plaza  ·  12 позиций  ·  bultos: 1</t>
        </is>
      </c>
    </row>
    <row r="5" ht="110" customHeight="1">
      <c r="A5" s="3" t="inlineStr">
        <is>
          <t>12616246</t>
        </is>
      </c>
      <c r="B5" s="3" t="inlineStr">
        <is>
          <t>13-04-2026</t>
        </is>
      </c>
      <c r="C5" s="3" t="inlineStr">
        <is>
          <t>Plaza</t>
        </is>
      </c>
      <c r="D5" s="3" t="inlineStr">
        <is>
          <t>129239</t>
        </is>
      </c>
      <c r="E5" s="4" t="inlineStr">
        <is>
          <t>· Rosa Pink Mondial SEL</t>
        </is>
      </c>
      <c r="F5" s="4" t="inlineStr">
        <is>
          <t>Excellence</t>
        </is>
      </c>
      <c r="G5" s="4" t="inlineStr">
        <is>
          <t>COLOR Rosa Claro · ALTURA 60 cm · BOTÓN MINIMO 6 cm</t>
        </is>
      </c>
      <c r="H5" s="3" t="inlineStr"/>
      <c r="I5" s="3" t="n">
        <v>25</v>
      </c>
      <c r="J5" s="3" t="inlineStr">
        <is>
          <t>25 шт.</t>
        </is>
      </c>
      <c r="K5" s="4">
        <f>IMAGE("https://cdn.verdnatura.es/image/catalog/1600x900/129239")</f>
        <v/>
      </c>
      <c r="L5" s="5" t="n"/>
      <c r="M5" s="6" t="n"/>
      <c r="N5" s="7" t="n"/>
      <c r="O5" s="8" t="n">
        <v>0.6</v>
      </c>
      <c r="P5" s="8" t="n">
        <v>15</v>
      </c>
    </row>
    <row r="6" ht="110" customHeight="1">
      <c r="A6" s="3" t="inlineStr">
        <is>
          <t>12616246</t>
        </is>
      </c>
      <c r="B6" s="3" t="inlineStr">
        <is>
          <t>13-04-2026</t>
        </is>
      </c>
      <c r="C6" s="3" t="inlineStr">
        <is>
          <t>Plaza</t>
        </is>
      </c>
      <c r="D6" s="3" t="inlineStr">
        <is>
          <t>175204</t>
        </is>
      </c>
      <c r="E6" s="4" t="inlineStr">
        <is>
          <t>Arborea Green (sin fruto) 400</t>
        </is>
      </c>
      <c r="F6" s="4" t="inlineStr"/>
      <c r="G6" s="4" t="inlineStr">
        <is>
          <t>COLOR Verde · ALTURA 55 cm</t>
        </is>
      </c>
      <c r="H6" s="3" t="inlineStr">
        <is>
          <t>Paquete</t>
        </is>
      </c>
      <c r="I6" s="3" t="n">
        <v>3</v>
      </c>
      <c r="J6" s="3" t="inlineStr">
        <is>
          <t>3 пачек</t>
        </is>
      </c>
      <c r="K6" s="4">
        <f>IMAGE("https://cdn.verdnatura.es/image/catalog/1600x900/175204")</f>
        <v/>
      </c>
      <c r="L6" s="5" t="n"/>
      <c r="M6" s="6" t="n"/>
      <c r="N6" s="7" t="n"/>
      <c r="O6" s="8" t="n">
        <v>2.82</v>
      </c>
      <c r="P6" s="8" t="n">
        <v>8.460000000000001</v>
      </c>
    </row>
    <row r="7" ht="110" customHeight="1">
      <c r="A7" s="3" t="inlineStr">
        <is>
          <t>12616246</t>
        </is>
      </c>
      <c r="B7" s="3" t="inlineStr">
        <is>
          <t>13-04-2026</t>
        </is>
      </c>
      <c r="C7" s="3" t="inlineStr">
        <is>
          <t>Plaza</t>
        </is>
      </c>
      <c r="D7" s="3" t="inlineStr">
        <is>
          <t>160010</t>
        </is>
      </c>
      <c r="E7" s="4" t="inlineStr">
        <is>
          <t>ASP SET VLC</t>
        </is>
      </c>
      <c r="F7" s="4" t="inlineStr"/>
      <c r="G7" s="4" t="inlineStr">
        <is>
          <t>COLOR Verde · ALTURA 65 cm</t>
        </is>
      </c>
      <c r="H7" s="3" t="inlineStr">
        <is>
          <t>Paquete</t>
        </is>
      </c>
      <c r="I7" s="3" t="n">
        <v>3</v>
      </c>
      <c r="J7" s="3" t="inlineStr">
        <is>
          <t>3 пачек</t>
        </is>
      </c>
      <c r="K7" s="4">
        <f>IMAGE("https://cdn.verdnatura.es/image/catalog/1600x900/160010")</f>
        <v/>
      </c>
      <c r="L7" s="5" t="n"/>
      <c r="M7" s="6" t="n"/>
      <c r="N7" s="7" t="n"/>
      <c r="O7" s="8" t="n">
        <v>2.74</v>
      </c>
      <c r="P7" s="8" t="n">
        <v>8.220000000000001</v>
      </c>
    </row>
    <row r="8" ht="110" customHeight="1">
      <c r="A8" s="3" t="inlineStr">
        <is>
          <t>12616246</t>
        </is>
      </c>
      <c r="B8" s="3" t="inlineStr">
        <is>
          <t>13-04-2026</t>
        </is>
      </c>
      <c r="C8" s="3" t="inlineStr">
        <is>
          <t>Plaza</t>
        </is>
      </c>
      <c r="D8" s="3" t="inlineStr">
        <is>
          <t>114770</t>
        </is>
      </c>
      <c r="E8" s="4" t="inlineStr">
        <is>
          <t>EUC Cinerea 300 gr</t>
        </is>
      </c>
      <c r="F8" s="4" t="inlineStr"/>
      <c r="G8" s="4" t="inlineStr">
        <is>
          <t>COLOR Lividum · ALTURA 70 cm</t>
        </is>
      </c>
      <c r="H8" s="3" t="inlineStr">
        <is>
          <t>Paquete</t>
        </is>
      </c>
      <c r="I8" s="3" t="n">
        <v>3</v>
      </c>
      <c r="J8" s="3" t="inlineStr">
        <is>
          <t>3 пачек</t>
        </is>
      </c>
      <c r="K8" s="4">
        <f>IMAGE("https://cdn.verdnatura.es/image/catalog/1600x900/114770")</f>
        <v/>
      </c>
      <c r="L8" s="5" t="n"/>
      <c r="M8" s="6" t="n"/>
      <c r="N8" s="7" t="n"/>
      <c r="O8" s="8" t="n">
        <v>3.7</v>
      </c>
      <c r="P8" s="8" t="n">
        <v>11.1</v>
      </c>
    </row>
    <row r="9" ht="110" customHeight="1">
      <c r="A9" s="3" t="inlineStr">
        <is>
          <t>12616246</t>
        </is>
      </c>
      <c r="B9" s="3" t="inlineStr">
        <is>
          <t>13-04-2026</t>
        </is>
      </c>
      <c r="C9" s="3" t="inlineStr">
        <is>
          <t>Plaza</t>
        </is>
      </c>
      <c r="D9" s="3" t="inlineStr">
        <is>
          <t>110792</t>
        </is>
      </c>
      <c r="E9" s="4" t="inlineStr">
        <is>
          <t>EUC Parvifolia 300 gr</t>
        </is>
      </c>
      <c r="F9" s="4" t="inlineStr"/>
      <c r="G9" s="4" t="inlineStr">
        <is>
          <t>COLOR Verde · ALTURA 70 cm</t>
        </is>
      </c>
      <c r="H9" s="3" t="inlineStr">
        <is>
          <t>Paquete</t>
        </is>
      </c>
      <c r="I9" s="3" t="n">
        <v>3</v>
      </c>
      <c r="J9" s="3" t="inlineStr">
        <is>
          <t>3 пачек</t>
        </is>
      </c>
      <c r="K9" s="4">
        <f>IMAGE("https://cdn.verdnatura.es/image/catalog/1600x900/110792")</f>
        <v/>
      </c>
      <c r="L9" s="5" t="n"/>
      <c r="M9" s="6" t="n"/>
      <c r="N9" s="7" t="n"/>
      <c r="O9" s="8" t="n">
        <v>2.86</v>
      </c>
      <c r="P9" s="8" t="n">
        <v>8.58</v>
      </c>
    </row>
    <row r="10" ht="110" customHeight="1">
      <c r="A10" s="3" t="inlineStr">
        <is>
          <t>12616246</t>
        </is>
      </c>
      <c r="B10" s="3" t="inlineStr">
        <is>
          <t>13-04-2026</t>
        </is>
      </c>
      <c r="C10" s="3" t="inlineStr">
        <is>
          <t>Plaza</t>
        </is>
      </c>
      <c r="D10" s="3" t="inlineStr">
        <is>
          <t>107288</t>
        </is>
      </c>
      <c r="E10" s="4" t="inlineStr">
        <is>
          <t>Insecticida Polivalente BioFlo</t>
        </is>
      </c>
      <c r="F10" s="4" t="inlineStr">
        <is>
          <t>Flower</t>
        </is>
      </c>
      <c r="G10" s="4" t="inlineStr">
        <is>
          <t>COLOR Blanco · CONTENIDO 750 ml</t>
        </is>
      </c>
      <c r="H10" s="3" t="inlineStr"/>
      <c r="I10" s="3" t="n">
        <v>2</v>
      </c>
      <c r="J10" s="3" t="inlineStr">
        <is>
          <t>2 шт.</t>
        </is>
      </c>
      <c r="K10" s="4">
        <f>IMAGE("https://cdn.verdnatura.es/image/catalog/1600x900/107288")</f>
        <v/>
      </c>
      <c r="L10" s="5" t="n"/>
      <c r="M10" s="6" t="n"/>
      <c r="N10" s="7" t="n"/>
      <c r="O10" s="8" t="n">
        <v>7.42</v>
      </c>
      <c r="P10" s="8" t="n">
        <v>14.84</v>
      </c>
    </row>
    <row r="11" ht="110" customHeight="1">
      <c r="A11" s="3" t="inlineStr">
        <is>
          <t>12616246</t>
        </is>
      </c>
      <c r="B11" s="3" t="inlineStr">
        <is>
          <t>13-04-2026</t>
        </is>
      </c>
      <c r="C11" s="3" t="inlineStr">
        <is>
          <t>Plaza</t>
        </is>
      </c>
      <c r="D11" s="3" t="inlineStr">
        <is>
          <t>6112</t>
        </is>
      </c>
      <c r="E11" s="4" t="inlineStr">
        <is>
          <t>Lisianthus Doble Croma Bridal</t>
        </is>
      </c>
      <c r="F11" s="4" t="inlineStr">
        <is>
          <t>Lugt Lisianthus</t>
        </is>
      </c>
      <c r="G11" s="4" t="inlineStr">
        <is>
          <t>COLOR Blanco/Rosa · ALTURA 70 cm · Nº FLORES 5</t>
        </is>
      </c>
      <c r="H11" s="3" t="inlineStr"/>
      <c r="I11" s="3" t="n">
        <v>20</v>
      </c>
      <c r="J11" s="3" t="inlineStr">
        <is>
          <t>20 шт.</t>
        </is>
      </c>
      <c r="K11" s="4">
        <f>IMAGE("https://cdn.verdnatura.es/image/catalog/1600x900/6112")</f>
        <v/>
      </c>
      <c r="L11" s="5" t="n"/>
      <c r="M11" s="6" t="n"/>
      <c r="N11" s="7" t="n"/>
      <c r="O11" s="8" t="n">
        <v>0.82</v>
      </c>
      <c r="P11" s="8" t="n">
        <v>16.4</v>
      </c>
    </row>
    <row r="12" ht="110" customHeight="1">
      <c r="A12" s="3" t="inlineStr">
        <is>
          <t>12616246</t>
        </is>
      </c>
      <c r="B12" s="3" t="inlineStr">
        <is>
          <t>13-04-2026</t>
        </is>
      </c>
      <c r="C12" s="3" t="inlineStr">
        <is>
          <t>Plaza</t>
        </is>
      </c>
      <c r="D12" s="3" t="inlineStr">
        <is>
          <t>112976</t>
        </is>
      </c>
      <c r="E12" s="4" t="inlineStr">
        <is>
          <t>LO Roselily Samantha 3</t>
        </is>
      </c>
      <c r="F12" s="4" t="inlineStr">
        <is>
          <t>Moerman Lilium BV</t>
        </is>
      </c>
      <c r="G12" s="4" t="inlineStr">
        <is>
          <t>COLOR Rosa · ALTURA 75 cm</t>
        </is>
      </c>
      <c r="H12" s="3" t="inlineStr"/>
      <c r="I12" s="3" t="n">
        <v>10</v>
      </c>
      <c r="J12" s="3" t="inlineStr">
        <is>
          <t>10 шт.</t>
        </is>
      </c>
      <c r="K12" s="4">
        <f>IMAGE("https://cdn.verdnatura.es/image/catalog/1600x900/112976")</f>
        <v/>
      </c>
      <c r="L12" s="5" t="n"/>
      <c r="M12" s="6" t="n"/>
      <c r="N12" s="7" t="n"/>
      <c r="O12" s="8" t="n">
        <v>1.92</v>
      </c>
      <c r="P12" s="8" t="n">
        <v>19.2</v>
      </c>
    </row>
    <row r="13" ht="110" customHeight="1">
      <c r="A13" s="3" t="inlineStr">
        <is>
          <t>12616246</t>
        </is>
      </c>
      <c r="B13" s="3" t="inlineStr">
        <is>
          <t>13-04-2026</t>
        </is>
      </c>
      <c r="C13" s="3" t="inlineStr">
        <is>
          <t>Plaza</t>
        </is>
      </c>
      <c r="D13" s="3" t="inlineStr">
        <is>
          <t>199575</t>
        </is>
      </c>
      <c r="E13" s="4" t="inlineStr">
        <is>
          <t>Photinia Red Robin 400 gr</t>
        </is>
      </c>
      <c r="F13" s="4" t="inlineStr"/>
      <c r="G13" s="4" t="inlineStr">
        <is>
          <t>COLOR Granate · ALTURA 60 cm</t>
        </is>
      </c>
      <c r="H13" s="3" t="inlineStr">
        <is>
          <t>Paquete</t>
        </is>
      </c>
      <c r="I13" s="3" t="n">
        <v>3</v>
      </c>
      <c r="J13" s="3" t="inlineStr">
        <is>
          <t>3 пачек</t>
        </is>
      </c>
      <c r="K13" s="4">
        <f>IMAGE("https://cdn.verdnatura.es/image/catalog/1600x900/199575")</f>
        <v/>
      </c>
      <c r="L13" s="5" t="n"/>
      <c r="M13" s="6" t="n"/>
      <c r="N13" s="7" t="n"/>
      <c r="O13" s="8" t="n">
        <v>3.55</v>
      </c>
      <c r="P13" s="8" t="n">
        <v>10.65</v>
      </c>
    </row>
    <row r="14" ht="110" customHeight="1">
      <c r="A14" s="3" t="inlineStr">
        <is>
          <t>12616246</t>
        </is>
      </c>
      <c r="B14" s="3" t="inlineStr">
        <is>
          <t>13-04-2026</t>
        </is>
      </c>
      <c r="C14" s="3" t="inlineStr">
        <is>
          <t>Plaza</t>
        </is>
      </c>
      <c r="D14" s="3" t="inlineStr">
        <is>
          <t>153248</t>
        </is>
      </c>
      <c r="E14" s="4" t="inlineStr">
        <is>
          <t>RSR Chimo</t>
        </is>
      </c>
      <c r="F14" s="4" t="inlineStr">
        <is>
          <t>Holla Roses</t>
        </is>
      </c>
      <c r="G14" s="4" t="inlineStr">
        <is>
          <t>COLOR Fucsia · ALTURA 40 cm · TAMAÑO BOTON Pequeño</t>
        </is>
      </c>
      <c r="H14" s="3" t="inlineStr"/>
      <c r="I14" s="3" t="n">
        <v>30</v>
      </c>
      <c r="J14" s="3" t="inlineStr">
        <is>
          <t>30 шт.</t>
        </is>
      </c>
      <c r="K14" s="4">
        <f>IMAGE("https://cdn.verdnatura.es/image/catalog/1600x900/153248")</f>
        <v/>
      </c>
      <c r="L14" s="5" t="n"/>
      <c r="M14" s="6" t="n"/>
      <c r="N14" s="7" t="n"/>
      <c r="O14" s="8" t="n">
        <v>0.25</v>
      </c>
      <c r="P14" s="8" t="n">
        <v>7.5</v>
      </c>
    </row>
    <row r="15" ht="110" customHeight="1">
      <c r="A15" s="3" t="inlineStr">
        <is>
          <t>12616246</t>
        </is>
      </c>
      <c r="B15" s="3" t="inlineStr">
        <is>
          <t>13-04-2026</t>
        </is>
      </c>
      <c r="C15" s="3" t="inlineStr">
        <is>
          <t>Plaza</t>
        </is>
      </c>
      <c r="D15" s="3" t="inlineStr">
        <is>
          <t>200042</t>
        </is>
      </c>
      <c r="E15" s="4" t="inlineStr">
        <is>
          <t>TRACH Celeste</t>
        </is>
      </c>
      <c r="F15" s="4" t="inlineStr">
        <is>
          <t>RencaFlor</t>
        </is>
      </c>
      <c r="G15" s="4" t="inlineStr">
        <is>
          <t>COLOR Lavanda · ALTURA 60 cm</t>
        </is>
      </c>
      <c r="H15" s="3" t="inlineStr"/>
      <c r="I15" s="3" t="n">
        <v>30</v>
      </c>
      <c r="J15" s="3" t="inlineStr">
        <is>
          <t>30 шт.</t>
        </is>
      </c>
      <c r="K15" s="4">
        <f>IMAGE("https://cdn.verdnatura.es/image/catalog/1600x900/200042")</f>
        <v/>
      </c>
      <c r="L15" s="5" t="n"/>
      <c r="M15" s="6" t="n"/>
      <c r="N15" s="7" t="n"/>
      <c r="O15" s="8" t="n">
        <v>0.28</v>
      </c>
      <c r="P15" s="8" t="n">
        <v>8.4</v>
      </c>
    </row>
    <row r="16" ht="110" customHeight="1">
      <c r="A16" s="3" t="inlineStr">
        <is>
          <t>12616246</t>
        </is>
      </c>
      <c r="B16" s="3" t="inlineStr">
        <is>
          <t>13-04-2026</t>
        </is>
      </c>
      <c r="C16" s="3" t="inlineStr">
        <is>
          <t>Plaza</t>
        </is>
      </c>
      <c r="D16" s="3" t="inlineStr">
        <is>
          <t>129896</t>
        </is>
      </c>
      <c r="E16" s="4" t="inlineStr">
        <is>
          <t>TUL Energy4all</t>
        </is>
      </c>
      <c r="F16" s="4" t="inlineStr"/>
      <c r="G16" s="4" t="inlineStr">
        <is>
          <t>COLOR Blanco/Rosa · ALTURA 37 cm · PESO/TALLO 34 gr</t>
        </is>
      </c>
      <c r="H16" s="3" t="inlineStr"/>
      <c r="I16" s="3" t="n">
        <v>100</v>
      </c>
      <c r="J16" s="3" t="inlineStr">
        <is>
          <t>100 шт.</t>
        </is>
      </c>
      <c r="K16" s="4">
        <f>IMAGE("https://cdn.verdnatura.es/image/catalog/1600x900/129896")</f>
        <v/>
      </c>
      <c r="L16" s="5" t="n"/>
      <c r="M16" s="6" t="n"/>
      <c r="N16" s="7" t="n"/>
      <c r="O16" s="8" t="n">
        <v>0.4</v>
      </c>
      <c r="P16" s="8" t="n">
        <v>40</v>
      </c>
    </row>
    <row r="17" ht="26" customHeight="1">
      <c r="A17" s="2" t="inlineStr">
        <is>
          <t>📦  Накладная #12615895  ·  14-04-2026  ·  Plaza  ·  1 позиций  ·  bultos: 1</t>
        </is>
      </c>
    </row>
    <row r="18" ht="110" customHeight="1">
      <c r="A18" s="3" t="inlineStr">
        <is>
          <t>12615895</t>
        </is>
      </c>
      <c r="B18" s="3" t="inlineStr">
        <is>
          <t>14-04-2026</t>
        </is>
      </c>
      <c r="C18" s="3" t="inlineStr">
        <is>
          <t>Plaza</t>
        </is>
      </c>
      <c r="D18" s="3" t="inlineStr">
        <is>
          <t>186662</t>
        </is>
      </c>
      <c r="E18" s="4" t="inlineStr">
        <is>
          <t>RS Free Spirit SEL</t>
        </is>
      </c>
      <c r="F18" s="4" t="inlineStr">
        <is>
          <t>Colombia</t>
        </is>
      </c>
      <c r="G18" s="4" t="inlineStr">
        <is>
          <t>COLOR Coral · ALTURA 40 cm · BOTÓN MINIMO 5 cm</t>
        </is>
      </c>
      <c r="H18" s="3" t="inlineStr"/>
      <c r="I18" s="3" t="n">
        <v>25</v>
      </c>
      <c r="J18" s="3" t="inlineStr">
        <is>
          <t>25 шт.</t>
        </is>
      </c>
      <c r="K18" s="4">
        <f>IMAGE("https://cdn.verdnatura.es/image/catalog/1600x900/186662")</f>
        <v/>
      </c>
      <c r="L18" s="5" t="n"/>
      <c r="M18" s="6" t="n"/>
      <c r="N18" s="7" t="n"/>
      <c r="O18" s="8" t="n">
        <v>0.66</v>
      </c>
      <c r="P18" s="8" t="n">
        <v>16.5</v>
      </c>
    </row>
  </sheetData>
  <mergeCells count="3">
    <mergeCell ref="A17:P17"/>
    <mergeCell ref="A4:P4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2026-06-22T21:39:02Z</dcterms:created>
  <dcterms:modified xmlns:dcterms="http://purl.org/dc/terms/" xmlns:xsi="http://www.w3.org/2001/XMLSchema-instance" xsi:type="dcterms:W3CDTF">2026-06-22T21:39:02Z</dcterms:modified>
</cp:coreProperties>
</file>