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#12609104  ·  13-04-2026  ·  Blau  ·  1 позиций  ·  bultos: 1</t>
        </is>
      </c>
    </row>
    <row r="3" ht="110" customHeight="1">
      <c r="A3" s="3" t="inlineStr">
        <is>
          <t>12609104</t>
        </is>
      </c>
      <c r="B3" s="3" t="inlineStr">
        <is>
          <t>13-04-2026</t>
        </is>
      </c>
      <c r="C3" s="3" t="inlineStr">
        <is>
          <t>Blau</t>
        </is>
      </c>
      <c r="D3" s="3" t="inlineStr">
        <is>
          <t>94902</t>
        </is>
      </c>
      <c r="E3" s="4" t="inlineStr">
        <is>
          <t>SANS Laurentii</t>
        </is>
      </c>
      <c r="F3" s="4" t="inlineStr">
        <is>
          <t>Vireo-Hedera Plant</t>
        </is>
      </c>
      <c r="G3" s="4" t="inlineStr">
        <is>
          <t>COLOR Matizado · ALTURA 85 cm · MACETA 24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IMAGE("https://cdn.verdnatura.es/image/catalog/1600x900/94902")</f>
        <v/>
      </c>
      <c r="L3" s="5" t="n"/>
      <c r="M3" s="6" t="n"/>
      <c r="N3" s="7" t="n"/>
      <c r="O3" s="8" t="n">
        <v>21.09</v>
      </c>
      <c r="P3" s="8" t="n">
        <v>42.18</v>
      </c>
    </row>
    <row r="4" ht="26" customHeight="1">
      <c r="A4" s="2" t="inlineStr">
        <is>
          <t>📦  Накладная #12616286  ·  13-04-2026  ·  Blau  ·  23 позиций  ·  bultos: 3</t>
        </is>
      </c>
    </row>
    <row r="5" ht="110" customHeight="1">
      <c r="A5" s="3" t="inlineStr">
        <is>
          <t>12616286</t>
        </is>
      </c>
      <c r="B5" s="3" t="inlineStr">
        <is>
          <t>13-04-2026</t>
        </is>
      </c>
      <c r="C5" s="3" t="inlineStr">
        <is>
          <t>Blau</t>
        </is>
      </c>
      <c r="D5" s="3" t="inlineStr">
        <is>
          <t>131974</t>
        </is>
      </c>
      <c r="E5" s="4" t="inlineStr">
        <is>
          <t>+ RSR Mambo</t>
        </is>
      </c>
      <c r="F5" s="4" t="inlineStr">
        <is>
          <t>Multiflora</t>
        </is>
      </c>
      <c r="G5" s="4" t="inlineStr">
        <is>
          <t>COLOR Naranja · ALTURA 50 cm · TAMAÑO BOTON Pequeño</t>
        </is>
      </c>
      <c r="H5" s="3" t="inlineStr"/>
      <c r="I5" s="3" t="n">
        <v>40</v>
      </c>
      <c r="J5" s="3" t="inlineStr">
        <is>
          <t>40 шт.</t>
        </is>
      </c>
      <c r="K5" s="4">
        <f>IMAGE("https://cdn.verdnatura.es/image/catalog/1600x900/131974")</f>
        <v/>
      </c>
      <c r="L5" s="5" t="n"/>
      <c r="M5" s="6" t="n"/>
      <c r="N5" s="7" t="n"/>
      <c r="O5" s="8" t="n">
        <v>0.48</v>
      </c>
      <c r="P5" s="8" t="n">
        <v>19.2</v>
      </c>
    </row>
    <row r="6" ht="110" customHeight="1">
      <c r="A6" s="3" t="inlineStr">
        <is>
          <t>12616286</t>
        </is>
      </c>
      <c r="B6" s="3" t="inlineStr">
        <is>
          <t>13-04-2026</t>
        </is>
      </c>
      <c r="C6" s="3" t="inlineStr">
        <is>
          <t>Blau</t>
        </is>
      </c>
      <c r="D6" s="3" t="inlineStr">
        <is>
          <t>198753</t>
        </is>
      </c>
      <c r="E6" s="4" t="inlineStr">
        <is>
          <t>CR Altaj Orange 105 gr</t>
        </is>
      </c>
      <c r="F6" s="4" t="inlineStr">
        <is>
          <t>Zentoo</t>
        </is>
      </c>
      <c r="G6" s="4" t="inlineStr">
        <is>
          <t>COLOR Naranja · ALTURA 70 cm · PESO/TALLO 105 gr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IMAGE("https://cdn.verdnatura.es/image/catalog/1600x900/198753")</f>
        <v/>
      </c>
      <c r="L6" s="5" t="n"/>
      <c r="M6" s="6" t="n"/>
      <c r="N6" s="7" t="n"/>
      <c r="O6" s="8" t="n">
        <v>0.72</v>
      </c>
      <c r="P6" s="8" t="n">
        <v>14.4</v>
      </c>
    </row>
    <row r="7" ht="110" customHeight="1">
      <c r="A7" s="3" t="inlineStr">
        <is>
          <t>12616286</t>
        </is>
      </c>
      <c r="B7" s="3" t="inlineStr">
        <is>
          <t>13-04-2026</t>
        </is>
      </c>
      <c r="C7" s="3" t="inlineStr">
        <is>
          <t>Blau</t>
        </is>
      </c>
      <c r="D7" s="3" t="inlineStr">
        <is>
          <t>198755</t>
        </is>
      </c>
      <c r="E7" s="4" t="inlineStr">
        <is>
          <t>CR Altaj Red 105 gr</t>
        </is>
      </c>
      <c r="F7" s="4" t="inlineStr">
        <is>
          <t>Zentoo</t>
        </is>
      </c>
      <c r="G7" s="4" t="inlineStr">
        <is>
          <t>COLOR Rojo · ALTURA 70 cm · PESO/TALLO 105 gr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IMAGE("https://cdn.verdnatura.es/image/catalog/1600x900/198755")</f>
        <v/>
      </c>
      <c r="L7" s="5" t="n"/>
      <c r="M7" s="6" t="n"/>
      <c r="N7" s="7" t="n"/>
      <c r="O7" s="8" t="n">
        <v>0.72</v>
      </c>
      <c r="P7" s="8" t="n">
        <v>14.4</v>
      </c>
    </row>
    <row r="8" ht="110" customHeight="1">
      <c r="A8" s="3" t="inlineStr">
        <is>
          <t>12616286</t>
        </is>
      </c>
      <c r="B8" s="3" t="inlineStr">
        <is>
          <t>13-04-2026</t>
        </is>
      </c>
      <c r="C8" s="3" t="inlineStr">
        <is>
          <t>Blau</t>
        </is>
      </c>
      <c r="D8" s="3" t="inlineStr">
        <is>
          <t>198748</t>
        </is>
      </c>
      <c r="E8" s="4" t="inlineStr">
        <is>
          <t>CR Altaj Terracotta 105 gr</t>
        </is>
      </c>
      <c r="F8" s="4" t="inlineStr">
        <is>
          <t>Zentoo</t>
        </is>
      </c>
      <c r="G8" s="4" t="inlineStr">
        <is>
          <t>COLOR Teja · ALTURA 70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IMAGE("https://cdn.verdnatura.es/image/catalog/1600x900/198748")</f>
        <v/>
      </c>
      <c r="L8" s="5" t="n"/>
      <c r="M8" s="6" t="n"/>
      <c r="N8" s="7" t="n"/>
      <c r="O8" s="8" t="n">
        <v>0.65</v>
      </c>
      <c r="P8" s="8" t="n">
        <v>13</v>
      </c>
    </row>
    <row r="9" ht="110" customHeight="1">
      <c r="A9" s="3" t="inlineStr">
        <is>
          <t>12616286</t>
        </is>
      </c>
      <c r="B9" s="3" t="inlineStr">
        <is>
          <t>13-04-2026</t>
        </is>
      </c>
      <c r="C9" s="3" t="inlineStr">
        <is>
          <t>Blau</t>
        </is>
      </c>
      <c r="D9" s="3" t="inlineStr">
        <is>
          <t>150021</t>
        </is>
      </c>
      <c r="E9" s="4" t="inlineStr">
        <is>
          <t>CR Commander 100 gr</t>
        </is>
      </c>
      <c r="F9" s="4" t="inlineStr">
        <is>
          <t>Zentoo</t>
        </is>
      </c>
      <c r="G9" s="4" t="inlineStr">
        <is>
          <t>COLOR Blanco · ALTURA 70 cm · PESO/TALLO 80 gr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IMAGE("https://cdn.verdnatura.es/image/catalog/1600x900/150021")</f>
        <v/>
      </c>
      <c r="L9" s="5" t="n"/>
      <c r="M9" s="6" t="n"/>
      <c r="N9" s="7" t="n"/>
      <c r="O9" s="8" t="n">
        <v>0.61</v>
      </c>
      <c r="P9" s="8" t="n">
        <v>12.2</v>
      </c>
    </row>
    <row r="10" ht="110" customHeight="1">
      <c r="A10" s="3" t="inlineStr">
        <is>
          <t>12616286</t>
        </is>
      </c>
      <c r="B10" s="3" t="inlineStr">
        <is>
          <t>13-04-2026</t>
        </is>
      </c>
      <c r="C10" s="3" t="inlineStr">
        <is>
          <t>Blau</t>
        </is>
      </c>
      <c r="D10" s="3" t="inlineStr">
        <is>
          <t>195586</t>
        </is>
      </c>
      <c r="E10" s="4" t="inlineStr">
        <is>
          <t>CYMB Mini Golden Boy</t>
        </is>
      </c>
      <c r="F10" s="4" t="inlineStr">
        <is>
          <t>Kwekerij Leekade</t>
        </is>
      </c>
      <c r="G10" s="4" t="inlineStr">
        <is>
          <t>COLOR Amarillo · ALTURA 30 cm</t>
        </is>
      </c>
      <c r="H10" s="3" t="inlineStr"/>
      <c r="I10" s="3" t="n">
        <v>10</v>
      </c>
      <c r="J10" s="3" t="inlineStr">
        <is>
          <t>10 шт.</t>
        </is>
      </c>
      <c r="K10" s="4">
        <f>IMAGE("https://cdn.verdnatura.es/image/catalog/1600x900/195586")</f>
        <v/>
      </c>
      <c r="L10" s="5" t="n"/>
      <c r="M10" s="6" t="n"/>
      <c r="N10" s="7" t="n"/>
      <c r="O10" s="8" t="n">
        <v>3.62</v>
      </c>
      <c r="P10" s="8" t="n">
        <v>36.2</v>
      </c>
    </row>
    <row r="11" ht="110" customHeight="1">
      <c r="A11" s="3" t="inlineStr">
        <is>
          <t>12616286</t>
        </is>
      </c>
      <c r="B11" s="3" t="inlineStr">
        <is>
          <t>13-04-2026</t>
        </is>
      </c>
      <c r="C11" s="3" t="inlineStr">
        <is>
          <t>Blau</t>
        </is>
      </c>
      <c r="D11" s="3" t="inlineStr">
        <is>
          <t>93688</t>
        </is>
      </c>
      <c r="E11" s="4" t="inlineStr">
        <is>
          <t>CYMB Mini Riaad</t>
        </is>
      </c>
      <c r="F11" s="4" t="inlineStr">
        <is>
          <t>Kwekerij Leekade</t>
        </is>
      </c>
      <c r="G11" s="4" t="inlineStr">
        <is>
          <t>COLOR Rosa Claro · ALTURA 40 cm</t>
        </is>
      </c>
      <c r="H11" s="3" t="inlineStr"/>
      <c r="I11" s="3" t="n">
        <v>10</v>
      </c>
      <c r="J11" s="3" t="inlineStr">
        <is>
          <t>10 шт.</t>
        </is>
      </c>
      <c r="K11" s="4">
        <f>IMAGE("https://cdn.verdnatura.es/image/catalog/1600x900/93688")</f>
        <v/>
      </c>
      <c r="L11" s="5" t="n"/>
      <c r="M11" s="6" t="n"/>
      <c r="N11" s="7" t="n"/>
      <c r="O11" s="8" t="n">
        <v>4.43</v>
      </c>
      <c r="P11" s="8" t="n">
        <v>44.3</v>
      </c>
    </row>
    <row r="12" ht="110" customHeight="1">
      <c r="A12" s="3" t="inlineStr">
        <is>
          <t>12616286</t>
        </is>
      </c>
      <c r="B12" s="3" t="inlineStr">
        <is>
          <t>13-04-2026</t>
        </is>
      </c>
      <c r="C12" s="3" t="inlineStr">
        <is>
          <t>Blau</t>
        </is>
      </c>
      <c r="D12" s="3" t="inlineStr">
        <is>
          <t>114770</t>
        </is>
      </c>
      <c r="E12" s="4" t="inlineStr">
        <is>
          <t>EUC Cinerea 300 gr</t>
        </is>
      </c>
      <c r="F12" s="4" t="inlineStr"/>
      <c r="G12" s="4" t="inlineStr">
        <is>
          <t>COLOR Lividum · ALTURA 70 cm</t>
        </is>
      </c>
      <c r="H12" s="3" t="inlineStr">
        <is>
          <t>Paquete</t>
        </is>
      </c>
      <c r="I12" s="3" t="n">
        <v>5</v>
      </c>
      <c r="J12" s="3" t="inlineStr">
        <is>
          <t>5 пачек</t>
        </is>
      </c>
      <c r="K12" s="4">
        <f>IMAGE("https://cdn.verdnatura.es/image/catalog/1600x900/114770")</f>
        <v/>
      </c>
      <c r="L12" s="5" t="n"/>
      <c r="M12" s="6" t="n"/>
      <c r="N12" s="7" t="n"/>
      <c r="O12" s="8" t="n">
        <v>3.7</v>
      </c>
      <c r="P12" s="8" t="n">
        <v>18.5</v>
      </c>
    </row>
    <row r="13" ht="110" customHeight="1">
      <c r="A13" s="3" t="inlineStr">
        <is>
          <t>12616286</t>
        </is>
      </c>
      <c r="B13" s="3" t="inlineStr">
        <is>
          <t>13-04-2026</t>
        </is>
      </c>
      <c r="C13" s="3" t="inlineStr">
        <is>
          <t>Blau</t>
        </is>
      </c>
      <c r="D13" s="3" t="inlineStr">
        <is>
          <t>110792</t>
        </is>
      </c>
      <c r="E13" s="4" t="inlineStr">
        <is>
          <t>EUC Parvifolia 300 gr</t>
        </is>
      </c>
      <c r="F13" s="4" t="inlineStr"/>
      <c r="G13" s="4" t="inlineStr">
        <is>
          <t>COLOR Verde · ALTURA 70 cm</t>
        </is>
      </c>
      <c r="H13" s="3" t="inlineStr">
        <is>
          <t>Paquete</t>
        </is>
      </c>
      <c r="I13" s="3" t="n">
        <v>3</v>
      </c>
      <c r="J13" s="3" t="inlineStr">
        <is>
          <t>3 пачек</t>
        </is>
      </c>
      <c r="K13" s="4">
        <f>IMAGE("https://cdn.verdnatura.es/image/catalog/1600x900/110792")</f>
        <v/>
      </c>
      <c r="L13" s="5" t="n"/>
      <c r="M13" s="6" t="n"/>
      <c r="N13" s="7" t="n"/>
      <c r="O13" s="8" t="n">
        <v>2.86</v>
      </c>
      <c r="P13" s="8" t="n">
        <v>8.58</v>
      </c>
    </row>
    <row r="14" ht="110" customHeight="1">
      <c r="A14" s="3" t="inlineStr">
        <is>
          <t>12616286</t>
        </is>
      </c>
      <c r="B14" s="3" t="inlineStr">
        <is>
          <t>13-04-2026</t>
        </is>
      </c>
      <c r="C14" s="3" t="inlineStr">
        <is>
          <t>Blau</t>
        </is>
      </c>
      <c r="D14" s="3" t="inlineStr">
        <is>
          <t>149133</t>
        </is>
      </c>
      <c r="E14" s="4" t="inlineStr">
        <is>
          <t>F Cera Jupiter Solar</t>
        </is>
      </c>
      <c r="F14" s="4" t="inlineStr"/>
      <c r="G14" s="4" t="inlineStr">
        <is>
          <t>COLOR Blanco/Rosa · ALTURA 55 cm · PESO/TALLO 25 gr</t>
        </is>
      </c>
      <c r="H14" s="3" t="inlineStr"/>
      <c r="I14" s="3" t="n">
        <v>25</v>
      </c>
      <c r="J14" s="3" t="inlineStr">
        <is>
          <t>25 шт.</t>
        </is>
      </c>
      <c r="K14" s="4">
        <f>IMAGE("https://cdn.verdnatura.es/image/catalog/1600x900/149133")</f>
        <v/>
      </c>
      <c r="L14" s="5" t="n"/>
      <c r="M14" s="6" t="n"/>
      <c r="N14" s="7" t="n"/>
      <c r="O14" s="8" t="n">
        <v>0.6</v>
      </c>
      <c r="P14" s="8" t="n">
        <v>15</v>
      </c>
    </row>
    <row r="15" ht="110" customHeight="1">
      <c r="A15" s="3" t="inlineStr">
        <is>
          <t>12616286</t>
        </is>
      </c>
      <c r="B15" s="3" t="inlineStr">
        <is>
          <t>13-04-2026</t>
        </is>
      </c>
      <c r="C15" s="3" t="inlineStr">
        <is>
          <t>Blau</t>
        </is>
      </c>
      <c r="D15" s="3" t="inlineStr">
        <is>
          <t>86296</t>
        </is>
      </c>
      <c r="E15" s="4" t="inlineStr">
        <is>
          <t>Lentisco BCN SEL</t>
        </is>
      </c>
      <c r="F15" s="4" t="inlineStr"/>
      <c r="G15" s="4" t="inlineStr">
        <is>
          <t>COLOR Verde · ALTURA 50 cm</t>
        </is>
      </c>
      <c r="H15" s="3" t="inlineStr">
        <is>
          <t>Paquete</t>
        </is>
      </c>
      <c r="I15" s="3" t="n">
        <v>10</v>
      </c>
      <c r="J15" s="3" t="inlineStr">
        <is>
          <t>10 пачек</t>
        </is>
      </c>
      <c r="K15" s="4">
        <f>IMAGE("https://cdn.verdnatura.es/image/catalog/1600x900/86296")</f>
        <v/>
      </c>
      <c r="L15" s="5" t="n"/>
      <c r="M15" s="6" t="n"/>
      <c r="N15" s="7" t="n"/>
      <c r="O15" s="8" t="n">
        <v>1.01</v>
      </c>
      <c r="P15" s="8" t="n">
        <v>10.1</v>
      </c>
    </row>
    <row r="16" ht="110" customHeight="1">
      <c r="A16" s="3" t="inlineStr">
        <is>
          <t>12616286</t>
        </is>
      </c>
      <c r="B16" s="3" t="inlineStr">
        <is>
          <t>13-04-2026</t>
        </is>
      </c>
      <c r="C16" s="3" t="inlineStr">
        <is>
          <t>Blau</t>
        </is>
      </c>
      <c r="D16" s="3" t="inlineStr">
        <is>
          <t>196574</t>
        </is>
      </c>
      <c r="E16" s="4" t="inlineStr">
        <is>
          <t>Lisianthus Doble Arosa Red</t>
        </is>
      </c>
      <c r="F16" s="4" t="inlineStr">
        <is>
          <t>Berglisianthus</t>
        </is>
      </c>
      <c r="G16" s="4" t="inlineStr">
        <is>
          <t>COLOR Rojo · ALTURA 70 cm · Nº FLORES 5</t>
        </is>
      </c>
      <c r="H16" s="3" t="inlineStr"/>
      <c r="I16" s="3" t="n">
        <v>20</v>
      </c>
      <c r="J16" s="3" t="inlineStr">
        <is>
          <t>20 шт.</t>
        </is>
      </c>
      <c r="K16" s="4">
        <f>IMAGE("https://cdn.verdnatura.es/image/catalog/1600x900/196574")</f>
        <v/>
      </c>
      <c r="L16" s="5" t="n"/>
      <c r="M16" s="6" t="n"/>
      <c r="N16" s="7" t="n"/>
      <c r="O16" s="8" t="n">
        <v>0.86</v>
      </c>
      <c r="P16" s="8" t="n">
        <v>17.2</v>
      </c>
    </row>
    <row r="17" ht="110" customHeight="1">
      <c r="A17" s="3" t="inlineStr">
        <is>
          <t>12616286</t>
        </is>
      </c>
      <c r="B17" s="3" t="inlineStr">
        <is>
          <t>13-04-2026</t>
        </is>
      </c>
      <c r="C17" s="3" t="inlineStr">
        <is>
          <t>Blau</t>
        </is>
      </c>
      <c r="D17" s="3" t="inlineStr">
        <is>
          <t>6112</t>
        </is>
      </c>
      <c r="E17" s="4" t="inlineStr">
        <is>
          <t>Lisianthus Doble Croma Bridal</t>
        </is>
      </c>
      <c r="F17" s="4" t="inlineStr">
        <is>
          <t>Lugt Lisianthus</t>
        </is>
      </c>
      <c r="G17" s="4" t="inlineStr">
        <is>
          <t>COLOR Blanco/Rosa · ALTURA 70 cm · Nº FLORES 5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IMAGE("https://cdn.verdnatura.es/image/catalog/1600x900/6112")</f>
        <v/>
      </c>
      <c r="L17" s="5" t="n"/>
      <c r="M17" s="6" t="n"/>
      <c r="N17" s="7" t="n"/>
      <c r="O17" s="8" t="n">
        <v>0.82</v>
      </c>
      <c r="P17" s="8" t="n">
        <v>16.4</v>
      </c>
    </row>
    <row r="18" ht="110" customHeight="1">
      <c r="A18" s="3" t="inlineStr">
        <is>
          <t>12616286</t>
        </is>
      </c>
      <c r="B18" s="3" t="inlineStr">
        <is>
          <t>13-04-2026</t>
        </is>
      </c>
      <c r="C18" s="3" t="inlineStr">
        <is>
          <t>Blau</t>
        </is>
      </c>
      <c r="D18" s="3" t="inlineStr">
        <is>
          <t>112976</t>
        </is>
      </c>
      <c r="E18" s="4" t="inlineStr">
        <is>
          <t>LO Roselily Samantha 3</t>
        </is>
      </c>
      <c r="F18" s="4" t="inlineStr">
        <is>
          <t>Moerman Lilium BV</t>
        </is>
      </c>
      <c r="G18" s="4" t="inlineStr">
        <is>
          <t>COLOR Rosa · ALTURA 75 cm</t>
        </is>
      </c>
      <c r="H18" s="3" t="inlineStr"/>
      <c r="I18" s="3" t="n">
        <v>30</v>
      </c>
      <c r="J18" s="3" t="inlineStr">
        <is>
          <t>30 шт.</t>
        </is>
      </c>
      <c r="K18" s="4">
        <f>IMAGE("https://cdn.verdnatura.es/image/catalog/1600x900/112976")</f>
        <v/>
      </c>
      <c r="L18" s="5" t="n"/>
      <c r="M18" s="6" t="n"/>
      <c r="N18" s="7" t="n"/>
      <c r="O18" s="8" t="n">
        <v>1.92</v>
      </c>
      <c r="P18" s="8" t="n">
        <v>57.6</v>
      </c>
    </row>
    <row r="19" ht="110" customHeight="1">
      <c r="A19" s="3" t="inlineStr">
        <is>
          <t>12616286</t>
        </is>
      </c>
      <c r="B19" s="3" t="inlineStr">
        <is>
          <t>13-04-2026</t>
        </is>
      </c>
      <c r="C19" s="3" t="inlineStr">
        <is>
          <t>Blau</t>
        </is>
      </c>
      <c r="D19" s="3" t="inlineStr">
        <is>
          <t>31748</t>
        </is>
      </c>
      <c r="E19" s="4" t="inlineStr">
        <is>
          <t>Lucky Bamboo Espiral</t>
        </is>
      </c>
      <c r="F19" s="4" t="inlineStr">
        <is>
          <t>Oriental</t>
        </is>
      </c>
      <c r="G19" s="4" t="inlineStr">
        <is>
          <t>COLOR Verde · ALTURA 70 cm · LONGITUD BROTE 0-2 cm (muy poco brote)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IMAGE("https://cdn.verdnatura.es/image/catalog/1600x900/31748")</f>
        <v/>
      </c>
      <c r="L19" s="5" t="n"/>
      <c r="M19" s="6" t="n"/>
      <c r="N19" s="7" t="n"/>
      <c r="O19" s="8" t="n">
        <v>1.87</v>
      </c>
      <c r="P19" s="8" t="n">
        <v>18.7</v>
      </c>
    </row>
    <row r="20" ht="110" customHeight="1">
      <c r="A20" s="3" t="inlineStr">
        <is>
          <t>12616286</t>
        </is>
      </c>
      <c r="B20" s="3" t="inlineStr">
        <is>
          <t>13-04-2026</t>
        </is>
      </c>
      <c r="C20" s="3" t="inlineStr">
        <is>
          <t>Blau</t>
        </is>
      </c>
      <c r="D20" s="3" t="inlineStr">
        <is>
          <t>34130</t>
        </is>
      </c>
      <c r="E20" s="4" t="inlineStr">
        <is>
          <t>Lucky Bamboo Espiral</t>
        </is>
      </c>
      <c r="F20" s="4" t="inlineStr">
        <is>
          <t>Oriental</t>
        </is>
      </c>
      <c r="G20" s="4" t="inlineStr">
        <is>
          <t>COLOR Verde · ALTURA 30 cm · LONGITUD BROTE 3-5 cm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IMAGE("https://cdn.verdnatura.es/image/catalog/1600x900/34130")</f>
        <v/>
      </c>
      <c r="L20" s="5" t="n"/>
      <c r="M20" s="6" t="n"/>
      <c r="N20" s="7" t="n"/>
      <c r="O20" s="8" t="n">
        <v>1.24</v>
      </c>
      <c r="P20" s="8" t="n">
        <v>12.4</v>
      </c>
    </row>
    <row r="21" ht="110" customHeight="1">
      <c r="A21" s="3" t="inlineStr">
        <is>
          <t>12616286</t>
        </is>
      </c>
      <c r="B21" s="3" t="inlineStr">
        <is>
          <t>13-04-2026</t>
        </is>
      </c>
      <c r="C21" s="3" t="inlineStr">
        <is>
          <t>Blau</t>
        </is>
      </c>
      <c r="D21" s="3" t="inlineStr">
        <is>
          <t>34050</t>
        </is>
      </c>
      <c r="E21" s="4" t="inlineStr">
        <is>
          <t>Lucky Bamboo Recto</t>
        </is>
      </c>
      <c r="F21" s="4" t="inlineStr">
        <is>
          <t>Oriental</t>
        </is>
      </c>
      <c r="G21" s="4" t="inlineStr">
        <is>
          <t>COLOR Verde · ALTURA 50 cm · LONGITUD BROTE 0-1 cm</t>
        </is>
      </c>
      <c r="H21" s="3" t="inlineStr"/>
      <c r="I21" s="3" t="n">
        <v>10</v>
      </c>
      <c r="J21" s="3" t="inlineStr">
        <is>
          <t>10 шт.</t>
        </is>
      </c>
      <c r="K21" s="4">
        <f>IMAGE("https://cdn.verdnatura.es/image/catalog/1600x900/34050")</f>
        <v/>
      </c>
      <c r="L21" s="5" t="n"/>
      <c r="M21" s="6" t="n"/>
      <c r="N21" s="7" t="n"/>
      <c r="O21" s="8" t="n">
        <v>1.05</v>
      </c>
      <c r="P21" s="8" t="n">
        <v>10.5</v>
      </c>
    </row>
    <row r="22" ht="110" customHeight="1">
      <c r="A22" s="3" t="inlineStr">
        <is>
          <t>12616286</t>
        </is>
      </c>
      <c r="B22" s="3" t="inlineStr">
        <is>
          <t>13-04-2026</t>
        </is>
      </c>
      <c r="C22" s="3" t="inlineStr">
        <is>
          <t>Blau</t>
        </is>
      </c>
      <c r="D22" s="3" t="inlineStr">
        <is>
          <t>110294</t>
        </is>
      </c>
      <c r="E22" s="4" t="inlineStr">
        <is>
          <t>Madroño SEL</t>
        </is>
      </c>
      <c r="F22" s="4" t="inlineStr"/>
      <c r="G22" s="4" t="inlineStr">
        <is>
          <t>COLOR Verde · ALTURA 60 cm</t>
        </is>
      </c>
      <c r="H22" s="3" t="inlineStr">
        <is>
          <t>Paquete</t>
        </is>
      </c>
      <c r="I22" s="3" t="n">
        <v>5</v>
      </c>
      <c r="J22" s="3" t="inlineStr">
        <is>
          <t>5 пачек</t>
        </is>
      </c>
      <c r="K22" s="4">
        <f>IMAGE("https://cdn.verdnatura.es/image/catalog/1600x900/110294")</f>
        <v/>
      </c>
      <c r="L22" s="5" t="n"/>
      <c r="M22" s="6" t="n"/>
      <c r="N22" s="7" t="n"/>
      <c r="O22" s="8" t="n">
        <v>1.6</v>
      </c>
      <c r="P22" s="8" t="n">
        <v>8</v>
      </c>
    </row>
    <row r="23" ht="110" customHeight="1">
      <c r="A23" s="3" t="inlineStr">
        <is>
          <t>12616286</t>
        </is>
      </c>
      <c r="B23" s="3" t="inlineStr">
        <is>
          <t>13-04-2026</t>
        </is>
      </c>
      <c r="C23" s="3" t="inlineStr">
        <is>
          <t>Blau</t>
        </is>
      </c>
      <c r="D23" s="3" t="inlineStr">
        <is>
          <t>199575</t>
        </is>
      </c>
      <c r="E23" s="4" t="inlineStr">
        <is>
          <t>Photinia Red Robin 400 gr</t>
        </is>
      </c>
      <c r="F23" s="4" t="inlineStr"/>
      <c r="G23" s="4" t="inlineStr">
        <is>
          <t>COLOR Granate · ALTURA 60 cm</t>
        </is>
      </c>
      <c r="H23" s="3" t="inlineStr">
        <is>
          <t>Paquete</t>
        </is>
      </c>
      <c r="I23" s="3" t="n">
        <v>3</v>
      </c>
      <c r="J23" s="3" t="inlineStr">
        <is>
          <t>3 пачек</t>
        </is>
      </c>
      <c r="K23" s="4">
        <f>IMAGE("https://cdn.verdnatura.es/image/catalog/1600x900/199575")</f>
        <v/>
      </c>
      <c r="L23" s="5" t="n"/>
      <c r="M23" s="6" t="n"/>
      <c r="N23" s="7" t="n"/>
      <c r="O23" s="8" t="n">
        <v>3.55</v>
      </c>
      <c r="P23" s="8" t="n">
        <v>10.65</v>
      </c>
    </row>
    <row r="24" ht="110" customHeight="1">
      <c r="A24" s="3" t="inlineStr">
        <is>
          <t>12616286</t>
        </is>
      </c>
      <c r="B24" s="3" t="inlineStr">
        <is>
          <t>13-04-2026</t>
        </is>
      </c>
      <c r="C24" s="3" t="inlineStr">
        <is>
          <t>Blau</t>
        </is>
      </c>
      <c r="D24" s="3" t="inlineStr">
        <is>
          <t>153248</t>
        </is>
      </c>
      <c r="E24" s="4" t="inlineStr">
        <is>
          <t>RSR Chimo</t>
        </is>
      </c>
      <c r="F24" s="4" t="inlineStr">
        <is>
          <t>Holla Roses</t>
        </is>
      </c>
      <c r="G24" s="4" t="inlineStr">
        <is>
          <t>COLOR Fucsia · ALTURA 40 cm · TAMAÑO BOTON Pequeño</t>
        </is>
      </c>
      <c r="H24" s="3" t="inlineStr"/>
      <c r="I24" s="3" t="n">
        <v>40</v>
      </c>
      <c r="J24" s="3" t="inlineStr">
        <is>
          <t>40 шт.</t>
        </is>
      </c>
      <c r="K24" s="4">
        <f>IMAGE("https://cdn.verdnatura.es/image/catalog/1600x900/153248")</f>
        <v/>
      </c>
      <c r="L24" s="5" t="n"/>
      <c r="M24" s="6" t="n"/>
      <c r="N24" s="7" t="n"/>
      <c r="O24" s="8" t="n">
        <v>0.24</v>
      </c>
      <c r="P24" s="8" t="n">
        <v>9.6</v>
      </c>
    </row>
    <row r="25" ht="110" customHeight="1">
      <c r="A25" s="3" t="inlineStr">
        <is>
          <t>12616286</t>
        </is>
      </c>
      <c r="B25" s="3" t="inlineStr">
        <is>
          <t>13-04-2026</t>
        </is>
      </c>
      <c r="C25" s="3" t="inlineStr">
        <is>
          <t>Blau</t>
        </is>
      </c>
      <c r="D25" s="3" t="inlineStr">
        <is>
          <t>47847</t>
        </is>
      </c>
      <c r="E25" s="4" t="inlineStr">
        <is>
          <t>RSR Sancerre</t>
        </is>
      </c>
      <c r="F25" s="4" t="inlineStr">
        <is>
          <t>Braam Roses</t>
        </is>
      </c>
      <c r="G25" s="4" t="inlineStr">
        <is>
          <t>COLOR Crema · ALTURA 50 cm</t>
        </is>
      </c>
      <c r="H25" s="3" t="inlineStr"/>
      <c r="I25" s="3" t="n">
        <v>40</v>
      </c>
      <c r="J25" s="3" t="inlineStr">
        <is>
          <t>40 шт.</t>
        </is>
      </c>
      <c r="K25" s="4">
        <f>IMAGE("https://cdn.verdnatura.es/image/catalog/1600x900/47847")</f>
        <v/>
      </c>
      <c r="L25" s="5" t="n"/>
      <c r="M25" s="6" t="n"/>
      <c r="N25" s="7" t="n"/>
      <c r="O25" s="8" t="n">
        <v>0.34</v>
      </c>
      <c r="P25" s="8" t="n">
        <v>13.6</v>
      </c>
    </row>
    <row r="26" ht="110" customHeight="1">
      <c r="A26" s="3" t="inlineStr">
        <is>
          <t>12616286</t>
        </is>
      </c>
      <c r="B26" s="3" t="inlineStr">
        <is>
          <t>13-04-2026</t>
        </is>
      </c>
      <c r="C26" s="3" t="inlineStr">
        <is>
          <t>Blau</t>
        </is>
      </c>
      <c r="D26" s="3" t="inlineStr">
        <is>
          <t>129896</t>
        </is>
      </c>
      <c r="E26" s="4" t="inlineStr">
        <is>
          <t>TUL Energy4all</t>
        </is>
      </c>
      <c r="F26" s="4" t="inlineStr"/>
      <c r="G26" s="4" t="inlineStr">
        <is>
          <t>COLOR Blanco/Rosa · ALTURA 37 cm · PESO/TALLO 34 gr</t>
        </is>
      </c>
      <c r="H26" s="3" t="inlineStr"/>
      <c r="I26" s="3" t="n">
        <v>100</v>
      </c>
      <c r="J26" s="3" t="inlineStr">
        <is>
          <t>100 шт.</t>
        </is>
      </c>
      <c r="K26" s="4">
        <f>IMAGE("https://cdn.verdnatura.es/image/catalog/1600x900/129896")</f>
        <v/>
      </c>
      <c r="L26" s="5" t="n"/>
      <c r="M26" s="6" t="n"/>
      <c r="N26" s="7" t="n"/>
      <c r="O26" s="8" t="n">
        <v>0.4</v>
      </c>
      <c r="P26" s="8" t="n">
        <v>40</v>
      </c>
    </row>
    <row r="27" ht="110" customHeight="1">
      <c r="A27" s="3" t="inlineStr">
        <is>
          <t>12616286</t>
        </is>
      </c>
      <c r="B27" s="3" t="inlineStr">
        <is>
          <t>13-04-2026</t>
        </is>
      </c>
      <c r="C27" s="3" t="inlineStr">
        <is>
          <t>Blau</t>
        </is>
      </c>
      <c r="D27" s="3" t="inlineStr">
        <is>
          <t>30766</t>
        </is>
      </c>
      <c r="E27" s="4" t="inlineStr">
        <is>
          <t>TUL Pretty Princes</t>
        </is>
      </c>
      <c r="F27" s="4" t="inlineStr"/>
      <c r="G27" s="4" t="inlineStr">
        <is>
          <t>COLOR Rojo/Rosa · ALTURA 36 cm · PESO/TALLO 30 gr</t>
        </is>
      </c>
      <c r="H27" s="3" t="inlineStr"/>
      <c r="I27" s="3" t="n">
        <v>50</v>
      </c>
      <c r="J27" s="3" t="inlineStr">
        <is>
          <t>50 шт.</t>
        </is>
      </c>
      <c r="K27" s="4">
        <f>IMAGE("https://cdn.verdnatura.es/image/catalog/1600x900/30766")</f>
        <v/>
      </c>
      <c r="L27" s="5" t="n"/>
      <c r="M27" s="6" t="n"/>
      <c r="N27" s="7" t="n"/>
      <c r="O27" s="8" t="n">
        <v>0.21</v>
      </c>
      <c r="P27" s="8" t="n">
        <v>10.5</v>
      </c>
    </row>
    <row r="28" ht="26" customHeight="1">
      <c r="A28" s="2" t="inlineStr">
        <is>
          <t>📦  Накладная #12617734  ·  13-04-2026  ·  Blau  ·  2 позиций  ·  bultos: 2</t>
        </is>
      </c>
    </row>
    <row r="29" ht="110" customHeight="1">
      <c r="A29" s="3" t="inlineStr">
        <is>
          <t>12617734</t>
        </is>
      </c>
      <c r="B29" s="3" t="inlineStr">
        <is>
          <t>13-04-2026</t>
        </is>
      </c>
      <c r="C29" s="3" t="inlineStr">
        <is>
          <t>Blau</t>
        </is>
      </c>
      <c r="D29" s="3" t="inlineStr">
        <is>
          <t>94839</t>
        </is>
      </c>
      <c r="E29" s="4" t="inlineStr">
        <is>
          <t>Sanseviera Futura Superba</t>
        </is>
      </c>
      <c r="F29" s="4" t="inlineStr">
        <is>
          <t>GroWplant</t>
        </is>
      </c>
      <c r="G29" s="4" t="inlineStr">
        <is>
          <t>COLOR Matizado · ALTURA 45 cm · MACETA 14</t>
        </is>
      </c>
      <c r="H29" s="3" t="inlineStr"/>
      <c r="I29" s="3" t="n">
        <v>7</v>
      </c>
      <c r="J29" s="3" t="inlineStr">
        <is>
          <t>7 шт.</t>
        </is>
      </c>
      <c r="K29" s="4">
        <f>IMAGE("https://cdn.verdnatura.es/image/catalog/1600x900/94839")</f>
        <v/>
      </c>
      <c r="L29" s="5" t="n"/>
      <c r="M29" s="6" t="n"/>
      <c r="N29" s="7" t="n"/>
      <c r="O29" s="8" t="n">
        <v>5.89</v>
      </c>
      <c r="P29" s="8" t="n">
        <v>41.23</v>
      </c>
    </row>
    <row r="30" ht="110" customHeight="1">
      <c r="A30" s="3" t="inlineStr">
        <is>
          <t>12617734</t>
        </is>
      </c>
      <c r="B30" s="3" t="inlineStr">
        <is>
          <t>13-04-2026</t>
        </is>
      </c>
      <c r="C30" s="3" t="inlineStr">
        <is>
          <t>Blau</t>
        </is>
      </c>
      <c r="D30" s="3" t="inlineStr">
        <is>
          <t>170217</t>
        </is>
      </c>
      <c r="E30" s="4" t="inlineStr">
        <is>
          <t>Suculentas Mix</t>
        </is>
      </c>
      <c r="F30" s="4" t="inlineStr">
        <is>
          <t>VP</t>
        </is>
      </c>
      <c r="G30" s="4" t="inlineStr">
        <is>
          <t>COLOR Verde · ALTURA 12 cm · MACETA 5,5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IMAGE("https://cdn.verdnatura.es/image/catalog/1600x900/170217")</f>
        <v/>
      </c>
      <c r="L30" s="5" t="n"/>
      <c r="M30" s="6" t="n"/>
      <c r="N30" s="7" t="n"/>
      <c r="O30" s="8" t="n">
        <v>0.48</v>
      </c>
      <c r="P30" s="8" t="n">
        <v>9.6</v>
      </c>
    </row>
    <row r="31" ht="26" customHeight="1">
      <c r="A31" s="2" t="inlineStr">
        <is>
          <t>📦  Накладная #12621030  ·  13-04-2026  ·  Blau  ·  2 позиций  ·  bultos: 1</t>
        </is>
      </c>
    </row>
    <row r="32" ht="110" customHeight="1">
      <c r="A32" s="3" t="inlineStr">
        <is>
          <t>12621030</t>
        </is>
      </c>
      <c r="B32" s="3" t="inlineStr">
        <is>
          <t>13-04-2026</t>
        </is>
      </c>
      <c r="C32" s="3" t="inlineStr">
        <is>
          <t>Blau</t>
        </is>
      </c>
      <c r="D32" s="3" t="inlineStr">
        <is>
          <t>177160</t>
        </is>
      </c>
      <c r="E32" s="4" t="inlineStr">
        <is>
          <t>· Rosa Mondial EXT</t>
        </is>
      </c>
      <c r="F32" s="4" t="inlineStr">
        <is>
          <t>Ecuador</t>
        </is>
      </c>
      <c r="G32" s="4" t="inlineStr">
        <is>
          <t>COLOR Blanco · ALTURA 60 cm · BOTÓN MINIMO 6 cm</t>
        </is>
      </c>
      <c r="H32" s="3" t="inlineStr"/>
      <c r="I32" s="3" t="n">
        <v>25</v>
      </c>
      <c r="J32" s="3" t="inlineStr">
        <is>
          <t>25 шт.</t>
        </is>
      </c>
      <c r="K32" s="4">
        <f>IMAGE("https://cdn.verdnatura.es/image/catalog/1600x900/177160")</f>
        <v/>
      </c>
      <c r="L32" s="5" t="n"/>
      <c r="M32" s="6" t="n"/>
      <c r="N32" s="7" t="n"/>
      <c r="O32" s="8" t="n">
        <v>0.68</v>
      </c>
      <c r="P32" s="8" t="n">
        <v>17</v>
      </c>
    </row>
    <row r="33" ht="110" customHeight="1">
      <c r="A33" s="3" t="inlineStr">
        <is>
          <t>12621030</t>
        </is>
      </c>
      <c r="B33" s="3" t="inlineStr">
        <is>
          <t>13-04-2026</t>
        </is>
      </c>
      <c r="C33" s="3" t="inlineStr">
        <is>
          <t>Blau</t>
        </is>
      </c>
      <c r="D33" s="3" t="inlineStr">
        <is>
          <t>177397</t>
        </is>
      </c>
      <c r="E33" s="4" t="inlineStr">
        <is>
          <t>RS Freedom EXT</t>
        </is>
      </c>
      <c r="F33" s="4" t="inlineStr">
        <is>
          <t>Ecuador</t>
        </is>
      </c>
      <c r="G33" s="4" t="inlineStr">
        <is>
          <t>COLOR Rojo · ALTURA 60 cm · BOTÓN MINIMO 5.5 cm</t>
        </is>
      </c>
      <c r="H33" s="3" t="inlineStr"/>
      <c r="I33" s="3" t="n">
        <v>25</v>
      </c>
      <c r="J33" s="3" t="inlineStr">
        <is>
          <t>25 шт.</t>
        </is>
      </c>
      <c r="K33" s="4">
        <f>IMAGE("https://cdn.verdnatura.es/image/catalog/1600x900/177397")</f>
        <v/>
      </c>
      <c r="L33" s="5" t="n"/>
      <c r="M33" s="6" t="n"/>
      <c r="N33" s="7" t="n"/>
      <c r="O33" s="8" t="n">
        <v>0.6899999999999999</v>
      </c>
      <c r="P33" s="8" t="n">
        <v>17.25</v>
      </c>
    </row>
    <row r="34" ht="26" customHeight="1">
      <c r="A34" s="2" t="inlineStr">
        <is>
          <t>📦  Накладная #12614028  ·  14-04-2026  ·  Blau  ·  4 позиций  ·  bultos: 1</t>
        </is>
      </c>
    </row>
    <row r="35" ht="110" customHeight="1">
      <c r="A35" s="3" t="inlineStr">
        <is>
          <t>12614028</t>
        </is>
      </c>
      <c r="B35" s="3" t="inlineStr">
        <is>
          <t>14-04-2026</t>
        </is>
      </c>
      <c r="C35" s="3" t="inlineStr">
        <is>
          <t>Blau</t>
        </is>
      </c>
      <c r="D35" s="3" t="inlineStr">
        <is>
          <t>171540</t>
        </is>
      </c>
      <c r="E35" s="4" t="inlineStr">
        <is>
          <t>PAN Small Bloom SD 40 gr</t>
        </is>
      </c>
      <c r="F35" s="4" t="inlineStr">
        <is>
          <t>Santa Dorotea</t>
        </is>
      </c>
      <c r="G35" s="4" t="inlineStr">
        <is>
          <t>COLOR Blanco · ALTURA 80 cm · TAMAÑO FLOR S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IMAGE("https://cdn.verdnatura.es/image/catalog/1600x900/171540")</f>
        <v/>
      </c>
      <c r="L35" s="5" t="n"/>
      <c r="M35" s="6" t="n"/>
      <c r="N35" s="7" t="n"/>
      <c r="O35" s="8" t="n">
        <v>0.5</v>
      </c>
      <c r="P35" s="8" t="n">
        <v>12.5</v>
      </c>
    </row>
    <row r="36" ht="110" customHeight="1">
      <c r="A36" s="3" t="inlineStr">
        <is>
          <t>12614028</t>
        </is>
      </c>
      <c r="B36" s="3" t="inlineStr">
        <is>
          <t>14-04-2026</t>
        </is>
      </c>
      <c r="C36" s="3" t="inlineStr">
        <is>
          <t>Blau</t>
        </is>
      </c>
      <c r="D36" s="3" t="inlineStr">
        <is>
          <t>189190</t>
        </is>
      </c>
      <c r="E36" s="4" t="inlineStr">
        <is>
          <t>RS Be Sweet EXT</t>
        </is>
      </c>
      <c r="F36" s="4" t="inlineStr">
        <is>
          <t>Ecuador</t>
        </is>
      </c>
      <c r="G36" s="4" t="inlineStr">
        <is>
          <t>COLOR Rosa Claro · ALTURA 60 cm · BOTÓN MINIMO 5.5 cm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IMAGE("https://cdn.verdnatura.es/image/catalog/1600x900/189190")</f>
        <v/>
      </c>
      <c r="L36" s="5" t="n"/>
      <c r="M36" s="6" t="n"/>
      <c r="N36" s="7" t="n"/>
      <c r="O36" s="8" t="n">
        <v>0.65</v>
      </c>
      <c r="P36" s="8" t="n">
        <v>16.25</v>
      </c>
    </row>
    <row r="37" ht="110" customHeight="1">
      <c r="A37" s="3" t="inlineStr">
        <is>
          <t>12614028</t>
        </is>
      </c>
      <c r="B37" s="3" t="inlineStr">
        <is>
          <t>14-04-2026</t>
        </is>
      </c>
      <c r="C37" s="3" t="inlineStr">
        <is>
          <t>Blau</t>
        </is>
      </c>
      <c r="D37" s="3" t="inlineStr">
        <is>
          <t>198853</t>
        </is>
      </c>
      <c r="E37" s="4" t="inlineStr">
        <is>
          <t>RS Bumblebee EXT</t>
        </is>
      </c>
      <c r="F37" s="4" t="inlineStr">
        <is>
          <t>Native</t>
        </is>
      </c>
      <c r="G37" s="4" t="inlineStr">
        <is>
          <t>COLOR Amarillo · ALTURA 50 cm · BOTÓN MINIMO 6 cm</t>
        </is>
      </c>
      <c r="H37" s="3" t="inlineStr"/>
      <c r="I37" s="3" t="n">
        <v>25</v>
      </c>
      <c r="J37" s="3" t="inlineStr">
        <is>
          <t>25 шт.</t>
        </is>
      </c>
      <c r="K37" s="4">
        <f>IMAGE("https://cdn.verdnatura.es/image/catalog/1600x900/198853")</f>
        <v/>
      </c>
      <c r="L37" s="5" t="n"/>
      <c r="M37" s="6" t="n"/>
      <c r="N37" s="7" t="n"/>
      <c r="O37" s="8" t="n">
        <v>0.62</v>
      </c>
      <c r="P37" s="8" t="n">
        <v>15.5</v>
      </c>
    </row>
    <row r="38" ht="110" customHeight="1">
      <c r="A38" s="3" t="inlineStr">
        <is>
          <t>12614028</t>
        </is>
      </c>
      <c r="B38" s="3" t="inlineStr">
        <is>
          <t>14-04-2026</t>
        </is>
      </c>
      <c r="C38" s="3" t="inlineStr">
        <is>
          <t>Blau</t>
        </is>
      </c>
      <c r="D38" s="3" t="inlineStr">
        <is>
          <t>180334</t>
        </is>
      </c>
      <c r="E38" s="4" t="inlineStr">
        <is>
          <t>RS Country Blues PRE</t>
        </is>
      </c>
      <c r="F38" s="4" t="inlineStr">
        <is>
          <t>Agrivaldani</t>
        </is>
      </c>
      <c r="G38" s="4" t="inlineStr">
        <is>
          <t>COLOR Rosa · ALTURA 50 cm · BOTÓN MINIMO 5 cm</t>
        </is>
      </c>
      <c r="H38" s="3" t="inlineStr"/>
      <c r="I38" s="3" t="n">
        <v>25</v>
      </c>
      <c r="J38" s="3" t="inlineStr">
        <is>
          <t>25 шт.</t>
        </is>
      </c>
      <c r="K38" s="4">
        <f>IMAGE("https://cdn.verdnatura.es/image/catalog/1600x900/180334")</f>
        <v/>
      </c>
      <c r="L38" s="5" t="n"/>
      <c r="M38" s="6" t="n"/>
      <c r="N38" s="7" t="n"/>
      <c r="O38" s="8" t="n">
        <v>0.66</v>
      </c>
      <c r="P38" s="8" t="n">
        <v>16.5</v>
      </c>
    </row>
  </sheetData>
  <mergeCells count="5">
    <mergeCell ref="A28:P28"/>
    <mergeCell ref="A31:P31"/>
    <mergeCell ref="A34:P34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2026-06-22T21:39:02Z</dcterms:created>
  <dcterms:modified xmlns:dcterms="http://purl.org/dc/terms/" xmlns:xsi="http://www.w3.org/2001/XMLSchema-instance" xsi:type="dcterms:W3CDTF">2026-06-22T21:39:02Z</dcterms:modified>
</cp:coreProperties>
</file>