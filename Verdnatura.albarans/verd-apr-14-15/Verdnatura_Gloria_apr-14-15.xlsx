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#12607769  ·  13-04-2026  ·  Gloria  ·  2 позиций  ·  bultos: 2</t>
        </is>
      </c>
    </row>
    <row r="3" ht="110" customHeight="1">
      <c r="A3" s="3" t="inlineStr">
        <is>
          <t>12607769</t>
        </is>
      </c>
      <c r="B3" s="3" t="inlineStr">
        <is>
          <t>13-04-2026</t>
        </is>
      </c>
      <c r="C3" s="3" t="inlineStr">
        <is>
          <t>Gloria</t>
        </is>
      </c>
      <c r="D3" s="3" t="inlineStr">
        <is>
          <t>79033</t>
        </is>
      </c>
      <c r="E3" s="4" t="inlineStr">
        <is>
          <t>ANT Royal Champion PRO 4Flo</t>
        </is>
      </c>
      <c r="F3" s="4" t="inlineStr">
        <is>
          <t>Breugem Plants BV</t>
        </is>
      </c>
      <c r="G3" s="4" t="inlineStr">
        <is>
          <t>COLOR Rojo · ALTURA 40 cm · MACETA 12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IMAGE("https://cdn.verdnatura.es/image/catalog/1600x900/79033")</f>
        <v/>
      </c>
      <c r="L3" s="5" t="n"/>
      <c r="M3" s="6" t="n"/>
      <c r="N3" s="7" t="n"/>
      <c r="O3" s="8" t="n">
        <v>5.92</v>
      </c>
      <c r="P3" s="8" t="n">
        <v>59.2</v>
      </c>
    </row>
    <row r="4" ht="110" customHeight="1">
      <c r="A4" s="3" t="inlineStr">
        <is>
          <t>12607769</t>
        </is>
      </c>
      <c r="B4" s="3" t="inlineStr">
        <is>
          <t>13-04-2026</t>
        </is>
      </c>
      <c r="C4" s="3" t="inlineStr">
        <is>
          <t>Gloria</t>
        </is>
      </c>
      <c r="D4" s="3" t="inlineStr">
        <is>
          <t>192716</t>
        </is>
      </c>
      <c r="E4" s="4" t="inlineStr">
        <is>
          <t>KAL Love Cerámica</t>
        </is>
      </c>
      <c r="F4" s="4" t="inlineStr">
        <is>
          <t>Eurotrend</t>
        </is>
      </c>
      <c r="G4" s="4" t="inlineStr">
        <is>
          <t>COLOR Mixto · ALTURA 15 cm · MACETA 15</t>
        </is>
      </c>
      <c r="H4" s="3" t="inlineStr"/>
      <c r="I4" s="3" t="n">
        <v>8</v>
      </c>
      <c r="J4" s="3" t="inlineStr">
        <is>
          <t>8 шт.</t>
        </is>
      </c>
      <c r="K4" s="4">
        <f>IMAGE("https://cdn.verdnatura.es/image/catalog/1600x900/192716")</f>
        <v/>
      </c>
      <c r="L4" s="5" t="n"/>
      <c r="M4" s="6" t="n"/>
      <c r="N4" s="7" t="n"/>
      <c r="O4" s="8" t="n">
        <v>4.35</v>
      </c>
      <c r="P4" s="8" t="n">
        <v>34.8</v>
      </c>
    </row>
    <row r="5" ht="26" customHeight="1">
      <c r="A5" s="2" t="inlineStr">
        <is>
          <t>📦  Накладная #12616292  ·  13-04-2026  ·  Gloria  ·  16 позиций  ·  bultos: 2</t>
        </is>
      </c>
    </row>
    <row r="6" ht="110" customHeight="1">
      <c r="A6" s="3" t="inlineStr">
        <is>
          <t>12616292</t>
        </is>
      </c>
      <c r="B6" s="3" t="inlineStr">
        <is>
          <t>13-04-2026</t>
        </is>
      </c>
      <c r="C6" s="3" t="inlineStr">
        <is>
          <t>Gloria</t>
        </is>
      </c>
      <c r="D6" s="3" t="inlineStr">
        <is>
          <t>198753</t>
        </is>
      </c>
      <c r="E6" s="4" t="inlineStr">
        <is>
          <t>CR Altaj Orange 105 gr</t>
        </is>
      </c>
      <c r="F6" s="4" t="inlineStr">
        <is>
          <t>Zentoo</t>
        </is>
      </c>
      <c r="G6" s="4" t="inlineStr">
        <is>
          <t>COLOR Naranja · ALTURA 70 cm · PESO/TALLO 105 gr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IMAGE("https://cdn.verdnatura.es/image/catalog/1600x900/198753")</f>
        <v/>
      </c>
      <c r="L6" s="5" t="n"/>
      <c r="M6" s="6" t="n"/>
      <c r="N6" s="7" t="n"/>
      <c r="O6" s="8" t="n">
        <v>0.72</v>
      </c>
      <c r="P6" s="8" t="n">
        <v>14.4</v>
      </c>
    </row>
    <row r="7" ht="110" customHeight="1">
      <c r="A7" s="3" t="inlineStr">
        <is>
          <t>12616292</t>
        </is>
      </c>
      <c r="B7" s="3" t="inlineStr">
        <is>
          <t>13-04-2026</t>
        </is>
      </c>
      <c r="C7" s="3" t="inlineStr">
        <is>
          <t>Gloria</t>
        </is>
      </c>
      <c r="D7" s="3" t="inlineStr">
        <is>
          <t>198748</t>
        </is>
      </c>
      <c r="E7" s="4" t="inlineStr">
        <is>
          <t>CR Altaj Terracotta 105 gr</t>
        </is>
      </c>
      <c r="F7" s="4" t="inlineStr">
        <is>
          <t>Zentoo</t>
        </is>
      </c>
      <c r="G7" s="4" t="inlineStr">
        <is>
          <t>COLOR Teja · ALTURA 70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IMAGE("https://cdn.verdnatura.es/image/catalog/1600x900/198748")</f>
        <v/>
      </c>
      <c r="L7" s="5" t="n"/>
      <c r="M7" s="6" t="n"/>
      <c r="N7" s="7" t="n"/>
      <c r="O7" s="8" t="n">
        <v>0.65</v>
      </c>
      <c r="P7" s="8" t="n">
        <v>13</v>
      </c>
    </row>
    <row r="8" ht="110" customHeight="1">
      <c r="A8" s="3" t="inlineStr">
        <is>
          <t>12616292</t>
        </is>
      </c>
      <c r="B8" s="3" t="inlineStr">
        <is>
          <t>13-04-2026</t>
        </is>
      </c>
      <c r="C8" s="3" t="inlineStr">
        <is>
          <t>Gloria</t>
        </is>
      </c>
      <c r="D8" s="3" t="inlineStr">
        <is>
          <t>136126</t>
        </is>
      </c>
      <c r="E8" s="4" t="inlineStr">
        <is>
          <t>CR Dotty Pink</t>
        </is>
      </c>
      <c r="F8" s="4" t="inlineStr">
        <is>
          <t>Benchmark</t>
        </is>
      </c>
      <c r="G8" s="4" t="inlineStr">
        <is>
          <t>COLOR Rosa · ALTURA 70 cm · PESO/TALLO 40-45 gr</t>
        </is>
      </c>
      <c r="H8" s="3" t="inlineStr"/>
      <c r="I8" s="3" t="n">
        <v>40</v>
      </c>
      <c r="J8" s="3" t="inlineStr">
        <is>
          <t>40 шт.</t>
        </is>
      </c>
      <c r="K8" s="4">
        <f>IMAGE("https://cdn.verdnatura.es/image/catalog/1600x900/136126")</f>
        <v/>
      </c>
      <c r="L8" s="5" t="n"/>
      <c r="M8" s="6" t="n"/>
      <c r="N8" s="7" t="n"/>
      <c r="O8" s="8" t="n">
        <v>0.36</v>
      </c>
      <c r="P8" s="8" t="n">
        <v>14.4</v>
      </c>
    </row>
    <row r="9" ht="110" customHeight="1">
      <c r="A9" s="3" t="inlineStr">
        <is>
          <t>12616292</t>
        </is>
      </c>
      <c r="B9" s="3" t="inlineStr">
        <is>
          <t>13-04-2026</t>
        </is>
      </c>
      <c r="C9" s="3" t="inlineStr">
        <is>
          <t>Gloria</t>
        </is>
      </c>
      <c r="D9" s="3" t="inlineStr">
        <is>
          <t>191852</t>
        </is>
      </c>
      <c r="E9" s="4" t="inlineStr">
        <is>
          <t>CRU Kalimba Orange 100 gr</t>
        </is>
      </c>
      <c r="F9" s="4" t="inlineStr">
        <is>
          <t>Decorum Arcadia</t>
        </is>
      </c>
      <c r="G9" s="4" t="inlineStr">
        <is>
          <t>COLOR Naranja · ALTURA 70 cm · PESO/TALLO 90 gr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IMAGE("https://cdn.verdnatura.es/image/catalog/1600x900/191852")</f>
        <v/>
      </c>
      <c r="L9" s="5" t="n"/>
      <c r="M9" s="6" t="n"/>
      <c r="N9" s="7" t="n"/>
      <c r="O9" s="8" t="n">
        <v>0.73</v>
      </c>
      <c r="P9" s="8" t="n">
        <v>14.6</v>
      </c>
    </row>
    <row r="10" ht="110" customHeight="1">
      <c r="A10" s="3" t="inlineStr">
        <is>
          <t>12616292</t>
        </is>
      </c>
      <c r="B10" s="3" t="inlineStr">
        <is>
          <t>13-04-2026</t>
        </is>
      </c>
      <c r="C10" s="3" t="inlineStr">
        <is>
          <t>Gloria</t>
        </is>
      </c>
      <c r="D10" s="3" t="inlineStr">
        <is>
          <t>1</t>
        </is>
      </c>
      <c r="E10" s="4" t="inlineStr">
        <is>
          <t>EUC Cinerea</t>
        </is>
      </c>
      <c r="F10" s="4" t="inlineStr">
        <is>
          <t>L'Arenal</t>
        </is>
      </c>
      <c r="G10" s="4" t="inlineStr">
        <is>
          <t>COLOR Lividum · ALTURA 60 cm</t>
        </is>
      </c>
      <c r="H10" s="3" t="inlineStr">
        <is>
          <t>Paquete</t>
        </is>
      </c>
      <c r="I10" s="3" t="n">
        <v>5</v>
      </c>
      <c r="J10" s="3" t="inlineStr">
        <is>
          <t>5 пачек</t>
        </is>
      </c>
      <c r="K10" s="4">
        <f>IMAGE("https://cdn.verdnatura.es/image/catalog/1600x900/1")</f>
        <v/>
      </c>
      <c r="L10" s="5" t="n"/>
      <c r="M10" s="6" t="n"/>
      <c r="N10" s="7" t="n"/>
      <c r="O10" s="8" t="n">
        <v>3.1</v>
      </c>
      <c r="P10" s="8" t="n">
        <v>15.5</v>
      </c>
    </row>
    <row r="11" ht="110" customHeight="1">
      <c r="A11" s="3" t="inlineStr">
        <is>
          <t>12616292</t>
        </is>
      </c>
      <c r="B11" s="3" t="inlineStr">
        <is>
          <t>13-04-2026</t>
        </is>
      </c>
      <c r="C11" s="3" t="inlineStr">
        <is>
          <t>Gloria</t>
        </is>
      </c>
      <c r="D11" s="3" t="inlineStr">
        <is>
          <t>200008</t>
        </is>
      </c>
      <c r="E11" s="4" t="inlineStr">
        <is>
          <t>Leucanthemum Harmony 25</t>
        </is>
      </c>
      <c r="F11" s="4" t="inlineStr"/>
      <c r="G11" s="4" t="inlineStr">
        <is>
          <t>COLOR Blanco · ALTURA 45 cm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IMAGE("https://cdn.verdnatura.es/image/catalog/1600x900/200008")</f>
        <v/>
      </c>
      <c r="L11" s="5" t="n"/>
      <c r="M11" s="6" t="n"/>
      <c r="N11" s="7" t="n"/>
      <c r="O11" s="8" t="n">
        <v>0.22</v>
      </c>
      <c r="P11" s="8" t="n">
        <v>5.5</v>
      </c>
    </row>
    <row r="12" ht="110" customHeight="1">
      <c r="A12" s="3" t="inlineStr">
        <is>
          <t>12616292</t>
        </is>
      </c>
      <c r="B12" s="3" t="inlineStr">
        <is>
          <t>13-04-2026</t>
        </is>
      </c>
      <c r="C12" s="3" t="inlineStr">
        <is>
          <t>Gloria</t>
        </is>
      </c>
      <c r="D12" s="3" t="inlineStr">
        <is>
          <t>82171</t>
        </is>
      </c>
      <c r="E12" s="4" t="inlineStr">
        <is>
          <t>LIM N SIN Kansas Blue</t>
        </is>
      </c>
      <c r="F12" s="4" t="inlineStr">
        <is>
          <t>Hnos Niño</t>
        </is>
      </c>
      <c r="G12" s="4" t="inlineStr">
        <is>
          <t>COLOR Azul · ALTURA 70 cm · PESO/TALLO 30 gr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IMAGE("https://cdn.verdnatura.es/image/catalog/1600x900/82171")</f>
        <v/>
      </c>
      <c r="L12" s="5" t="n"/>
      <c r="M12" s="6" t="n"/>
      <c r="N12" s="7" t="n"/>
      <c r="O12" s="8" t="n">
        <v>0.28</v>
      </c>
      <c r="P12" s="8" t="n">
        <v>7</v>
      </c>
    </row>
    <row r="13" ht="110" customHeight="1">
      <c r="A13" s="3" t="inlineStr">
        <is>
          <t>12616292</t>
        </is>
      </c>
      <c r="B13" s="3" t="inlineStr">
        <is>
          <t>13-04-2026</t>
        </is>
      </c>
      <c r="C13" s="3" t="inlineStr">
        <is>
          <t>Gloria</t>
        </is>
      </c>
      <c r="D13" s="3" t="inlineStr">
        <is>
          <t>59957</t>
        </is>
      </c>
      <c r="E13" s="4" t="inlineStr">
        <is>
          <t>LO Master 4-5</t>
        </is>
      </c>
      <c r="F13" s="4" t="inlineStr">
        <is>
          <t>Bredefleur</t>
        </is>
      </c>
      <c r="G13" s="4" t="inlineStr">
        <is>
          <t>COLOR Rosa Claro · ALTURA 95 cm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IMAGE("https://cdn.verdnatura.es/image/catalog/1600x900/59957")</f>
        <v/>
      </c>
      <c r="L13" s="5" t="n"/>
      <c r="M13" s="6" t="n"/>
      <c r="N13" s="7" t="n"/>
      <c r="O13" s="8" t="n">
        <v>2.11</v>
      </c>
      <c r="P13" s="8" t="n">
        <v>21.1</v>
      </c>
    </row>
    <row r="14" ht="110" customHeight="1">
      <c r="A14" s="3" t="inlineStr">
        <is>
          <t>12616292</t>
        </is>
      </c>
      <c r="B14" s="3" t="inlineStr">
        <is>
          <t>13-04-2026</t>
        </is>
      </c>
      <c r="C14" s="3" t="inlineStr">
        <is>
          <t>Gloria</t>
        </is>
      </c>
      <c r="D14" s="3" t="inlineStr">
        <is>
          <t>200815</t>
        </is>
      </c>
      <c r="E14" s="4" t="inlineStr">
        <is>
          <t>Peonia Pink Hawaiian Coral</t>
        </is>
      </c>
      <c r="F14" s="4" t="inlineStr">
        <is>
          <t>Dominique</t>
        </is>
      </c>
      <c r="G14" s="4" t="inlineStr">
        <is>
          <t>COLOR Rosa · ALTURA 50 cm · APERTURA 2-3</t>
        </is>
      </c>
      <c r="H14" s="3" t="inlineStr"/>
      <c r="I14" s="3" t="n">
        <v>40</v>
      </c>
      <c r="J14" s="3" t="inlineStr">
        <is>
          <t>40 шт.</t>
        </is>
      </c>
      <c r="K14" s="4">
        <f>IMAGE("https://cdn.verdnatura.es/image/catalog/1600x900/200815")</f>
        <v/>
      </c>
      <c r="L14" s="5" t="n"/>
      <c r="M14" s="6" t="n"/>
      <c r="N14" s="7" t="n"/>
      <c r="O14" s="8" t="n">
        <v>1.16</v>
      </c>
      <c r="P14" s="8" t="n">
        <v>46.4</v>
      </c>
    </row>
    <row r="15" ht="110" customHeight="1">
      <c r="A15" s="3" t="inlineStr">
        <is>
          <t>12616292</t>
        </is>
      </c>
      <c r="B15" s="3" t="inlineStr">
        <is>
          <t>13-04-2026</t>
        </is>
      </c>
      <c r="C15" s="3" t="inlineStr">
        <is>
          <t>Gloria</t>
        </is>
      </c>
      <c r="D15" s="3" t="inlineStr">
        <is>
          <t>199575</t>
        </is>
      </c>
      <c r="E15" s="4" t="inlineStr">
        <is>
          <t>Photinia Red Robin 400 gr</t>
        </is>
      </c>
      <c r="F15" s="4" t="inlineStr"/>
      <c r="G15" s="4" t="inlineStr">
        <is>
          <t>COLOR Granate · ALTURA 60 cm</t>
        </is>
      </c>
      <c r="H15" s="3" t="inlineStr">
        <is>
          <t>Paquete</t>
        </is>
      </c>
      <c r="I15" s="3" t="n">
        <v>5</v>
      </c>
      <c r="J15" s="3" t="inlineStr">
        <is>
          <t>5 пачек</t>
        </is>
      </c>
      <c r="K15" s="4">
        <f>IMAGE("https://cdn.verdnatura.es/image/catalog/1600x900/199575")</f>
        <v/>
      </c>
      <c r="L15" s="5" t="n"/>
      <c r="M15" s="6" t="n"/>
      <c r="N15" s="7" t="n"/>
      <c r="O15" s="8" t="n">
        <v>3.54</v>
      </c>
      <c r="P15" s="8" t="n">
        <v>17.7</v>
      </c>
    </row>
    <row r="16" ht="110" customHeight="1">
      <c r="A16" s="3" t="inlineStr">
        <is>
          <t>12616292</t>
        </is>
      </c>
      <c r="B16" s="3" t="inlineStr">
        <is>
          <t>13-04-2026</t>
        </is>
      </c>
      <c r="C16" s="3" t="inlineStr">
        <is>
          <t>Gloria</t>
        </is>
      </c>
      <c r="D16" s="3" t="inlineStr">
        <is>
          <t>149</t>
        </is>
      </c>
      <c r="E16" s="4" t="inlineStr">
        <is>
          <t>PITT Nigra 150 gr</t>
        </is>
      </c>
      <c r="F16" s="4" t="inlineStr"/>
      <c r="G16" s="4" t="inlineStr">
        <is>
          <t>COLOR Matizado · ALTURA 50 cm</t>
        </is>
      </c>
      <c r="H16" s="3" t="inlineStr">
        <is>
          <t>Paquete</t>
        </is>
      </c>
      <c r="I16" s="3" t="n">
        <v>5</v>
      </c>
      <c r="J16" s="3" t="inlineStr">
        <is>
          <t>5 пачек</t>
        </is>
      </c>
      <c r="K16" s="4">
        <f>IMAGE("https://cdn.verdnatura.es/image/catalog/1600x900/149")</f>
        <v/>
      </c>
      <c r="L16" s="5" t="n"/>
      <c r="M16" s="6" t="n"/>
      <c r="N16" s="7" t="n"/>
      <c r="O16" s="8" t="n">
        <v>2.63</v>
      </c>
      <c r="P16" s="8" t="n">
        <v>13.15</v>
      </c>
    </row>
    <row r="17" ht="110" customHeight="1">
      <c r="A17" s="3" t="inlineStr">
        <is>
          <t>12616292</t>
        </is>
      </c>
      <c r="B17" s="3" t="inlineStr">
        <is>
          <t>13-04-2026</t>
        </is>
      </c>
      <c r="C17" s="3" t="inlineStr">
        <is>
          <t>Gloria</t>
        </is>
      </c>
      <c r="D17" s="3" t="inlineStr">
        <is>
          <t>137268</t>
        </is>
      </c>
      <c r="E17" s="4" t="inlineStr">
        <is>
          <t>RS Mondial EXT</t>
        </is>
      </c>
      <c r="F17" s="4" t="inlineStr">
        <is>
          <t>Santa Dorotea</t>
        </is>
      </c>
      <c r="G17" s="4" t="inlineStr">
        <is>
          <t>COLOR Blanco · ALTURA 60 cm · BOTÓN MINIMO 6 cm</t>
        </is>
      </c>
      <c r="H17" s="3" t="inlineStr"/>
      <c r="I17" s="3" t="n">
        <v>25</v>
      </c>
      <c r="J17" s="3" t="inlineStr">
        <is>
          <t>25 шт.</t>
        </is>
      </c>
      <c r="K17" s="4">
        <f>IMAGE("https://cdn.verdnatura.es/image/catalog/1600x900/137268")</f>
        <v/>
      </c>
      <c r="L17" s="5" t="n"/>
      <c r="M17" s="6" t="n"/>
      <c r="N17" s="7" t="n"/>
      <c r="O17" s="8" t="n">
        <v>0.68</v>
      </c>
      <c r="P17" s="8" t="n">
        <v>17</v>
      </c>
    </row>
    <row r="18" ht="110" customHeight="1">
      <c r="A18" s="3" t="inlineStr">
        <is>
          <t>12616292</t>
        </is>
      </c>
      <c r="B18" s="3" t="inlineStr">
        <is>
          <t>13-04-2026</t>
        </is>
      </c>
      <c r="C18" s="3" t="inlineStr">
        <is>
          <t>Gloria</t>
        </is>
      </c>
      <c r="D18" s="3" t="inlineStr">
        <is>
          <t>158357</t>
        </is>
      </c>
      <c r="E18" s="4" t="inlineStr">
        <is>
          <t>TRACH Lake Michigan</t>
        </is>
      </c>
      <c r="F18" s="4" t="inlineStr"/>
      <c r="G18" s="4" t="inlineStr">
        <is>
          <t>COLOR Blanco · ALTURA 60 cm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IMAGE("https://cdn.verdnatura.es/image/catalog/1600x900/158357")</f>
        <v/>
      </c>
      <c r="L18" s="5" t="n"/>
      <c r="M18" s="6" t="n"/>
      <c r="N18" s="7" t="n"/>
      <c r="O18" s="8" t="n">
        <v>0.36</v>
      </c>
      <c r="P18" s="8" t="n">
        <v>18</v>
      </c>
    </row>
    <row r="19" ht="110" customHeight="1">
      <c r="A19" s="3" t="inlineStr">
        <is>
          <t>12616292</t>
        </is>
      </c>
      <c r="B19" s="3" t="inlineStr">
        <is>
          <t>13-04-2026</t>
        </is>
      </c>
      <c r="C19" s="3" t="inlineStr">
        <is>
          <t>Gloria</t>
        </is>
      </c>
      <c r="D19" s="3" t="inlineStr">
        <is>
          <t>201048</t>
        </is>
      </c>
      <c r="E19" s="4" t="inlineStr">
        <is>
          <t>TUL Canyon Double</t>
        </is>
      </c>
      <c r="F19" s="4" t="inlineStr"/>
      <c r="G19" s="4" t="inlineStr">
        <is>
          <t>COLOR Burdeos · ALTURA 36 cm · PESO/TALLO 40 gr</t>
        </is>
      </c>
      <c r="H19" s="3" t="inlineStr"/>
      <c r="I19" s="3" t="n">
        <v>150</v>
      </c>
      <c r="J19" s="3" t="inlineStr">
        <is>
          <t>150 шт.</t>
        </is>
      </c>
      <c r="K19" s="4">
        <f>IMAGE("https://cdn.verdnatura.es/image/catalog/1600x900/201048")</f>
        <v/>
      </c>
      <c r="L19" s="5" t="n"/>
      <c r="M19" s="6" t="n"/>
      <c r="N19" s="7" t="n"/>
      <c r="O19" s="8" t="n">
        <v>0.26</v>
      </c>
      <c r="P19" s="8" t="n">
        <v>39</v>
      </c>
    </row>
    <row r="20" ht="110" customHeight="1">
      <c r="A20" s="3" t="inlineStr">
        <is>
          <t>12616292</t>
        </is>
      </c>
      <c r="B20" s="3" t="inlineStr">
        <is>
          <t>13-04-2026</t>
        </is>
      </c>
      <c r="C20" s="3" t="inlineStr">
        <is>
          <t>Gloria</t>
        </is>
      </c>
      <c r="D20" s="3" t="inlineStr">
        <is>
          <t>129896</t>
        </is>
      </c>
      <c r="E20" s="4" t="inlineStr">
        <is>
          <t>TUL Energy4all</t>
        </is>
      </c>
      <c r="F20" s="4" t="inlineStr"/>
      <c r="G20" s="4" t="inlineStr">
        <is>
          <t>COLOR Blanco/Rosa · ALTURA 37 cm · PESO/TALLO 34 gr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IMAGE("https://cdn.verdnatura.es/image/catalog/1600x900/129896")</f>
        <v/>
      </c>
      <c r="L20" s="5" t="n"/>
      <c r="M20" s="6" t="n"/>
      <c r="N20" s="7" t="n"/>
      <c r="O20" s="8" t="n">
        <v>0.4</v>
      </c>
      <c r="P20" s="8" t="n">
        <v>20</v>
      </c>
    </row>
    <row r="21" ht="110" customHeight="1">
      <c r="A21" s="3" t="inlineStr">
        <is>
          <t>12616292</t>
        </is>
      </c>
      <c r="B21" s="3" t="inlineStr">
        <is>
          <t>13-04-2026</t>
        </is>
      </c>
      <c r="C21" s="3" t="inlineStr">
        <is>
          <t>Gloria</t>
        </is>
      </c>
      <c r="D21" s="3" t="inlineStr">
        <is>
          <t>30766</t>
        </is>
      </c>
      <c r="E21" s="4" t="inlineStr">
        <is>
          <t>TUL Pretty Princes</t>
        </is>
      </c>
      <c r="F21" s="4" t="inlineStr"/>
      <c r="G21" s="4" t="inlineStr">
        <is>
          <t>COLOR Rojo/Rosa · ALTURA 36 cm · PESO/TALLO 30 gr</t>
        </is>
      </c>
      <c r="H21" s="3" t="inlineStr"/>
      <c r="I21" s="3" t="n">
        <v>100</v>
      </c>
      <c r="J21" s="3" t="inlineStr">
        <is>
          <t>100 шт.</t>
        </is>
      </c>
      <c r="K21" s="4">
        <f>IMAGE("https://cdn.verdnatura.es/image/catalog/1600x900/30766")</f>
        <v/>
      </c>
      <c r="L21" s="5" t="n"/>
      <c r="M21" s="6" t="n"/>
      <c r="N21" s="7" t="n"/>
      <c r="O21" s="8" t="n">
        <v>0.22</v>
      </c>
      <c r="P21" s="8" t="n">
        <v>22</v>
      </c>
    </row>
    <row r="22" ht="26" customHeight="1">
      <c r="A22" s="2" t="inlineStr">
        <is>
          <t>📦  Накладная #12617727  ·  13-04-2026  ·  Gloria  ·  2 позиций  ·  bultos: 2</t>
        </is>
      </c>
    </row>
    <row r="23" ht="110" customHeight="1">
      <c r="A23" s="3" t="inlineStr">
        <is>
          <t>12617727</t>
        </is>
      </c>
      <c r="B23" s="3" t="inlineStr">
        <is>
          <t>13-04-2026</t>
        </is>
      </c>
      <c r="C23" s="3" t="inlineStr">
        <is>
          <t>Gloria</t>
        </is>
      </c>
      <c r="D23" s="3" t="inlineStr">
        <is>
          <t>144489</t>
        </is>
      </c>
      <c r="E23" s="4" t="inlineStr">
        <is>
          <t>PHAL 3T Cerámica Kolibri Mix (</t>
        </is>
      </c>
      <c r="F23" s="4" t="inlineStr">
        <is>
          <t>OK Plant</t>
        </is>
      </c>
      <c r="G23" s="4" t="inlineStr">
        <is>
          <t>COLOR Mixto · ALTURA 40 cm · MACETA 9</t>
        </is>
      </c>
      <c r="H23" s="3" t="inlineStr"/>
      <c r="I23" s="3" t="n">
        <v>8</v>
      </c>
      <c r="J23" s="3" t="inlineStr">
        <is>
          <t>8 шт.</t>
        </is>
      </c>
      <c r="K23" s="4">
        <f>IMAGE("https://cdn.verdnatura.es/image/catalog/1600x900/144489")</f>
        <v/>
      </c>
      <c r="L23" s="5" t="n"/>
      <c r="M23" s="6" t="n"/>
      <c r="N23" s="7" t="n"/>
      <c r="O23" s="8" t="n">
        <v>9.02</v>
      </c>
      <c r="P23" s="8" t="n">
        <v>72.16</v>
      </c>
    </row>
    <row r="24" ht="110" customHeight="1">
      <c r="A24" s="3" t="inlineStr">
        <is>
          <t>12617727</t>
        </is>
      </c>
      <c r="B24" s="3" t="inlineStr">
        <is>
          <t>13-04-2026</t>
        </is>
      </c>
      <c r="C24" s="3" t="inlineStr">
        <is>
          <t>Gloria</t>
        </is>
      </c>
      <c r="D24" s="3" t="inlineStr">
        <is>
          <t>136346</t>
        </is>
      </c>
      <c r="E24" s="4" t="inlineStr">
        <is>
          <t>PHAL 3T Mix (5 Colors) MF PRO</t>
        </is>
      </c>
      <c r="F24" s="4" t="inlineStr">
        <is>
          <t>Riza Ter Laak Orchios</t>
        </is>
      </c>
      <c r="G24" s="4" t="inlineStr">
        <is>
          <t>COLOR Mixto · ALTURA 30 cm · MACETA 9</t>
        </is>
      </c>
      <c r="H24" s="3" t="inlineStr"/>
      <c r="I24" s="3" t="n">
        <v>6</v>
      </c>
      <c r="J24" s="3" t="inlineStr">
        <is>
          <t>6 шт.</t>
        </is>
      </c>
      <c r="K24" s="4">
        <f>IMAGE("https://cdn.verdnatura.es/image/catalog/1600x900/136346")</f>
        <v/>
      </c>
      <c r="L24" s="5" t="n"/>
      <c r="M24" s="6" t="n"/>
      <c r="N24" s="7" t="n"/>
      <c r="O24" s="8" t="n">
        <v>7.45</v>
      </c>
      <c r="P24" s="8" t="n">
        <v>44.7</v>
      </c>
    </row>
    <row r="25" ht="26" customHeight="1">
      <c r="A25" s="2" t="inlineStr">
        <is>
          <t>📦  Накладная #12614108  ·  14-04-2026  ·  Gloria  ·  1 позиций  ·  bultos: 1</t>
        </is>
      </c>
    </row>
    <row r="26" ht="110" customHeight="1">
      <c r="A26" s="3" t="inlineStr">
        <is>
          <t>12614108</t>
        </is>
      </c>
      <c r="B26" s="3" t="inlineStr">
        <is>
          <t>14-04-2026</t>
        </is>
      </c>
      <c r="C26" s="3" t="inlineStr">
        <is>
          <t>Gloria</t>
        </is>
      </c>
      <c r="D26" s="3" t="inlineStr">
        <is>
          <t>189190</t>
        </is>
      </c>
      <c r="E26" s="4" t="inlineStr">
        <is>
          <t>RS Be Sweet EXT</t>
        </is>
      </c>
      <c r="F26" s="4" t="inlineStr">
        <is>
          <t>Ecuador</t>
        </is>
      </c>
      <c r="G26" s="4" t="inlineStr">
        <is>
          <t>COLOR Rosa Claro · ALTURA 60 cm · BOTÓN MINIMO 5.5 cm</t>
        </is>
      </c>
      <c r="H26" s="3" t="inlineStr"/>
      <c r="I26" s="3" t="n">
        <v>25</v>
      </c>
      <c r="J26" s="3" t="inlineStr">
        <is>
          <t>25 шт.</t>
        </is>
      </c>
      <c r="K26" s="4">
        <f>IMAGE("https://cdn.verdnatura.es/image/catalog/1600x900/189190")</f>
        <v/>
      </c>
      <c r="L26" s="5" t="n"/>
      <c r="M26" s="6" t="n"/>
      <c r="N26" s="7" t="n"/>
      <c r="O26" s="8" t="n">
        <v>0.65</v>
      </c>
      <c r="P26" s="8" t="n">
        <v>16.25</v>
      </c>
    </row>
  </sheetData>
  <mergeCells count="4">
    <mergeCell ref="A22:P22"/>
    <mergeCell ref="A5:P5"/>
    <mergeCell ref="A25:P2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2026-06-22T21:39:02Z</dcterms:created>
  <dcterms:modified xmlns:dcterms="http://purl.org/dc/terms/" xmlns:xsi="http://www.w3.org/2001/XMLSchema-instance" xsi:type="dcterms:W3CDTF">2026-06-22T21:39:02Z</dcterms:modified>
</cp:coreProperties>
</file>