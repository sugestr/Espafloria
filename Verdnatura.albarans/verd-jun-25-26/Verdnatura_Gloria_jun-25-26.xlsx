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#13014120  ·  24-06-2026  ·  Gloria  ·  3 позиций  ·  bultos: 1</t>
        </is>
      </c>
    </row>
    <row r="3" ht="110" customHeight="1">
      <c r="A3" s="3" t="inlineStr">
        <is>
          <t>13014120</t>
        </is>
      </c>
      <c r="B3" s="3" t="inlineStr">
        <is>
          <t>24-06-2026</t>
        </is>
      </c>
      <c r="C3" s="3" t="inlineStr">
        <is>
          <t>Gloria</t>
        </is>
      </c>
      <c r="D3" s="3" t="inlineStr">
        <is>
          <t>181647</t>
        </is>
      </c>
      <c r="E3" s="4" t="inlineStr">
        <is>
          <t>+ CR Becky</t>
        </is>
      </c>
      <c r="F3" s="4" t="inlineStr">
        <is>
          <t>Capiro</t>
        </is>
      </c>
      <c r="G3" s="4" t="inlineStr">
        <is>
          <t>COLOR Rosa · ALTURA 70 cm · PESO/TALLO 40-45 gr</t>
        </is>
      </c>
      <c r="H3" s="3" t="inlineStr"/>
      <c r="I3" s="3" t="n">
        <v>30</v>
      </c>
      <c r="J3" s="3" t="inlineStr">
        <is>
          <t>30 шт.</t>
        </is>
      </c>
      <c r="K3" s="4">
        <f>IMAGE("https://cdn.verdnatura.es/image/catalog/1600x900/181647")</f>
        <v/>
      </c>
      <c r="L3" s="5" t="n"/>
      <c r="M3" s="6" t="n"/>
      <c r="N3" s="7" t="n"/>
      <c r="O3" s="8" t="n">
        <v>0.36</v>
      </c>
      <c r="P3" s="8" t="n">
        <v>10.8</v>
      </c>
    </row>
    <row r="4" ht="110" customHeight="1">
      <c r="A4" s="3" t="inlineStr">
        <is>
          <t>13014120</t>
        </is>
      </c>
      <c r="B4" s="3" t="inlineStr">
        <is>
          <t>24-06-2026</t>
        </is>
      </c>
      <c r="C4" s="3" t="inlineStr">
        <is>
          <t>Gloria</t>
        </is>
      </c>
      <c r="D4" s="3" t="inlineStr">
        <is>
          <t>5103</t>
        </is>
      </c>
      <c r="E4" s="4" t="inlineStr">
        <is>
          <t>Pelarosa Goma</t>
        </is>
      </c>
      <c r="F4" s="4" t="inlineStr">
        <is>
          <t>Oasis</t>
        </is>
      </c>
      <c r="G4" s="4" t="inlineStr"/>
      <c r="H4" s="3" t="inlineStr"/>
      <c r="I4" s="3" t="n">
        <v>1</v>
      </c>
      <c r="J4" s="3" t="inlineStr">
        <is>
          <t>1 шт.</t>
        </is>
      </c>
      <c r="K4" s="4">
        <f>IMAGE("https://cdn.verdnatura.es/image/catalog/1600x900/5103")</f>
        <v/>
      </c>
      <c r="L4" s="5" t="n"/>
      <c r="M4" s="6" t="n"/>
      <c r="N4" s="7" t="n"/>
      <c r="O4" s="8" t="n">
        <v>8.58</v>
      </c>
      <c r="P4" s="8" t="n">
        <v>8.58</v>
      </c>
    </row>
    <row r="5" ht="110" customHeight="1">
      <c r="A5" s="3" t="inlineStr">
        <is>
          <t>13014120</t>
        </is>
      </c>
      <c r="B5" s="3" t="inlineStr">
        <is>
          <t>24-06-2026</t>
        </is>
      </c>
      <c r="C5" s="3" t="inlineStr">
        <is>
          <t>Gloria</t>
        </is>
      </c>
      <c r="D5" s="3" t="inlineStr">
        <is>
          <t>17624</t>
        </is>
      </c>
      <c r="E5" s="4" t="inlineStr">
        <is>
          <t>Pelarosa Plastico</t>
        </is>
      </c>
      <c r="F5" s="4" t="inlineStr">
        <is>
          <t>Oasis</t>
        </is>
      </c>
      <c r="G5" s="4" t="inlineStr">
        <is>
          <t>COLOR Amarillo</t>
        </is>
      </c>
      <c r="H5" s="3" t="inlineStr"/>
      <c r="I5" s="3" t="n">
        <v>1</v>
      </c>
      <c r="J5" s="3" t="inlineStr">
        <is>
          <t>1 шт.</t>
        </is>
      </c>
      <c r="K5" s="4">
        <f>IMAGE("https://cdn.verdnatura.es/image/catalog/1600x900/17624")</f>
        <v/>
      </c>
      <c r="L5" s="5" t="n"/>
      <c r="M5" s="6" t="n"/>
      <c r="N5" s="7" t="n"/>
      <c r="O5" s="8" t="n">
        <v>4.63</v>
      </c>
      <c r="P5" s="8" t="n">
        <v>4.63</v>
      </c>
    </row>
    <row r="6" ht="26" customHeight="1">
      <c r="A6" s="2" t="inlineStr">
        <is>
          <t>📦  Накладная #13014678  ·  24-06-2026  ·  Gloria  ·  8 позиций  ·  bultos: 8</t>
        </is>
      </c>
    </row>
    <row r="7" ht="110" customHeight="1">
      <c r="A7" s="3" t="inlineStr">
        <is>
          <t>13014678</t>
        </is>
      </c>
      <c r="B7" s="3" t="inlineStr">
        <is>
          <t>24-06-2026</t>
        </is>
      </c>
      <c r="C7" s="3" t="inlineStr">
        <is>
          <t>Gloria</t>
        </is>
      </c>
      <c r="D7" s="3" t="inlineStr">
        <is>
          <t>136249</t>
        </is>
      </c>
      <c r="E7" s="4" t="inlineStr">
        <is>
          <t>ANT Aristo Cerámica Roja PRO 5</t>
        </is>
      </c>
      <c r="F7" s="4" t="inlineStr">
        <is>
          <t>Amazone plants</t>
        </is>
      </c>
      <c r="G7" s="4" t="inlineStr">
        <is>
          <t>COLOR Rojo · ALTURA 40 cm · MACETA 12</t>
        </is>
      </c>
      <c r="H7" s="3" t="inlineStr"/>
      <c r="I7" s="3" t="n">
        <v>6</v>
      </c>
      <c r="J7" s="3" t="inlineStr">
        <is>
          <t>6 шт.</t>
        </is>
      </c>
      <c r="K7" s="4">
        <f>IMAGE("https://cdn.verdnatura.es/image/catalog/1600x900/136249")</f>
        <v/>
      </c>
      <c r="L7" s="5" t="n"/>
      <c r="M7" s="6" t="n"/>
      <c r="N7" s="7" t="n"/>
      <c r="O7" s="8" t="n">
        <v>7.44</v>
      </c>
      <c r="P7" s="8" t="n">
        <v>44.64</v>
      </c>
    </row>
    <row r="8" ht="110" customHeight="1">
      <c r="A8" s="3" t="inlineStr">
        <is>
          <t>13014678</t>
        </is>
      </c>
      <c r="B8" s="3" t="inlineStr">
        <is>
          <t>24-06-2026</t>
        </is>
      </c>
      <c r="C8" s="3" t="inlineStr">
        <is>
          <t>Gloria</t>
        </is>
      </c>
      <c r="D8" s="3" t="inlineStr">
        <is>
          <t>102939</t>
        </is>
      </c>
      <c r="E8" s="4" t="inlineStr">
        <is>
          <t>ANT Madural PRO 5Flo</t>
        </is>
      </c>
      <c r="F8" s="4" t="inlineStr">
        <is>
          <t>Breugem Plants BV</t>
        </is>
      </c>
      <c r="G8" s="4" t="inlineStr">
        <is>
          <t>COLOR Rojo · ALTURA 50 cm · MACETA 14</t>
        </is>
      </c>
      <c r="H8" s="3" t="inlineStr"/>
      <c r="I8" s="3" t="n">
        <v>8</v>
      </c>
      <c r="J8" s="3" t="inlineStr">
        <is>
          <t>8 шт.</t>
        </is>
      </c>
      <c r="K8" s="4">
        <f>IMAGE("https://cdn.verdnatura.es/image/catalog/1600x900/102939")</f>
        <v/>
      </c>
      <c r="L8" s="5" t="n"/>
      <c r="M8" s="6" t="n"/>
      <c r="N8" s="7" t="n"/>
      <c r="O8" s="8" t="n">
        <v>5.21</v>
      </c>
      <c r="P8" s="8" t="n">
        <v>41.68</v>
      </c>
    </row>
    <row r="9" ht="110" customHeight="1">
      <c r="A9" s="3" t="inlineStr">
        <is>
          <t>13014678</t>
        </is>
      </c>
      <c r="B9" s="3" t="inlineStr">
        <is>
          <t>24-06-2026</t>
        </is>
      </c>
      <c r="C9" s="3" t="inlineStr">
        <is>
          <t>Gloria</t>
        </is>
      </c>
      <c r="D9" s="3" t="inlineStr">
        <is>
          <t>133844</t>
        </is>
      </c>
      <c r="E9" s="4" t="inlineStr">
        <is>
          <t>KAL Mix Cesta PRO</t>
        </is>
      </c>
      <c r="F9" s="4" t="inlineStr">
        <is>
          <t>Tisento Flowers &amp; Plants BV</t>
        </is>
      </c>
      <c r="G9" s="4" t="inlineStr">
        <is>
          <t>COLOR Mixto · ALTURA 30 cm · MACETA 24</t>
        </is>
      </c>
      <c r="H9" s="3" t="inlineStr"/>
      <c r="I9" s="3" t="n">
        <v>4</v>
      </c>
      <c r="J9" s="3" t="inlineStr">
        <is>
          <t>4 шт.</t>
        </is>
      </c>
      <c r="K9" s="4">
        <f>IMAGE("https://cdn.verdnatura.es/image/catalog/1600x900/133844")</f>
        <v/>
      </c>
      <c r="L9" s="5" t="n"/>
      <c r="M9" s="6" t="n"/>
      <c r="N9" s="7" t="n"/>
      <c r="O9" s="8" t="n">
        <v>7.79</v>
      </c>
      <c r="P9" s="8" t="n">
        <v>31.16</v>
      </c>
    </row>
    <row r="10" ht="110" customHeight="1">
      <c r="A10" s="3" t="inlineStr">
        <is>
          <t>13014678</t>
        </is>
      </c>
      <c r="B10" s="3" t="inlineStr">
        <is>
          <t>24-06-2026</t>
        </is>
      </c>
      <c r="C10" s="3" t="inlineStr">
        <is>
          <t>Gloria</t>
        </is>
      </c>
      <c r="D10" s="3" t="inlineStr">
        <is>
          <t>141216</t>
        </is>
      </c>
      <c r="E10" s="4" t="inlineStr">
        <is>
          <t>PHAL 2T Mix Supreme MF PRO</t>
        </is>
      </c>
      <c r="F10" s="4" t="inlineStr">
        <is>
          <t>Pannekoek Orchideeen</t>
        </is>
      </c>
      <c r="G10" s="4" t="inlineStr">
        <is>
          <t>COLOR Mixto · ALTURA 55 cm · MACETA 12</t>
        </is>
      </c>
      <c r="H10" s="3" t="inlineStr"/>
      <c r="I10" s="3" t="n">
        <v>10</v>
      </c>
      <c r="J10" s="3" t="inlineStr">
        <is>
          <t>10 шт.</t>
        </is>
      </c>
      <c r="K10" s="4">
        <f>IMAGE("https://cdn.verdnatura.es/image/catalog/1600x900/141216")</f>
        <v/>
      </c>
      <c r="L10" s="5" t="n"/>
      <c r="M10" s="6" t="n"/>
      <c r="N10" s="7" t="n"/>
      <c r="O10" s="8" t="n">
        <v>6.23</v>
      </c>
      <c r="P10" s="8" t="n">
        <v>62.3</v>
      </c>
    </row>
    <row r="11" ht="110" customHeight="1">
      <c r="A11" s="3" t="inlineStr">
        <is>
          <t>13014678</t>
        </is>
      </c>
      <c r="B11" s="3" t="inlineStr">
        <is>
          <t>24-06-2026</t>
        </is>
      </c>
      <c r="C11" s="3" t="inlineStr">
        <is>
          <t>Gloria</t>
        </is>
      </c>
      <c r="D11" s="3" t="inlineStr">
        <is>
          <t>175250</t>
        </is>
      </c>
      <c r="E11" s="4" t="inlineStr">
        <is>
          <t>Suculentas Mix (in Brasil)</t>
        </is>
      </c>
      <c r="F11" s="4" t="inlineStr">
        <is>
          <t>Ovata BV</t>
        </is>
      </c>
      <c r="G11" s="4" t="inlineStr">
        <is>
          <t>COLOR Mixto · ALTURA 14 cm · MACETA 15</t>
        </is>
      </c>
      <c r="H11" s="3" t="inlineStr"/>
      <c r="I11" s="3" t="n">
        <v>4</v>
      </c>
      <c r="J11" s="3" t="inlineStr">
        <is>
          <t>4 шт.</t>
        </is>
      </c>
      <c r="K11" s="4">
        <f>IMAGE("https://cdn.verdnatura.es/image/catalog/1600x900/175250")</f>
        <v/>
      </c>
      <c r="L11" s="5" t="n"/>
      <c r="M11" s="6" t="n"/>
      <c r="N11" s="7" t="n"/>
      <c r="O11" s="8" t="n">
        <v>5.45</v>
      </c>
      <c r="P11" s="8" t="n">
        <v>21.8</v>
      </c>
    </row>
    <row r="12" ht="110" customHeight="1">
      <c r="A12" s="3" t="inlineStr">
        <is>
          <t>13014678</t>
        </is>
      </c>
      <c r="B12" s="3" t="inlineStr">
        <is>
          <t>24-06-2026</t>
        </is>
      </c>
      <c r="C12" s="3" t="inlineStr">
        <is>
          <t>Gloria</t>
        </is>
      </c>
      <c r="D12" s="3" t="inlineStr">
        <is>
          <t>117145</t>
        </is>
      </c>
      <c r="E12" s="4" t="inlineStr">
        <is>
          <t>Suculentas Mix (In Sao Paulo)</t>
        </is>
      </c>
      <c r="F12" s="4" t="inlineStr">
        <is>
          <t>Ovata BV</t>
        </is>
      </c>
      <c r="G12" s="4" t="inlineStr">
        <is>
          <t>COLOR Mixto · ALTURA 9 cm · MACETA 7</t>
        </is>
      </c>
      <c r="H12" s="3" t="inlineStr"/>
      <c r="I12" s="3" t="n">
        <v>15</v>
      </c>
      <c r="J12" s="3" t="inlineStr">
        <is>
          <t>15 шт.</t>
        </is>
      </c>
      <c r="K12" s="4">
        <f>IMAGE("https://cdn.verdnatura.es/image/catalog/1600x900/117145")</f>
        <v/>
      </c>
      <c r="L12" s="5" t="n"/>
      <c r="M12" s="6" t="n"/>
      <c r="N12" s="7" t="n"/>
      <c r="O12" s="8" t="n">
        <v>1.89</v>
      </c>
      <c r="P12" s="8" t="n">
        <v>28.35</v>
      </c>
    </row>
    <row r="13" ht="110" customHeight="1">
      <c r="A13" s="3" t="inlineStr">
        <is>
          <t>13014678</t>
        </is>
      </c>
      <c r="B13" s="3" t="inlineStr">
        <is>
          <t>24-06-2026</t>
        </is>
      </c>
      <c r="C13" s="3" t="inlineStr">
        <is>
          <t>Gloria</t>
        </is>
      </c>
      <c r="D13" s="3" t="inlineStr">
        <is>
          <t>18188</t>
        </is>
      </c>
      <c r="E13" s="4" t="inlineStr">
        <is>
          <t>Vriesia Astrid</t>
        </is>
      </c>
      <c r="F13" s="4" t="inlineStr">
        <is>
          <t>LKP Plants</t>
        </is>
      </c>
      <c r="G13" s="4" t="inlineStr">
        <is>
          <t>COLOR Rojo · ALTURA 35 cm · MACETA 12</t>
        </is>
      </c>
      <c r="H13" s="3" t="inlineStr"/>
      <c r="I13" s="3" t="n">
        <v>6</v>
      </c>
      <c r="J13" s="3" t="inlineStr">
        <is>
          <t>6 шт.</t>
        </is>
      </c>
      <c r="K13" s="4">
        <f>IMAGE("https://cdn.verdnatura.es/image/catalog/1600x900/18188")</f>
        <v/>
      </c>
      <c r="L13" s="5" t="n"/>
      <c r="M13" s="6" t="n"/>
      <c r="N13" s="7" t="n"/>
      <c r="O13" s="8" t="n">
        <v>3.92</v>
      </c>
      <c r="P13" s="8" t="n">
        <v>23.52</v>
      </c>
    </row>
    <row r="14" ht="110" customHeight="1">
      <c r="A14" s="3" t="inlineStr">
        <is>
          <t>13014678</t>
        </is>
      </c>
      <c r="B14" s="3" t="inlineStr">
        <is>
          <t>24-06-2026</t>
        </is>
      </c>
      <c r="C14" s="3" t="inlineStr">
        <is>
          <t>Gloria</t>
        </is>
      </c>
      <c r="D14" s="3" t="inlineStr">
        <is>
          <t>206316</t>
        </is>
      </c>
      <c r="E14" s="4" t="inlineStr">
        <is>
          <t>Vriesia Happy in Florence Cerá</t>
        </is>
      </c>
      <c r="F14" s="4" t="inlineStr">
        <is>
          <t>Riza Bromelia Specialist</t>
        </is>
      </c>
      <c r="G14" s="4" t="inlineStr">
        <is>
          <t>COLOR Mixto · ALTURA 45 cm · MACETA 12</t>
        </is>
      </c>
      <c r="H14" s="3" t="inlineStr"/>
      <c r="I14" s="3" t="n">
        <v>6</v>
      </c>
      <c r="J14" s="3" t="inlineStr">
        <is>
          <t>6 шт.</t>
        </is>
      </c>
      <c r="K14" s="4">
        <f>IMAGE("https://cdn.verdnatura.es/image/catalog/1600x900/206316")</f>
        <v/>
      </c>
      <c r="L14" s="5" t="n"/>
      <c r="M14" s="6" t="n"/>
      <c r="N14" s="7" t="n"/>
      <c r="O14" s="8" t="n">
        <v>7.14</v>
      </c>
      <c r="P14" s="8" t="n">
        <v>42.84</v>
      </c>
    </row>
  </sheetData>
  <mergeCells count="2">
    <mergeCell ref="A6:P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2026-06-25T11:47:24Z</dcterms:created>
  <dcterms:modified xmlns:dcterms="http://purl.org/dc/terms/" xmlns:xsi="http://www.w3.org/2001/XMLSchema-instance" xsi:type="dcterms:W3CDTF">2026-06-25T11:47:24Z</dcterms:modified>
</cp:coreProperties>
</file>