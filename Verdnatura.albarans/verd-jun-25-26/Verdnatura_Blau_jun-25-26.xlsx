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#13013719  ·  24-06-2026  ·  Blau  ·  12 позиций  ·  bultos: 1</t>
        </is>
      </c>
    </row>
    <row r="3" ht="110" customHeight="1">
      <c r="A3" s="3" t="inlineStr">
        <is>
          <t>13013719</t>
        </is>
      </c>
      <c r="B3" s="3" t="inlineStr">
        <is>
          <t>24-06-2026</t>
        </is>
      </c>
      <c r="C3" s="3" t="inlineStr">
        <is>
          <t>Blau</t>
        </is>
      </c>
      <c r="D3" s="3" t="inlineStr">
        <is>
          <t>27555</t>
        </is>
      </c>
      <c r="E3" s="4" t="inlineStr">
        <is>
          <t>ASP Falcatus</t>
        </is>
      </c>
      <c r="F3" s="4" t="inlineStr"/>
      <c r="G3" s="4" t="inlineStr">
        <is>
          <t>COLOR Verde · ALTURA 40 cm</t>
        </is>
      </c>
      <c r="H3" s="3" t="inlineStr">
        <is>
          <t>Tallo</t>
        </is>
      </c>
      <c r="I3" s="3" t="n">
        <v>50</v>
      </c>
      <c r="J3" s="3" t="inlineStr">
        <is>
          <t>50 стеблей</t>
        </is>
      </c>
      <c r="K3" s="4">
        <f>IMAGE("https://cdn.verdnatura.es/image/catalog/1600x900/27555")</f>
        <v/>
      </c>
      <c r="L3" s="5" t="n"/>
      <c r="M3" s="6" t="n"/>
      <c r="N3" s="7" t="n"/>
      <c r="O3" s="8" t="n">
        <v>0.27</v>
      </c>
      <c r="P3" s="8" t="n">
        <v>13.5</v>
      </c>
    </row>
    <row r="4" ht="110" customHeight="1">
      <c r="A4" s="3" t="inlineStr">
        <is>
          <t>13013719</t>
        </is>
      </c>
      <c r="B4" s="3" t="inlineStr">
        <is>
          <t>24-06-2026</t>
        </is>
      </c>
      <c r="C4" s="3" t="inlineStr">
        <is>
          <t>Blau</t>
        </is>
      </c>
      <c r="D4" s="3" t="inlineStr">
        <is>
          <t>26724</t>
        </is>
      </c>
      <c r="E4" s="4" t="inlineStr">
        <is>
          <t>Eryngium Aquarius</t>
        </is>
      </c>
      <c r="F4" s="4" t="inlineStr">
        <is>
          <t>Marginpar / KN</t>
        </is>
      </c>
      <c r="G4" s="4" t="inlineStr">
        <is>
          <t>COLOR Azul · ALTURA 50 cm</t>
        </is>
      </c>
      <c r="H4" s="3" t="inlineStr"/>
      <c r="I4" s="3" t="n">
        <v>30</v>
      </c>
      <c r="J4" s="3" t="inlineStr">
        <is>
          <t>30 шт.</t>
        </is>
      </c>
      <c r="K4" s="4">
        <f>IMAGE("https://cdn.verdnatura.es/image/catalog/1600x900/26724")</f>
        <v/>
      </c>
      <c r="L4" s="5" t="n"/>
      <c r="M4" s="6" t="n"/>
      <c r="N4" s="7" t="n"/>
      <c r="O4" s="8" t="n">
        <v>0.38</v>
      </c>
      <c r="P4" s="8" t="n">
        <v>11.4</v>
      </c>
    </row>
    <row r="5" ht="110" customHeight="1">
      <c r="A5" s="3" t="inlineStr">
        <is>
          <t>13013719</t>
        </is>
      </c>
      <c r="B5" s="3" t="inlineStr">
        <is>
          <t>24-06-2026</t>
        </is>
      </c>
      <c r="C5" s="3" t="inlineStr">
        <is>
          <t>Blau</t>
        </is>
      </c>
      <c r="D5" s="3" t="inlineStr">
        <is>
          <t>114770</t>
        </is>
      </c>
      <c r="E5" s="4" t="inlineStr">
        <is>
          <t>EUC Cinerea 300 gr</t>
        </is>
      </c>
      <c r="F5" s="4" t="inlineStr"/>
      <c r="G5" s="4" t="inlineStr">
        <is>
          <t>COLOR Lividum · ALTURA 70 cm</t>
        </is>
      </c>
      <c r="H5" s="3" t="inlineStr">
        <is>
          <t>Paquete</t>
        </is>
      </c>
      <c r="I5" s="3" t="n">
        <v>10</v>
      </c>
      <c r="J5" s="3" t="inlineStr">
        <is>
          <t>10 пачек</t>
        </is>
      </c>
      <c r="K5" s="4">
        <f>IMAGE("https://cdn.verdnatura.es/image/catalog/1600x900/114770")</f>
        <v/>
      </c>
      <c r="L5" s="5" t="n"/>
      <c r="M5" s="6" t="n"/>
      <c r="N5" s="7" t="n"/>
      <c r="O5" s="8" t="n">
        <v>3.48</v>
      </c>
      <c r="P5" s="8" t="n">
        <v>34.8</v>
      </c>
    </row>
    <row r="6" ht="110" customHeight="1">
      <c r="A6" s="3" t="inlineStr">
        <is>
          <t>13013719</t>
        </is>
      </c>
      <c r="B6" s="3" t="inlineStr">
        <is>
          <t>24-06-2026</t>
        </is>
      </c>
      <c r="C6" s="3" t="inlineStr">
        <is>
          <t>Blau</t>
        </is>
      </c>
      <c r="D6" s="3" t="inlineStr">
        <is>
          <t>181387</t>
        </is>
      </c>
      <c r="E6" s="4" t="inlineStr">
        <is>
          <t>Helecho Asplenium Naniwa</t>
        </is>
      </c>
      <c r="F6" s="4" t="inlineStr"/>
      <c r="G6" s="4" t="inlineStr">
        <is>
          <t>COLOR Verde · ALTURA 50 cm</t>
        </is>
      </c>
      <c r="H6" s="3" t="inlineStr">
        <is>
          <t>Tallo</t>
        </is>
      </c>
      <c r="I6" s="3" t="n">
        <v>30</v>
      </c>
      <c r="J6" s="3" t="inlineStr">
        <is>
          <t>30 стеблей</t>
        </is>
      </c>
      <c r="K6" s="4">
        <f>IMAGE("https://cdn.verdnatura.es/image/catalog/1600x900/181387")</f>
        <v/>
      </c>
      <c r="L6" s="5" t="n"/>
      <c r="M6" s="6" t="n"/>
      <c r="N6" s="7" t="n"/>
      <c r="O6" s="8" t="n">
        <v>0.25</v>
      </c>
      <c r="P6" s="8" t="n">
        <v>7.5</v>
      </c>
    </row>
    <row r="7" ht="110" customHeight="1">
      <c r="A7" s="3" t="inlineStr">
        <is>
          <t>13013719</t>
        </is>
      </c>
      <c r="B7" s="3" t="inlineStr">
        <is>
          <t>24-06-2026</t>
        </is>
      </c>
      <c r="C7" s="3" t="inlineStr">
        <is>
          <t>Blau</t>
        </is>
      </c>
      <c r="D7" s="3" t="inlineStr">
        <is>
          <t>92026</t>
        </is>
      </c>
      <c r="E7" s="4" t="inlineStr">
        <is>
          <t>LIM N NOR Silver Pink</t>
        </is>
      </c>
      <c r="F7" s="4" t="inlineStr"/>
      <c r="G7" s="4" t="inlineStr">
        <is>
          <t>COLOR Rosa · ALTURA 80 cm · PESO/TALLO 40 gr</t>
        </is>
      </c>
      <c r="H7" s="3" t="inlineStr"/>
      <c r="I7" s="3" t="n">
        <v>50</v>
      </c>
      <c r="J7" s="3" t="inlineStr">
        <is>
          <t>50 шт.</t>
        </is>
      </c>
      <c r="K7" s="4">
        <f>IMAGE("https://cdn.verdnatura.es/image/catalog/1600x900/92026")</f>
        <v/>
      </c>
      <c r="L7" s="5" t="n"/>
      <c r="M7" s="6" t="n"/>
      <c r="N7" s="7" t="n"/>
      <c r="O7" s="8" t="n">
        <v>0.54</v>
      </c>
      <c r="P7" s="8" t="n">
        <v>27</v>
      </c>
    </row>
    <row r="8" ht="110" customHeight="1">
      <c r="A8" s="3" t="inlineStr">
        <is>
          <t>13013719</t>
        </is>
      </c>
      <c r="B8" s="3" t="inlineStr">
        <is>
          <t>24-06-2026</t>
        </is>
      </c>
      <c r="C8" s="3" t="inlineStr">
        <is>
          <t>Blau</t>
        </is>
      </c>
      <c r="D8" s="3" t="inlineStr">
        <is>
          <t>206609</t>
        </is>
      </c>
      <c r="E8" s="4" t="inlineStr">
        <is>
          <t>LIM N SIN Joy White</t>
        </is>
      </c>
      <c r="F8" s="4" t="inlineStr">
        <is>
          <t>Group Leader</t>
        </is>
      </c>
      <c r="G8" s="4" t="inlineStr">
        <is>
          <t>COLOR Blanco · ALTURA 65 cm · PESO/TALLO 30 gr</t>
        </is>
      </c>
      <c r="H8" s="3" t="inlineStr"/>
      <c r="I8" s="3" t="n">
        <v>25</v>
      </c>
      <c r="J8" s="3" t="inlineStr">
        <is>
          <t>25 шт.</t>
        </is>
      </c>
      <c r="K8" s="4">
        <f>IMAGE("https://cdn.verdnatura.es/image/catalog/1600x900/206609")</f>
        <v/>
      </c>
      <c r="L8" s="5" t="n"/>
      <c r="M8" s="6" t="n"/>
      <c r="N8" s="7" t="n"/>
      <c r="O8" s="8" t="n">
        <v>0.51</v>
      </c>
      <c r="P8" s="8" t="n">
        <v>12.75</v>
      </c>
    </row>
    <row r="9" ht="110" customHeight="1">
      <c r="A9" s="3" t="inlineStr">
        <is>
          <t>13013719</t>
        </is>
      </c>
      <c r="B9" s="3" t="inlineStr">
        <is>
          <t>24-06-2026</t>
        </is>
      </c>
      <c r="C9" s="3" t="inlineStr">
        <is>
          <t>Blau</t>
        </is>
      </c>
      <c r="D9" s="3" t="inlineStr">
        <is>
          <t>201546</t>
        </is>
      </c>
      <c r="E9" s="4" t="inlineStr">
        <is>
          <t>LIM N SIN Pineapple Diamond</t>
        </is>
      </c>
      <c r="F9" s="4" t="inlineStr">
        <is>
          <t>Group Leader</t>
        </is>
      </c>
      <c r="G9" s="4" t="inlineStr">
        <is>
          <t>COLOR Amarillo · ALTURA 80 cm · PESO/TALLO 40 gr</t>
        </is>
      </c>
      <c r="H9" s="3" t="inlineStr"/>
      <c r="I9" s="3" t="n">
        <v>25</v>
      </c>
      <c r="J9" s="3" t="inlineStr">
        <is>
          <t>25 шт.</t>
        </is>
      </c>
      <c r="K9" s="4">
        <f>IMAGE("https://cdn.verdnatura.es/image/catalog/1600x900/201546")</f>
        <v/>
      </c>
      <c r="L9" s="5" t="n"/>
      <c r="M9" s="6" t="n"/>
      <c r="N9" s="7" t="n"/>
      <c r="O9" s="8" t="n">
        <v>0.59</v>
      </c>
      <c r="P9" s="8" t="n">
        <v>14.75</v>
      </c>
    </row>
    <row r="10" ht="110" customHeight="1">
      <c r="A10" s="3" t="inlineStr">
        <is>
          <t>13013719</t>
        </is>
      </c>
      <c r="B10" s="3" t="inlineStr">
        <is>
          <t>24-06-2026</t>
        </is>
      </c>
      <c r="C10" s="3" t="inlineStr">
        <is>
          <t>Blau</t>
        </is>
      </c>
      <c r="D10" s="3" t="inlineStr">
        <is>
          <t>110294</t>
        </is>
      </c>
      <c r="E10" s="4" t="inlineStr">
        <is>
          <t>Madroño SEL</t>
        </is>
      </c>
      <c r="F10" s="4" t="inlineStr"/>
      <c r="G10" s="4" t="inlineStr">
        <is>
          <t>COLOR Verde · ALTURA 60 cm</t>
        </is>
      </c>
      <c r="H10" s="3" t="inlineStr">
        <is>
          <t>Paquete</t>
        </is>
      </c>
      <c r="I10" s="3" t="n">
        <v>5</v>
      </c>
      <c r="J10" s="3" t="inlineStr">
        <is>
          <t>5 пачек</t>
        </is>
      </c>
      <c r="K10" s="4">
        <f>IMAGE("https://cdn.verdnatura.es/image/catalog/1600x900/110294")</f>
        <v/>
      </c>
      <c r="L10" s="5" t="n"/>
      <c r="M10" s="6" t="n"/>
      <c r="N10" s="7" t="n"/>
      <c r="O10" s="8" t="n">
        <v>2.04</v>
      </c>
      <c r="P10" s="8" t="n">
        <v>10.2</v>
      </c>
    </row>
    <row r="11" ht="110" customHeight="1">
      <c r="A11" s="3" t="inlineStr">
        <is>
          <t>13013719</t>
        </is>
      </c>
      <c r="B11" s="3" t="inlineStr">
        <is>
          <t>24-06-2026</t>
        </is>
      </c>
      <c r="C11" s="3" t="inlineStr">
        <is>
          <t>Blau</t>
        </is>
      </c>
      <c r="D11" s="3" t="inlineStr">
        <is>
          <t>5103</t>
        </is>
      </c>
      <c r="E11" s="4" t="inlineStr">
        <is>
          <t>Pelarosa Goma</t>
        </is>
      </c>
      <c r="F11" s="4" t="inlineStr">
        <is>
          <t>Oasis</t>
        </is>
      </c>
      <c r="G11" s="4" t="inlineStr"/>
      <c r="H11" s="3" t="inlineStr"/>
      <c r="I11" s="3" t="n">
        <v>1</v>
      </c>
      <c r="J11" s="3" t="inlineStr">
        <is>
          <t>1 шт.</t>
        </is>
      </c>
      <c r="K11" s="4">
        <f>IMAGE("https://cdn.verdnatura.es/image/catalog/1600x900/5103")</f>
        <v/>
      </c>
      <c r="L11" s="5" t="n"/>
      <c r="M11" s="6" t="n"/>
      <c r="N11" s="7" t="n"/>
      <c r="O11" s="8" t="n">
        <v>8.58</v>
      </c>
      <c r="P11" s="8" t="n">
        <v>8.58</v>
      </c>
    </row>
    <row r="12" ht="110" customHeight="1">
      <c r="A12" s="3" t="inlineStr">
        <is>
          <t>13013719</t>
        </is>
      </c>
      <c r="B12" s="3" t="inlineStr">
        <is>
          <t>24-06-2026</t>
        </is>
      </c>
      <c r="C12" s="3" t="inlineStr">
        <is>
          <t>Blau</t>
        </is>
      </c>
      <c r="D12" s="3" t="inlineStr">
        <is>
          <t>17624</t>
        </is>
      </c>
      <c r="E12" s="4" t="inlineStr">
        <is>
          <t>Pelarosa Plastico</t>
        </is>
      </c>
      <c r="F12" s="4" t="inlineStr">
        <is>
          <t>Oasis</t>
        </is>
      </c>
      <c r="G12" s="4" t="inlineStr">
        <is>
          <t>COLOR Amarillo</t>
        </is>
      </c>
      <c r="H12" s="3" t="inlineStr"/>
      <c r="I12" s="3" t="n">
        <v>1</v>
      </c>
      <c r="J12" s="3" t="inlineStr">
        <is>
          <t>1 шт.</t>
        </is>
      </c>
      <c r="K12" s="4">
        <f>IMAGE("https://cdn.verdnatura.es/image/catalog/1600x900/17624")</f>
        <v/>
      </c>
      <c r="L12" s="5" t="n"/>
      <c r="M12" s="6" t="n"/>
      <c r="N12" s="7" t="n"/>
      <c r="O12" s="8" t="n">
        <v>4.63</v>
      </c>
      <c r="P12" s="8" t="n">
        <v>4.63</v>
      </c>
    </row>
    <row r="13" ht="110" customHeight="1">
      <c r="A13" s="3" t="inlineStr">
        <is>
          <t>13013719</t>
        </is>
      </c>
      <c r="B13" s="3" t="inlineStr">
        <is>
          <t>24-06-2026</t>
        </is>
      </c>
      <c r="C13" s="3" t="inlineStr">
        <is>
          <t>Blau</t>
        </is>
      </c>
      <c r="D13" s="3" t="inlineStr">
        <is>
          <t>206628</t>
        </is>
      </c>
      <c r="E13" s="4" t="inlineStr">
        <is>
          <t>Statice Arlequin</t>
        </is>
      </c>
      <c r="F13" s="4" t="inlineStr">
        <is>
          <t>Santa Dorotea</t>
        </is>
      </c>
      <c r="G13" s="4" t="inlineStr">
        <is>
          <t>COLOR Mixto · ALTURA 60 cm · PESO/TALLO 20 gr</t>
        </is>
      </c>
      <c r="H13" s="3" t="inlineStr"/>
      <c r="I13" s="3" t="n">
        <v>75</v>
      </c>
      <c r="J13" s="3" t="inlineStr">
        <is>
          <t>75 шт.</t>
        </is>
      </c>
      <c r="K13" s="4">
        <f>IMAGE("https://cdn.verdnatura.es/image/catalog/1600x900/206628")</f>
        <v/>
      </c>
      <c r="L13" s="5" t="n"/>
      <c r="M13" s="6" t="n"/>
      <c r="N13" s="7" t="n"/>
      <c r="O13" s="8" t="n">
        <v>0.29</v>
      </c>
      <c r="P13" s="8" t="n">
        <v>21.75</v>
      </c>
    </row>
    <row r="14" ht="110" customHeight="1">
      <c r="A14" s="3" t="inlineStr">
        <is>
          <t>13013719</t>
        </is>
      </c>
      <c r="B14" s="3" t="inlineStr">
        <is>
          <t>24-06-2026</t>
        </is>
      </c>
      <c r="C14" s="3" t="inlineStr">
        <is>
          <t>Blau</t>
        </is>
      </c>
      <c r="D14" s="3" t="inlineStr">
        <is>
          <t>180317</t>
        </is>
      </c>
      <c r="E14" s="4" t="inlineStr">
        <is>
          <t>TRACH Lake Superior</t>
        </is>
      </c>
      <c r="F14" s="4" t="inlineStr"/>
      <c r="G14" s="4" t="inlineStr">
        <is>
          <t>COLOR Morado · ALTURA 50 cm</t>
        </is>
      </c>
      <c r="H14" s="3" t="inlineStr"/>
      <c r="I14" s="3" t="n">
        <v>50</v>
      </c>
      <c r="J14" s="3" t="inlineStr">
        <is>
          <t>50 шт.</t>
        </is>
      </c>
      <c r="K14" s="4">
        <f>IMAGE("https://cdn.verdnatura.es/image/catalog/1600x900/180317")</f>
        <v/>
      </c>
      <c r="L14" s="5" t="n"/>
      <c r="M14" s="6" t="n"/>
      <c r="N14" s="7" t="n"/>
      <c r="O14" s="8" t="n">
        <v>0.23</v>
      </c>
      <c r="P14" s="8" t="n">
        <v>11.5</v>
      </c>
    </row>
    <row r="15" ht="26" customHeight="1">
      <c r="A15" s="2" t="inlineStr">
        <is>
          <t>📦  Накладная #13013867  ·  25-06-2026  ·  Blau  ·  2 позиций  ·  bultos: 0</t>
        </is>
      </c>
    </row>
    <row r="16" ht="110" customHeight="1">
      <c r="A16" s="3" t="inlineStr">
        <is>
          <t>13013867</t>
        </is>
      </c>
      <c r="B16" s="3" t="inlineStr">
        <is>
          <t>25-06-2026</t>
        </is>
      </c>
      <c r="C16" s="3" t="inlineStr">
        <is>
          <t>Blau</t>
        </is>
      </c>
      <c r="D16" s="3" t="inlineStr">
        <is>
          <t>34181</t>
        </is>
      </c>
      <c r="E16" s="4" t="inlineStr">
        <is>
          <t>Freesia Double Volante</t>
        </is>
      </c>
      <c r="F16" s="4" t="inlineStr"/>
      <c r="G16" s="4" t="inlineStr">
        <is>
          <t>COLOR Blanco · ALTURA 50 cm · PESO/TALLO 13 gr</t>
        </is>
      </c>
      <c r="H16" s="3" t="inlineStr"/>
      <c r="I16" s="3" t="n">
        <v>50</v>
      </c>
      <c r="J16" s="3" t="inlineStr">
        <is>
          <t>50 шт.</t>
        </is>
      </c>
      <c r="K16" s="4">
        <f>IMAGE("https://cdn.verdnatura.es/image/catalog/1600x900/34181")</f>
        <v/>
      </c>
      <c r="L16" s="5" t="n"/>
      <c r="M16" s="6" t="n"/>
      <c r="N16" s="7" t="n"/>
      <c r="O16" s="8" t="n">
        <v>0.33</v>
      </c>
      <c r="P16" s="8" t="n">
        <v>16.5</v>
      </c>
    </row>
    <row r="17" ht="110" customHeight="1">
      <c r="A17" s="3" t="inlineStr">
        <is>
          <t>13013867</t>
        </is>
      </c>
      <c r="B17" s="3" t="inlineStr">
        <is>
          <t>25-06-2026</t>
        </is>
      </c>
      <c r="C17" s="3" t="inlineStr">
        <is>
          <t>Blau</t>
        </is>
      </c>
      <c r="D17" s="3" t="inlineStr">
        <is>
          <t>149</t>
        </is>
      </c>
      <c r="E17" s="4" t="inlineStr">
        <is>
          <t>PITT Nigra 150 gr</t>
        </is>
      </c>
      <c r="F17" s="4" t="inlineStr"/>
      <c r="G17" s="4" t="inlineStr">
        <is>
          <t>COLOR Matizado · ALTURA 50 cm</t>
        </is>
      </c>
      <c r="H17" s="3" t="inlineStr">
        <is>
          <t>Paquete</t>
        </is>
      </c>
      <c r="I17" s="3" t="n">
        <v>5</v>
      </c>
      <c r="J17" s="3" t="inlineStr">
        <is>
          <t>5 пачек</t>
        </is>
      </c>
      <c r="K17" s="4">
        <f>IMAGE("https://cdn.verdnatura.es/image/catalog/1600x900/149")</f>
        <v/>
      </c>
      <c r="L17" s="5" t="n"/>
      <c r="M17" s="6" t="n"/>
      <c r="N17" s="7" t="n"/>
      <c r="O17" s="8" t="n">
        <v>2.38</v>
      </c>
      <c r="P17" s="8" t="n">
        <v>11.9</v>
      </c>
    </row>
  </sheetData>
  <mergeCells count="2">
    <mergeCell ref="A15:P1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2026-06-25T11:47:24Z</dcterms:created>
  <dcterms:modified xmlns:dcterms="http://purl.org/dc/terms/" xmlns:xsi="http://www.w3.org/2001/XMLSchema-instance" xsi:type="dcterms:W3CDTF">2026-06-25T11:47:24Z</dcterms:modified>
</cp:coreProperties>
</file>