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#13055073  ·  06-07-2026  ·  Gloria  ·  4 позиций  ·  bultos: 3</t>
        </is>
      </c>
    </row>
    <row r="3" ht="110" customHeight="1">
      <c r="A3" s="3" t="inlineStr">
        <is>
          <t>13055073</t>
        </is>
      </c>
      <c r="B3" s="3" t="inlineStr">
        <is>
          <t>06-07-2026</t>
        </is>
      </c>
      <c r="C3" s="3" t="inlineStr">
        <is>
          <t>Gloria</t>
        </is>
      </c>
      <c r="D3" s="3" t="inlineStr">
        <is>
          <t>23477</t>
        </is>
      </c>
      <c r="E3" s="4" t="inlineStr">
        <is>
          <t>Dieff Vesuvius</t>
        </is>
      </c>
      <c r="F3" s="4" t="inlineStr">
        <is>
          <t>VF</t>
        </is>
      </c>
      <c r="G3" s="4" t="inlineStr">
        <is>
          <t>COLOR Verde · ALTURA 55 cm · MACETA 17</t>
        </is>
      </c>
      <c r="H3" s="3" t="inlineStr"/>
      <c r="I3" s="3" t="n">
        <v>2</v>
      </c>
      <c r="J3" s="3" t="inlineStr">
        <is>
          <t>2 шт.</t>
        </is>
      </c>
      <c r="K3" s="4">
        <f>IMAGE("https://cdn.verdnatura.es/image/catalog/1600x900/23477")</f>
        <v/>
      </c>
      <c r="L3" s="5" t="n"/>
      <c r="M3" s="6" t="n"/>
      <c r="N3" s="7" t="n"/>
      <c r="O3" s="8" t="n">
        <v>8.84</v>
      </c>
      <c r="P3" s="8" t="n">
        <v>17.68</v>
      </c>
    </row>
    <row r="4" ht="110" customHeight="1">
      <c r="A4" s="3" t="inlineStr">
        <is>
          <t>13055073</t>
        </is>
      </c>
      <c r="B4" s="3" t="inlineStr">
        <is>
          <t>06-07-2026</t>
        </is>
      </c>
      <c r="C4" s="3" t="inlineStr">
        <is>
          <t>Gloria</t>
        </is>
      </c>
      <c r="D4" s="3" t="inlineStr">
        <is>
          <t>111095</t>
        </is>
      </c>
      <c r="E4" s="4" t="inlineStr">
        <is>
          <t>KAL Cinqolori Carnaval</t>
        </is>
      </c>
      <c r="F4" s="4" t="inlineStr">
        <is>
          <t>SV.CO</t>
        </is>
      </c>
      <c r="G4" s="4" t="inlineStr">
        <is>
          <t>COLOR Mixto · ALTURA 27 cm · MACETA 23</t>
        </is>
      </c>
      <c r="H4" s="3" t="inlineStr"/>
      <c r="I4" s="3" t="n">
        <v>2</v>
      </c>
      <c r="J4" s="3" t="inlineStr">
        <is>
          <t>2 шт.</t>
        </is>
      </c>
      <c r="K4" s="4">
        <f>IMAGE("https://cdn.verdnatura.es/image/catalog/1600x900/111095")</f>
        <v/>
      </c>
      <c r="L4" s="5" t="n"/>
      <c r="M4" s="6" t="n"/>
      <c r="N4" s="7" t="n"/>
      <c r="O4" s="8" t="n">
        <v>5.05</v>
      </c>
      <c r="P4" s="8" t="n">
        <v>10.1</v>
      </c>
    </row>
    <row r="5" ht="110" customHeight="1">
      <c r="A5" s="3" t="inlineStr">
        <is>
          <t>13055073</t>
        </is>
      </c>
      <c r="B5" s="3" t="inlineStr">
        <is>
          <t>06-07-2026</t>
        </is>
      </c>
      <c r="C5" s="3" t="inlineStr">
        <is>
          <t>Gloria</t>
        </is>
      </c>
      <c r="D5" s="3" t="inlineStr">
        <is>
          <t>109083</t>
        </is>
      </c>
      <c r="E5" s="4" t="inlineStr">
        <is>
          <t>Monstera Tutor</t>
        </is>
      </c>
      <c r="F5" s="4" t="inlineStr">
        <is>
          <t>VF</t>
        </is>
      </c>
      <c r="G5" s="4" t="inlineStr">
        <is>
          <t>COLOR Verde · ALTURA 75 cm · MACETA 20</t>
        </is>
      </c>
      <c r="H5" s="3" t="inlineStr"/>
      <c r="I5" s="3" t="n">
        <v>2</v>
      </c>
      <c r="J5" s="3" t="inlineStr">
        <is>
          <t>2 шт.</t>
        </is>
      </c>
      <c r="K5" s="4">
        <f>IMAGE("https://cdn.verdnatura.es/image/catalog/1600x900/109083")</f>
        <v/>
      </c>
      <c r="L5" s="5" t="n"/>
      <c r="M5" s="6" t="n"/>
      <c r="N5" s="7" t="n"/>
      <c r="O5" s="8" t="n">
        <v>16.57</v>
      </c>
      <c r="P5" s="8" t="n">
        <v>33.14</v>
      </c>
    </row>
    <row r="6" ht="110" customHeight="1">
      <c r="A6" s="3" t="inlineStr">
        <is>
          <t>13055073</t>
        </is>
      </c>
      <c r="B6" s="3" t="inlineStr">
        <is>
          <t>06-07-2026</t>
        </is>
      </c>
      <c r="C6" s="3" t="inlineStr">
        <is>
          <t>Gloria</t>
        </is>
      </c>
      <c r="D6" s="3" t="inlineStr">
        <is>
          <t>207572</t>
        </is>
      </c>
      <c r="E6" s="4" t="inlineStr">
        <is>
          <t>Sanseviera Futura Superba (In</t>
        </is>
      </c>
      <c r="F6" s="4" t="inlineStr">
        <is>
          <t>C.F.F. Bakker/Mondo Verde</t>
        </is>
      </c>
      <c r="G6" s="4" t="inlineStr">
        <is>
          <t>COLOR Verde · ALTURA 35 cm · MACETA 14</t>
        </is>
      </c>
      <c r="H6" s="3" t="inlineStr"/>
      <c r="I6" s="3" t="n">
        <v>5</v>
      </c>
      <c r="J6" s="3" t="inlineStr">
        <is>
          <t>5 шт.</t>
        </is>
      </c>
      <c r="K6" s="4">
        <f>IMAGE("https://cdn.verdnatura.es/image/catalog/1600x900/207572")</f>
        <v/>
      </c>
      <c r="L6" s="5" t="n"/>
      <c r="M6" s="6" t="n"/>
      <c r="N6" s="7" t="n"/>
      <c r="O6" s="8" t="n">
        <v>7.06</v>
      </c>
      <c r="P6" s="8" t="n">
        <v>35.3</v>
      </c>
    </row>
    <row r="7" ht="26" customHeight="1">
      <c r="A7" s="2" t="inlineStr">
        <is>
          <t>📦  Накладная #13063319  ·  06-07-2026  ·  Gloria  ·  23 позиций  ·  bultos: 2</t>
        </is>
      </c>
    </row>
    <row r="8" ht="110" customHeight="1">
      <c r="A8" s="3" t="inlineStr">
        <is>
          <t>13063319</t>
        </is>
      </c>
      <c r="B8" s="3" t="inlineStr">
        <is>
          <t>06-07-2026</t>
        </is>
      </c>
      <c r="C8" s="3" t="inlineStr">
        <is>
          <t>Gloria</t>
        </is>
      </c>
      <c r="D8" s="3" t="inlineStr">
        <is>
          <t>97795</t>
        </is>
      </c>
      <c r="E8" s="4" t="inlineStr">
        <is>
          <t>Asclepia Inca Soulmate</t>
        </is>
      </c>
      <c r="F8" s="4" t="inlineStr"/>
      <c r="G8" s="4" t="inlineStr">
        <is>
          <t>COLOR Rosa · ALTURA 80 cm</t>
        </is>
      </c>
      <c r="H8" s="3" t="inlineStr"/>
      <c r="I8" s="3" t="n">
        <v>20</v>
      </c>
      <c r="J8" s="3" t="inlineStr">
        <is>
          <t>20 шт.</t>
        </is>
      </c>
      <c r="K8" s="4">
        <f>IMAGE("https://cdn.verdnatura.es/image/catalog/1600x900/97795")</f>
        <v/>
      </c>
      <c r="L8" s="5" t="n"/>
      <c r="M8" s="6" t="n"/>
      <c r="N8" s="7" t="n"/>
      <c r="O8" s="8" t="n">
        <v>0.38</v>
      </c>
      <c r="P8" s="8" t="n">
        <v>7.6</v>
      </c>
    </row>
    <row r="9" ht="110" customHeight="1">
      <c r="A9" s="3" t="inlineStr">
        <is>
          <t>13063319</t>
        </is>
      </c>
      <c r="B9" s="3" t="inlineStr">
        <is>
          <t>06-07-2026</t>
        </is>
      </c>
      <c r="C9" s="3" t="inlineStr">
        <is>
          <t>Gloria</t>
        </is>
      </c>
      <c r="D9" s="3" t="inlineStr">
        <is>
          <t>157579</t>
        </is>
      </c>
      <c r="E9" s="4" t="inlineStr">
        <is>
          <t>Asclepia Tuberosa</t>
        </is>
      </c>
      <c r="F9" s="4" t="inlineStr"/>
      <c r="G9" s="4" t="inlineStr">
        <is>
          <t>COLOR Naranja · ALTURA 50 cm</t>
        </is>
      </c>
      <c r="H9" s="3" t="inlineStr"/>
      <c r="I9" s="3" t="n">
        <v>20</v>
      </c>
      <c r="J9" s="3" t="inlineStr">
        <is>
          <t>20 шт.</t>
        </is>
      </c>
      <c r="K9" s="4">
        <f>IMAGE("https://cdn.verdnatura.es/image/catalog/1600x900/157579")</f>
        <v/>
      </c>
      <c r="L9" s="5" t="n"/>
      <c r="M9" s="6" t="n"/>
      <c r="N9" s="7" t="n"/>
      <c r="O9" s="8" t="n">
        <v>0.21</v>
      </c>
      <c r="P9" s="8" t="n">
        <v>4.2</v>
      </c>
    </row>
    <row r="10" ht="110" customHeight="1">
      <c r="A10" s="3" t="inlineStr">
        <is>
          <t>13063319</t>
        </is>
      </c>
      <c r="B10" s="3" t="inlineStr">
        <is>
          <t>06-07-2026</t>
        </is>
      </c>
      <c r="C10" s="3" t="inlineStr">
        <is>
          <t>Gloria</t>
        </is>
      </c>
      <c r="D10" s="3" t="inlineStr">
        <is>
          <t>62896</t>
        </is>
      </c>
      <c r="E10" s="4" t="inlineStr">
        <is>
          <t>Astilbe Maggie Daley</t>
        </is>
      </c>
      <c r="F10" s="4" t="inlineStr"/>
      <c r="G10" s="4" t="inlineStr">
        <is>
          <t>COLOR Fucsia · ALTURA 70 cm</t>
        </is>
      </c>
      <c r="H10" s="3" t="inlineStr"/>
      <c r="I10" s="3" t="n">
        <v>20</v>
      </c>
      <c r="J10" s="3" t="inlineStr">
        <is>
          <t>20 шт.</t>
        </is>
      </c>
      <c r="K10" s="4">
        <f>IMAGE("https://cdn.verdnatura.es/image/catalog/1600x900/62896")</f>
        <v/>
      </c>
      <c r="L10" s="5" t="n"/>
      <c r="M10" s="6" t="n"/>
      <c r="N10" s="7" t="n"/>
      <c r="O10" s="8" t="n">
        <v>0.24</v>
      </c>
      <c r="P10" s="8" t="n">
        <v>4.8</v>
      </c>
    </row>
    <row r="11" ht="110" customHeight="1">
      <c r="A11" s="3" t="inlineStr">
        <is>
          <t>13063319</t>
        </is>
      </c>
      <c r="B11" s="3" t="inlineStr">
        <is>
          <t>06-07-2026</t>
        </is>
      </c>
      <c r="C11" s="3" t="inlineStr">
        <is>
          <t>Gloria</t>
        </is>
      </c>
      <c r="D11" s="3" t="inlineStr">
        <is>
          <t>113351</t>
        </is>
      </c>
      <c r="E11" s="4" t="inlineStr">
        <is>
          <t>Cala Claudia</t>
        </is>
      </c>
      <c r="F11" s="4" t="inlineStr"/>
      <c r="G11" s="4" t="inlineStr">
        <is>
          <t>COLOR Fucsia · ALTURA 60 cm</t>
        </is>
      </c>
      <c r="H11" s="3" t="inlineStr"/>
      <c r="I11" s="3" t="n">
        <v>20</v>
      </c>
      <c r="J11" s="3" t="inlineStr">
        <is>
          <t>20 шт.</t>
        </is>
      </c>
      <c r="K11" s="4">
        <f>IMAGE("https://cdn.verdnatura.es/image/catalog/1600x900/113351")</f>
        <v/>
      </c>
      <c r="L11" s="5" t="n"/>
      <c r="M11" s="6" t="n"/>
      <c r="N11" s="7" t="n"/>
      <c r="O11" s="8" t="n">
        <v>1.09</v>
      </c>
      <c r="P11" s="8" t="n">
        <v>21.8</v>
      </c>
    </row>
    <row r="12" ht="110" customHeight="1">
      <c r="A12" s="3" t="inlineStr">
        <is>
          <t>13063319</t>
        </is>
      </c>
      <c r="B12" s="3" t="inlineStr">
        <is>
          <t>06-07-2026</t>
        </is>
      </c>
      <c r="C12" s="3" t="inlineStr">
        <is>
          <t>Gloria</t>
        </is>
      </c>
      <c r="D12" s="3" t="inlineStr">
        <is>
          <t>61355</t>
        </is>
      </c>
      <c r="E12" s="4" t="inlineStr">
        <is>
          <t>Cala Fantasia</t>
        </is>
      </c>
      <c r="F12" s="4" t="inlineStr"/>
      <c r="G12" s="4" t="inlineStr">
        <is>
          <t>COLOR Fucsia · ALTURA 60 cm</t>
        </is>
      </c>
      <c r="H12" s="3" t="inlineStr"/>
      <c r="I12" s="3" t="n">
        <v>10</v>
      </c>
      <c r="J12" s="3" t="inlineStr">
        <is>
          <t>10 шт.</t>
        </is>
      </c>
      <c r="K12" s="4">
        <f>IMAGE("https://cdn.verdnatura.es/image/catalog/1600x900/61355")</f>
        <v/>
      </c>
      <c r="L12" s="5" t="n"/>
      <c r="M12" s="6" t="n"/>
      <c r="N12" s="7" t="n"/>
      <c r="O12" s="8" t="n">
        <v>0.9</v>
      </c>
      <c r="P12" s="8" t="n">
        <v>9</v>
      </c>
    </row>
    <row r="13" ht="110" customHeight="1">
      <c r="A13" s="3" t="inlineStr">
        <is>
          <t>13063319</t>
        </is>
      </c>
      <c r="B13" s="3" t="inlineStr">
        <is>
          <t>06-07-2026</t>
        </is>
      </c>
      <c r="C13" s="3" t="inlineStr">
        <is>
          <t>Gloria</t>
        </is>
      </c>
      <c r="D13" s="3" t="inlineStr">
        <is>
          <t>200196</t>
        </is>
      </c>
      <c r="E13" s="4" t="inlineStr">
        <is>
          <t>CR SANT Inzell</t>
        </is>
      </c>
      <c r="F13" s="4" t="inlineStr">
        <is>
          <t>Van Helvoort Company</t>
        </is>
      </c>
      <c r="G13" s="4" t="inlineStr">
        <is>
          <t>COLOR Blanco · ALTURA 55 cm · PESO/PAQUETE 1100 gr</t>
        </is>
      </c>
      <c r="H13" s="3" t="inlineStr"/>
      <c r="I13" s="3" t="n">
        <v>25</v>
      </c>
      <c r="J13" s="3" t="inlineStr">
        <is>
          <t>25 шт.</t>
        </is>
      </c>
      <c r="K13" s="4">
        <f>IMAGE("https://cdn.verdnatura.es/image/catalog/1600x900/200196")</f>
        <v/>
      </c>
      <c r="L13" s="5" t="n"/>
      <c r="M13" s="6" t="n"/>
      <c r="N13" s="7" t="n"/>
      <c r="O13" s="8" t="n">
        <v>0.41</v>
      </c>
      <c r="P13" s="8" t="n">
        <v>10.25</v>
      </c>
    </row>
    <row r="14" ht="110" customHeight="1">
      <c r="A14" s="3" t="inlineStr">
        <is>
          <t>13063319</t>
        </is>
      </c>
      <c r="B14" s="3" t="inlineStr">
        <is>
          <t>06-07-2026</t>
        </is>
      </c>
      <c r="C14" s="3" t="inlineStr">
        <is>
          <t>Gloria</t>
        </is>
      </c>
      <c r="D14" s="3" t="inlineStr">
        <is>
          <t>205833</t>
        </is>
      </c>
      <c r="E14" s="4" t="inlineStr">
        <is>
          <t>CR SANT Sweet Dream Mix</t>
        </is>
      </c>
      <c r="F14" s="4" t="inlineStr">
        <is>
          <t>Van Helvoort Company</t>
        </is>
      </c>
      <c r="G14" s="4" t="inlineStr">
        <is>
          <t>COLOR Mixto · ALTURA 55 cm · PESO/PAQUETE 1000 gr</t>
        </is>
      </c>
      <c r="H14" s="3" t="inlineStr"/>
      <c r="I14" s="3" t="n">
        <v>50</v>
      </c>
      <c r="J14" s="3" t="inlineStr">
        <is>
          <t>50 шт.</t>
        </is>
      </c>
      <c r="K14" s="4">
        <f>IMAGE("https://cdn.verdnatura.es/image/catalog/1600x900/205833")</f>
        <v/>
      </c>
      <c r="L14" s="5" t="n"/>
      <c r="M14" s="6" t="n"/>
      <c r="N14" s="7" t="n"/>
      <c r="O14" s="8" t="n">
        <v>0.37</v>
      </c>
      <c r="P14" s="8" t="n">
        <v>18.5</v>
      </c>
    </row>
    <row r="15" ht="110" customHeight="1">
      <c r="A15" s="3" t="inlineStr">
        <is>
          <t>13063319</t>
        </is>
      </c>
      <c r="B15" s="3" t="inlineStr">
        <is>
          <t>06-07-2026</t>
        </is>
      </c>
      <c r="C15" s="3" t="inlineStr">
        <is>
          <t>Gloria</t>
        </is>
      </c>
      <c r="D15" s="3" t="inlineStr">
        <is>
          <t>205567</t>
        </is>
      </c>
      <c r="E15" s="4" t="inlineStr">
        <is>
          <t>Dahlia Annamarie x30</t>
        </is>
      </c>
      <c r="F15" s="4" t="inlineStr">
        <is>
          <t>My Dahlia Society</t>
        </is>
      </c>
      <c r="G15" s="4" t="inlineStr">
        <is>
          <t>COLOR Rosa · ALTURA 50 cm</t>
        </is>
      </c>
      <c r="H15" s="3" t="inlineStr"/>
      <c r="I15" s="3" t="n">
        <v>30</v>
      </c>
      <c r="J15" s="3" t="inlineStr">
        <is>
          <t>30 шт.</t>
        </is>
      </c>
      <c r="K15" s="4">
        <f>IMAGE("https://cdn.verdnatura.es/image/catalog/1600x900/205567")</f>
        <v/>
      </c>
      <c r="L15" s="5" t="n"/>
      <c r="M15" s="6" t="n"/>
      <c r="N15" s="7" t="n"/>
      <c r="O15" s="8" t="n">
        <v>1</v>
      </c>
      <c r="P15" s="8" t="n">
        <v>30</v>
      </c>
    </row>
    <row r="16" ht="110" customHeight="1">
      <c r="A16" s="3" t="inlineStr">
        <is>
          <t>13063319</t>
        </is>
      </c>
      <c r="B16" s="3" t="inlineStr">
        <is>
          <t>06-07-2026</t>
        </is>
      </c>
      <c r="C16" s="3" t="inlineStr">
        <is>
          <t>Gloria</t>
        </is>
      </c>
      <c r="D16" s="3" t="inlineStr">
        <is>
          <t>110792</t>
        </is>
      </c>
      <c r="E16" s="4" t="inlineStr">
        <is>
          <t>EUC Parvifolia 300 gr</t>
        </is>
      </c>
      <c r="F16" s="4" t="inlineStr"/>
      <c r="G16" s="4" t="inlineStr">
        <is>
          <t>COLOR Verde · ALTURA 70 cm</t>
        </is>
      </c>
      <c r="H16" s="3" t="inlineStr">
        <is>
          <t>Paquete</t>
        </is>
      </c>
      <c r="I16" s="3" t="n">
        <v>3</v>
      </c>
      <c r="J16" s="3" t="inlineStr">
        <is>
          <t>3 пачек</t>
        </is>
      </c>
      <c r="K16" s="4">
        <f>IMAGE("https://cdn.verdnatura.es/image/catalog/1600x900/110792")</f>
        <v/>
      </c>
      <c r="L16" s="5" t="n"/>
      <c r="M16" s="6" t="n"/>
      <c r="N16" s="7" t="n"/>
      <c r="O16" s="8" t="n">
        <v>2.83</v>
      </c>
      <c r="P16" s="8" t="n">
        <v>8.49</v>
      </c>
    </row>
    <row r="17" ht="110" customHeight="1">
      <c r="A17" s="3" t="inlineStr">
        <is>
          <t>13063319</t>
        </is>
      </c>
      <c r="B17" s="3" t="inlineStr">
        <is>
          <t>06-07-2026</t>
        </is>
      </c>
      <c r="C17" s="3" t="inlineStr">
        <is>
          <t>Gloria</t>
        </is>
      </c>
      <c r="D17" s="3" t="inlineStr">
        <is>
          <t>53668</t>
        </is>
      </c>
      <c r="E17" s="4" t="inlineStr">
        <is>
          <t>EUC Populus Frutos 300 gr</t>
        </is>
      </c>
      <c r="F17" s="4" t="inlineStr"/>
      <c r="G17" s="4" t="inlineStr">
        <is>
          <t>COLOR Verde · ALTURA 70 cm</t>
        </is>
      </c>
      <c r="H17" s="3" t="inlineStr">
        <is>
          <t>Paquete</t>
        </is>
      </c>
      <c r="I17" s="3" t="n">
        <v>3</v>
      </c>
      <c r="J17" s="3" t="inlineStr">
        <is>
          <t>3 пачек</t>
        </is>
      </c>
      <c r="K17" s="4">
        <f>IMAGE("https://cdn.verdnatura.es/image/catalog/1600x900/53668")</f>
        <v/>
      </c>
      <c r="L17" s="5" t="n"/>
      <c r="M17" s="6" t="n"/>
      <c r="N17" s="7" t="n"/>
      <c r="O17" s="8" t="n">
        <v>5.59</v>
      </c>
      <c r="P17" s="8" t="n">
        <v>16.77</v>
      </c>
    </row>
    <row r="18" ht="110" customHeight="1">
      <c r="A18" s="3" t="inlineStr">
        <is>
          <t>13063319</t>
        </is>
      </c>
      <c r="B18" s="3" t="inlineStr">
        <is>
          <t>06-07-2026</t>
        </is>
      </c>
      <c r="C18" s="3" t="inlineStr">
        <is>
          <t>Gloria</t>
        </is>
      </c>
      <c r="D18" s="3" t="inlineStr">
        <is>
          <t>134889</t>
        </is>
      </c>
      <c r="E18" s="4" t="inlineStr">
        <is>
          <t>Girasol Vincent s Choice</t>
        </is>
      </c>
      <c r="F18" s="4" t="inlineStr">
        <is>
          <t>Canaraflor</t>
        </is>
      </c>
      <c r="G18" s="4" t="inlineStr">
        <is>
          <t>COLOR Naranja claro · ALTURA 70 cm</t>
        </is>
      </c>
      <c r="H18" s="3" t="inlineStr"/>
      <c r="I18" s="3" t="n">
        <v>20</v>
      </c>
      <c r="J18" s="3" t="inlineStr">
        <is>
          <t>20 шт.</t>
        </is>
      </c>
      <c r="K18" s="4">
        <f>IMAGE("https://cdn.verdnatura.es/image/catalog/1600x900/134889")</f>
        <v/>
      </c>
      <c r="L18" s="5" t="n"/>
      <c r="M18" s="6" t="n"/>
      <c r="N18" s="7" t="n"/>
      <c r="O18" s="8" t="n">
        <v>0.45</v>
      </c>
      <c r="P18" s="8" t="n">
        <v>9</v>
      </c>
    </row>
    <row r="19" ht="110" customHeight="1">
      <c r="A19" s="3" t="inlineStr">
        <is>
          <t>13063319</t>
        </is>
      </c>
      <c r="B19" s="3" t="inlineStr">
        <is>
          <t>06-07-2026</t>
        </is>
      </c>
      <c r="C19" s="3" t="inlineStr">
        <is>
          <t>Gloria</t>
        </is>
      </c>
      <c r="D19" s="3" t="inlineStr">
        <is>
          <t>140765</t>
        </is>
      </c>
      <c r="E19" s="4" t="inlineStr">
        <is>
          <t>Helleborus Mammoth Red</t>
        </is>
      </c>
      <c r="F19" s="4" t="inlineStr">
        <is>
          <t>Marginpar / KD</t>
        </is>
      </c>
      <c r="G19" s="4" t="inlineStr">
        <is>
          <t>COLOR Granate · ALTURA 40 cm</t>
        </is>
      </c>
      <c r="H19" s="3" t="inlineStr"/>
      <c r="I19" s="3" t="n">
        <v>30</v>
      </c>
      <c r="J19" s="3" t="inlineStr">
        <is>
          <t>30 шт.</t>
        </is>
      </c>
      <c r="K19" s="4">
        <f>IMAGE("https://cdn.verdnatura.es/image/catalog/1600x900/140765")</f>
        <v/>
      </c>
      <c r="L19" s="5" t="n"/>
      <c r="M19" s="6" t="n"/>
      <c r="N19" s="7" t="n"/>
      <c r="O19" s="8" t="n">
        <v>0.53</v>
      </c>
      <c r="P19" s="8" t="n">
        <v>15.9</v>
      </c>
    </row>
    <row r="20" ht="110" customHeight="1">
      <c r="A20" s="3" t="inlineStr">
        <is>
          <t>13063319</t>
        </is>
      </c>
      <c r="B20" s="3" t="inlineStr">
        <is>
          <t>06-07-2026</t>
        </is>
      </c>
      <c r="C20" s="3" t="inlineStr">
        <is>
          <t>Gloria</t>
        </is>
      </c>
      <c r="D20" s="3" t="inlineStr">
        <is>
          <t>48604</t>
        </is>
      </c>
      <c r="E20" s="4" t="inlineStr">
        <is>
          <t>Lathyrus Mix</t>
        </is>
      </c>
      <c r="F20" s="4" t="inlineStr"/>
      <c r="G20" s="4" t="inlineStr">
        <is>
          <t>COLOR Mixto · ALTURA 25 cm</t>
        </is>
      </c>
      <c r="H20" s="3" t="inlineStr"/>
      <c r="I20" s="3" t="n">
        <v>60</v>
      </c>
      <c r="J20" s="3" t="inlineStr">
        <is>
          <t>60 шт.</t>
        </is>
      </c>
      <c r="K20" s="4">
        <f>IMAGE("https://cdn.verdnatura.es/image/catalog/1600x900/48604")</f>
        <v/>
      </c>
      <c r="L20" s="5" t="n"/>
      <c r="M20" s="6" t="n"/>
      <c r="N20" s="7" t="n"/>
      <c r="O20" s="8" t="n">
        <v>0.09</v>
      </c>
      <c r="P20" s="8" t="n">
        <v>5.4</v>
      </c>
    </row>
    <row r="21" ht="110" customHeight="1">
      <c r="A21" s="3" t="inlineStr">
        <is>
          <t>13063319</t>
        </is>
      </c>
      <c r="B21" s="3" t="inlineStr">
        <is>
          <t>06-07-2026</t>
        </is>
      </c>
      <c r="C21" s="3" t="inlineStr">
        <is>
          <t>Gloria</t>
        </is>
      </c>
      <c r="D21" s="3" t="inlineStr">
        <is>
          <t>153196</t>
        </is>
      </c>
      <c r="E21" s="4" t="inlineStr">
        <is>
          <t>LDD Ayoba Morning Star</t>
        </is>
      </c>
      <c r="F21" s="4" t="inlineStr"/>
      <c r="G21" s="4" t="inlineStr">
        <is>
          <t>COLOR Rosa · ALTURA 40 cm</t>
        </is>
      </c>
      <c r="H21" s="3" t="inlineStr"/>
      <c r="I21" s="3" t="n">
        <v>40</v>
      </c>
      <c r="J21" s="3" t="inlineStr">
        <is>
          <t>40 шт.</t>
        </is>
      </c>
      <c r="K21" s="4">
        <f>IMAGE("https://cdn.verdnatura.es/image/catalog/1600x900/153196")</f>
        <v/>
      </c>
      <c r="L21" s="5" t="n"/>
      <c r="M21" s="6" t="n"/>
      <c r="N21" s="7" t="n"/>
      <c r="O21" s="8" t="n">
        <v>0.47</v>
      </c>
      <c r="P21" s="8" t="n">
        <v>18.8</v>
      </c>
    </row>
    <row r="22" ht="110" customHeight="1">
      <c r="A22" s="3" t="inlineStr">
        <is>
          <t>13063319</t>
        </is>
      </c>
      <c r="B22" s="3" t="inlineStr">
        <is>
          <t>06-07-2026</t>
        </is>
      </c>
      <c r="C22" s="3" t="inlineStr">
        <is>
          <t>Gloria</t>
        </is>
      </c>
      <c r="D22" s="3" t="inlineStr">
        <is>
          <t>163652</t>
        </is>
      </c>
      <c r="E22" s="4" t="inlineStr">
        <is>
          <t>LO Roselily Anouska (Premium)</t>
        </is>
      </c>
      <c r="F22" s="4" t="inlineStr">
        <is>
          <t>Dutch Lily Masters</t>
        </is>
      </c>
      <c r="G22" s="4" t="inlineStr">
        <is>
          <t>COLOR Blanco/Rosa · ALTURA 85 cm</t>
        </is>
      </c>
      <c r="H22" s="3" t="inlineStr"/>
      <c r="I22" s="3" t="n">
        <v>10</v>
      </c>
      <c r="J22" s="3" t="inlineStr">
        <is>
          <t>10 шт.</t>
        </is>
      </c>
      <c r="K22" s="4">
        <f>IMAGE("https://cdn.verdnatura.es/image/catalog/1600x900/163652")</f>
        <v/>
      </c>
      <c r="L22" s="5" t="n"/>
      <c r="M22" s="6" t="n"/>
      <c r="N22" s="7" t="n"/>
      <c r="O22" s="8" t="n">
        <v>1.32</v>
      </c>
      <c r="P22" s="8" t="n">
        <v>13.2</v>
      </c>
    </row>
    <row r="23" ht="110" customHeight="1">
      <c r="A23" s="3" t="inlineStr">
        <is>
          <t>13063319</t>
        </is>
      </c>
      <c r="B23" s="3" t="inlineStr">
        <is>
          <t>06-07-2026</t>
        </is>
      </c>
      <c r="C23" s="3" t="inlineStr">
        <is>
          <t>Gloria</t>
        </is>
      </c>
      <c r="D23" s="3" t="inlineStr">
        <is>
          <t>142766</t>
        </is>
      </c>
      <c r="E23" s="4" t="inlineStr">
        <is>
          <t>LO Roselily Samantha 4-5</t>
        </is>
      </c>
      <c r="F23" s="4" t="inlineStr">
        <is>
          <t>Moerman Lilium BV</t>
        </is>
      </c>
      <c r="G23" s="4" t="inlineStr">
        <is>
          <t>COLOR Rosa · ALTURA 80 cm · TAMAÑO BOTON 6-8</t>
        </is>
      </c>
      <c r="H23" s="3" t="inlineStr"/>
      <c r="I23" s="3" t="n">
        <v>10</v>
      </c>
      <c r="J23" s="3" t="inlineStr">
        <is>
          <t>10 шт.</t>
        </is>
      </c>
      <c r="K23" s="4">
        <f>IMAGE("https://cdn.verdnatura.es/image/catalog/1600x900/142766")</f>
        <v/>
      </c>
      <c r="L23" s="5" t="n"/>
      <c r="M23" s="6" t="n"/>
      <c r="N23" s="7" t="n"/>
      <c r="O23" s="8" t="n">
        <v>2.12</v>
      </c>
      <c r="P23" s="8" t="n">
        <v>21.2</v>
      </c>
    </row>
    <row r="24" ht="110" customHeight="1">
      <c r="A24" s="3" t="inlineStr">
        <is>
          <t>13063319</t>
        </is>
      </c>
      <c r="B24" s="3" t="inlineStr">
        <is>
          <t>06-07-2026</t>
        </is>
      </c>
      <c r="C24" s="3" t="inlineStr">
        <is>
          <t>Gloria</t>
        </is>
      </c>
      <c r="D24" s="3" t="inlineStr">
        <is>
          <t>199337</t>
        </is>
      </c>
      <c r="E24" s="4" t="inlineStr">
        <is>
          <t>LSP Pintado Aubergine</t>
        </is>
      </c>
      <c r="F24" s="4" t="inlineStr">
        <is>
          <t>De Mooij Import BV</t>
        </is>
      </c>
      <c r="G24" s="4" t="inlineStr">
        <is>
          <t>COLOR Granate · ALTURA 40 cm</t>
        </is>
      </c>
      <c r="H24" s="3" t="inlineStr"/>
      <c r="I24" s="3" t="n">
        <v>10</v>
      </c>
      <c r="J24" s="3" t="inlineStr">
        <is>
          <t>10 шт.</t>
        </is>
      </c>
      <c r="K24" s="4">
        <f>IMAGE("https://cdn.verdnatura.es/image/catalog/1600x900/199337")</f>
        <v/>
      </c>
      <c r="L24" s="5" t="n"/>
      <c r="M24" s="6" t="n"/>
      <c r="N24" s="7" t="n"/>
      <c r="O24" s="8" t="n">
        <v>1.03</v>
      </c>
      <c r="P24" s="8" t="n">
        <v>10.3</v>
      </c>
    </row>
    <row r="25" ht="110" customHeight="1">
      <c r="A25" s="3" t="inlineStr">
        <is>
          <t>13063319</t>
        </is>
      </c>
      <c r="B25" s="3" t="inlineStr">
        <is>
          <t>06-07-2026</t>
        </is>
      </c>
      <c r="C25" s="3" t="inlineStr">
        <is>
          <t>Gloria</t>
        </is>
      </c>
      <c r="D25" s="3" t="inlineStr">
        <is>
          <t>207446</t>
        </is>
      </c>
      <c r="E25" s="4" t="inlineStr">
        <is>
          <t>Sedum Amarillo</t>
        </is>
      </c>
      <c r="F25" s="4" t="inlineStr">
        <is>
          <t>Th.N. Konijn</t>
        </is>
      </c>
      <c r="G25" s="4" t="inlineStr">
        <is>
          <t>COLOR Amarillo · ALTURA 50 cm</t>
        </is>
      </c>
      <c r="H25" s="3" t="inlineStr">
        <is>
          <t>Tallo</t>
        </is>
      </c>
      <c r="I25" s="3" t="n">
        <v>75</v>
      </c>
      <c r="J25" s="3" t="inlineStr">
        <is>
          <t>75 стеблей</t>
        </is>
      </c>
      <c r="K25" s="4">
        <f>IMAGE("https://cdn.verdnatura.es/image/catalog/1600x900/207446")</f>
        <v/>
      </c>
      <c r="L25" s="5" t="n"/>
      <c r="M25" s="6" t="n"/>
      <c r="N25" s="7" t="n"/>
      <c r="O25" s="8" t="n">
        <v>0.34</v>
      </c>
      <c r="P25" s="8" t="n">
        <v>25.5</v>
      </c>
    </row>
    <row r="26" ht="110" customHeight="1">
      <c r="A26" s="3" t="inlineStr">
        <is>
          <t>13063319</t>
        </is>
      </c>
      <c r="B26" s="3" t="inlineStr">
        <is>
          <t>06-07-2026</t>
        </is>
      </c>
      <c r="C26" s="3" t="inlineStr">
        <is>
          <t>Gloria</t>
        </is>
      </c>
      <c r="D26" s="3" t="inlineStr">
        <is>
          <t>99319</t>
        </is>
      </c>
      <c r="E26" s="4" t="inlineStr">
        <is>
          <t>TUL Dynasty</t>
        </is>
      </c>
      <c r="F26" s="4" t="inlineStr"/>
      <c r="G26" s="4" t="inlineStr">
        <is>
          <t>COLOR Rosa · ALTURA 38 cm · PESO/TALLO 34 gr</t>
        </is>
      </c>
      <c r="H26" s="3" t="inlineStr"/>
      <c r="I26" s="3" t="n">
        <v>50</v>
      </c>
      <c r="J26" s="3" t="inlineStr">
        <is>
          <t>50 шт.</t>
        </is>
      </c>
      <c r="K26" s="4">
        <f>IMAGE("https://cdn.verdnatura.es/image/catalog/1600x900/99319")</f>
        <v/>
      </c>
      <c r="L26" s="5" t="n"/>
      <c r="M26" s="6" t="n"/>
      <c r="N26" s="7" t="n"/>
      <c r="O26" s="8" t="n">
        <v>0.33</v>
      </c>
      <c r="P26" s="8" t="n">
        <v>16.5</v>
      </c>
    </row>
    <row r="27" ht="110" customHeight="1">
      <c r="A27" s="3" t="inlineStr">
        <is>
          <t>13063319</t>
        </is>
      </c>
      <c r="B27" s="3" t="inlineStr">
        <is>
          <t>06-07-2026</t>
        </is>
      </c>
      <c r="C27" s="3" t="inlineStr">
        <is>
          <t>Gloria</t>
        </is>
      </c>
      <c r="D27" s="3" t="inlineStr">
        <is>
          <t>206294</t>
        </is>
      </c>
      <c r="E27" s="4" t="inlineStr">
        <is>
          <t>TUL Mix</t>
        </is>
      </c>
      <c r="F27" s="4" t="inlineStr">
        <is>
          <t>B &amp; L Tulips</t>
        </is>
      </c>
      <c r="G27" s="4" t="inlineStr">
        <is>
          <t>COLOR Mixto · ALTURA 28 cm · PESO/TALLO 30 gr</t>
        </is>
      </c>
      <c r="H27" s="3" t="inlineStr"/>
      <c r="I27" s="3" t="n">
        <v>100</v>
      </c>
      <c r="J27" s="3" t="inlineStr">
        <is>
          <t>100 шт.</t>
        </is>
      </c>
      <c r="K27" s="4">
        <f>IMAGE("https://cdn.verdnatura.es/image/catalog/1600x900/206294")</f>
        <v/>
      </c>
      <c r="L27" s="5" t="n"/>
      <c r="M27" s="6" t="n"/>
      <c r="N27" s="7" t="n"/>
      <c r="O27" s="8" t="n">
        <v>0.25</v>
      </c>
      <c r="P27" s="8" t="n">
        <v>25</v>
      </c>
    </row>
    <row r="28" ht="110" customHeight="1">
      <c r="A28" s="3" t="inlineStr">
        <is>
          <t>13063319</t>
        </is>
      </c>
      <c r="B28" s="3" t="inlineStr">
        <is>
          <t>06-07-2026</t>
        </is>
      </c>
      <c r="C28" s="3" t="inlineStr">
        <is>
          <t>Gloria</t>
        </is>
      </c>
      <c r="D28" s="3" t="inlineStr">
        <is>
          <t>59682</t>
        </is>
      </c>
      <c r="E28" s="4" t="inlineStr">
        <is>
          <t>TUL Orange Juice</t>
        </is>
      </c>
      <c r="F28" s="4" t="inlineStr"/>
      <c r="G28" s="4" t="inlineStr">
        <is>
          <t>COLOR Naranja · ALTURA 35 cm · PESO/TALLO 28 gr</t>
        </is>
      </c>
      <c r="H28" s="3" t="inlineStr"/>
      <c r="I28" s="3" t="n">
        <v>50</v>
      </c>
      <c r="J28" s="3" t="inlineStr">
        <is>
          <t>50 шт.</t>
        </is>
      </c>
      <c r="K28" s="4">
        <f>IMAGE("https://cdn.verdnatura.es/image/catalog/1600x900/59682")</f>
        <v/>
      </c>
      <c r="L28" s="5" t="n"/>
      <c r="M28" s="6" t="n"/>
      <c r="N28" s="7" t="n"/>
      <c r="O28" s="8" t="n">
        <v>0.47</v>
      </c>
      <c r="P28" s="8" t="n">
        <v>23.5</v>
      </c>
    </row>
    <row r="29" ht="110" customHeight="1">
      <c r="A29" s="3" t="inlineStr">
        <is>
          <t>13063319</t>
        </is>
      </c>
      <c r="B29" s="3" t="inlineStr">
        <is>
          <t>06-07-2026</t>
        </is>
      </c>
      <c r="C29" s="3" t="inlineStr">
        <is>
          <t>Gloria</t>
        </is>
      </c>
      <c r="D29" s="3" t="inlineStr">
        <is>
          <t>80424</t>
        </is>
      </c>
      <c r="E29" s="4" t="inlineStr">
        <is>
          <t>VERO Smart Fountain</t>
        </is>
      </c>
      <c r="F29" s="4" t="inlineStr"/>
      <c r="G29" s="4" t="inlineStr">
        <is>
          <t>COLOR Morado · ALTURA 40 cm</t>
        </is>
      </c>
      <c r="H29" s="3" t="inlineStr"/>
      <c r="I29" s="3" t="n">
        <v>20</v>
      </c>
      <c r="J29" s="3" t="inlineStr">
        <is>
          <t>20 шт.</t>
        </is>
      </c>
      <c r="K29" s="4">
        <f>IMAGE("https://cdn.verdnatura.es/image/catalog/1600x900/80424")</f>
        <v/>
      </c>
      <c r="L29" s="5" t="n"/>
      <c r="M29" s="6" t="n"/>
      <c r="N29" s="7" t="n"/>
      <c r="O29" s="8" t="n">
        <v>0.23</v>
      </c>
      <c r="P29" s="8" t="n">
        <v>4.6</v>
      </c>
    </row>
    <row r="30" ht="110" customHeight="1">
      <c r="A30" s="3" t="inlineStr">
        <is>
          <t>13063319</t>
        </is>
      </c>
      <c r="B30" s="3" t="inlineStr">
        <is>
          <t>06-07-2026</t>
        </is>
      </c>
      <c r="C30" s="3" t="inlineStr">
        <is>
          <t>Gloria</t>
        </is>
      </c>
      <c r="D30" s="3" t="inlineStr">
        <is>
          <t>123078</t>
        </is>
      </c>
      <c r="E30" s="4" t="inlineStr">
        <is>
          <t>VERO Smart Wave</t>
        </is>
      </c>
      <c r="F30" s="4" t="inlineStr"/>
      <c r="G30" s="4" t="inlineStr">
        <is>
          <t>COLOR Blanco · ALTURA 60 cm</t>
        </is>
      </c>
      <c r="H30" s="3" t="inlineStr"/>
      <c r="I30" s="3" t="n">
        <v>20</v>
      </c>
      <c r="J30" s="3" t="inlineStr">
        <is>
          <t>20 шт.</t>
        </is>
      </c>
      <c r="K30" s="4">
        <f>IMAGE("https://cdn.verdnatura.es/image/catalog/1600x900/123078")</f>
        <v/>
      </c>
      <c r="L30" s="5" t="n"/>
      <c r="M30" s="6" t="n"/>
      <c r="N30" s="7" t="n"/>
      <c r="O30" s="8" t="n">
        <v>0.32</v>
      </c>
      <c r="P30" s="8" t="n">
        <v>6.4</v>
      </c>
    </row>
    <row r="31" ht="26" customHeight="1">
      <c r="A31" s="2" t="inlineStr">
        <is>
          <t>📦  Накладная #13063540  ·  06-07-2026  ·  Gloria  ·  3 позиций  ·  bultos: 1</t>
        </is>
      </c>
    </row>
    <row r="32" ht="110" customHeight="1">
      <c r="A32" s="3" t="inlineStr">
        <is>
          <t>13063540</t>
        </is>
      </c>
      <c r="B32" s="3" t="inlineStr">
        <is>
          <t>06-07-2026</t>
        </is>
      </c>
      <c r="C32" s="3" t="inlineStr">
        <is>
          <t>Gloria</t>
        </is>
      </c>
      <c r="D32" s="3" t="inlineStr">
        <is>
          <t>166346</t>
        </is>
      </c>
      <c r="E32" s="4" t="inlineStr">
        <is>
          <t>Set de 2 Cesta Asa Corel</t>
        </is>
      </c>
      <c r="F32" s="4" t="inlineStr">
        <is>
          <t>Verdnatura</t>
        </is>
      </c>
      <c r="G32" s="4" t="inlineStr">
        <is>
          <t>ALTURA CON ASA 21 cm · ALTURA 15 cm · DIAMETRO 27 cm</t>
        </is>
      </c>
      <c r="H32" s="3" t="inlineStr"/>
      <c r="I32" s="3" t="n">
        <v>2</v>
      </c>
      <c r="J32" s="3" t="inlineStr">
        <is>
          <t>2 шт.</t>
        </is>
      </c>
      <c r="K32" s="4">
        <f>IMAGE("https://cdn.verdnatura.es/image/catalog/1600x900/166346")</f>
        <v/>
      </c>
      <c r="L32" s="5" t="n"/>
      <c r="M32" s="6" t="n"/>
      <c r="N32" s="7" t="n"/>
      <c r="O32" s="8" t="n">
        <v>7.79</v>
      </c>
      <c r="P32" s="8" t="n">
        <v>15.58</v>
      </c>
    </row>
    <row r="33" ht="110" customHeight="1">
      <c r="A33" s="3" t="inlineStr">
        <is>
          <t>13063540</t>
        </is>
      </c>
      <c r="B33" s="3" t="inlineStr">
        <is>
          <t>06-07-2026</t>
        </is>
      </c>
      <c r="C33" s="3" t="inlineStr">
        <is>
          <t>Gloria</t>
        </is>
      </c>
      <c r="D33" s="3" t="inlineStr">
        <is>
          <t>108734</t>
        </is>
      </c>
      <c r="E33" s="4" t="inlineStr">
        <is>
          <t>Set de 2 Cestas con Asa Aloha</t>
        </is>
      </c>
      <c r="F33" s="4" t="inlineStr">
        <is>
          <t>Verdnatura</t>
        </is>
      </c>
      <c r="G33" s="4" t="inlineStr">
        <is>
          <t>ALTURA CON ASA 32 cm · ALTURA 12 cm · DIAMETRO 18 cm</t>
        </is>
      </c>
      <c r="H33" s="3" t="inlineStr"/>
      <c r="I33" s="3" t="n">
        <v>2</v>
      </c>
      <c r="J33" s="3" t="inlineStr">
        <is>
          <t>2 шт.</t>
        </is>
      </c>
      <c r="K33" s="4">
        <f>IMAGE("https://cdn.verdnatura.es/image/catalog/1600x900/108734")</f>
        <v/>
      </c>
      <c r="L33" s="5" t="n"/>
      <c r="M33" s="6" t="n"/>
      <c r="N33" s="7" t="n"/>
      <c r="O33" s="8" t="n">
        <v>3.48</v>
      </c>
      <c r="P33" s="8" t="n">
        <v>6.96</v>
      </c>
    </row>
    <row r="34" ht="110" customHeight="1">
      <c r="A34" s="3" t="inlineStr">
        <is>
          <t>13063540</t>
        </is>
      </c>
      <c r="B34" s="3" t="inlineStr">
        <is>
          <t>06-07-2026</t>
        </is>
      </c>
      <c r="C34" s="3" t="inlineStr">
        <is>
          <t>Gloria</t>
        </is>
      </c>
      <c r="D34" s="3" t="inlineStr">
        <is>
          <t>195608</t>
        </is>
      </c>
      <c r="E34" s="4" t="inlineStr">
        <is>
          <t>Set de 3 Cestas Gala Cylinder</t>
        </is>
      </c>
      <c r="F34" s="4" t="inlineStr">
        <is>
          <t>Mega Ceramics</t>
        </is>
      </c>
      <c r="G34" s="4" t="inlineStr">
        <is>
          <t>ALTURA 30 cm · DIAMETRO 35 cm · DIAMETRO BOCA 33 cm</t>
        </is>
      </c>
      <c r="H34" s="3" t="inlineStr"/>
      <c r="I34" s="3" t="n">
        <v>1</v>
      </c>
      <c r="J34" s="3" t="inlineStr">
        <is>
          <t>1 шт.</t>
        </is>
      </c>
      <c r="K34" s="4">
        <f>IMAGE("https://cdn.verdnatura.es/image/catalog/1600x900/195608")</f>
        <v/>
      </c>
      <c r="L34" s="5" t="n"/>
      <c r="M34" s="6" t="n"/>
      <c r="N34" s="7" t="n"/>
      <c r="O34" s="8" t="n">
        <v>28.95</v>
      </c>
      <c r="P34" s="8" t="n">
        <v>28.95</v>
      </c>
    </row>
    <row r="35" ht="26" customHeight="1">
      <c r="A35" s="2" t="inlineStr">
        <is>
          <t>📦  Накладная #13064129  ·  06-07-2026  ·  Gloria  ·  9 позиций  ·  bultos: 1</t>
        </is>
      </c>
    </row>
    <row r="36" ht="110" customHeight="1">
      <c r="A36" s="3" t="inlineStr">
        <is>
          <t>13064129</t>
        </is>
      </c>
      <c r="B36" s="3" t="inlineStr">
        <is>
          <t>06-07-2026</t>
        </is>
      </c>
      <c r="C36" s="3" t="inlineStr">
        <is>
          <t>Gloria</t>
        </is>
      </c>
      <c r="D36" s="3" t="inlineStr">
        <is>
          <t>95338</t>
        </is>
      </c>
      <c r="E36" s="4" t="inlineStr">
        <is>
          <t>CR Molly Yellow</t>
        </is>
      </c>
      <c r="F36" s="4" t="inlineStr">
        <is>
          <t>Benchmark</t>
        </is>
      </c>
      <c r="G36" s="4" t="inlineStr">
        <is>
          <t>COLOR Amarillo · ALTURA 70 cm · PESO/TALLO 30-35 gr</t>
        </is>
      </c>
      <c r="H36" s="3" t="inlineStr"/>
      <c r="I36" s="3" t="n">
        <v>20</v>
      </c>
      <c r="J36" s="3" t="inlineStr">
        <is>
          <t>20 шт.</t>
        </is>
      </c>
      <c r="K36" s="4">
        <f>IMAGE("https://cdn.verdnatura.es/image/catalog/1600x900/95338")</f>
        <v/>
      </c>
      <c r="L36" s="5" t="n"/>
      <c r="M36" s="6" t="n"/>
      <c r="N36" s="7" t="n"/>
      <c r="O36" s="8" t="n">
        <v>0.36</v>
      </c>
      <c r="P36" s="8" t="n">
        <v>7.2</v>
      </c>
    </row>
    <row r="37" ht="110" customHeight="1">
      <c r="A37" s="3" t="inlineStr">
        <is>
          <t>13064129</t>
        </is>
      </c>
      <c r="B37" s="3" t="inlineStr">
        <is>
          <t>06-07-2026</t>
        </is>
      </c>
      <c r="C37" s="3" t="inlineStr">
        <is>
          <t>Gloria</t>
        </is>
      </c>
      <c r="D37" s="3" t="inlineStr">
        <is>
          <t>151514</t>
        </is>
      </c>
      <c r="E37" s="4" t="inlineStr">
        <is>
          <t>Molucella</t>
        </is>
      </c>
      <c r="F37" s="4" t="inlineStr">
        <is>
          <t>Multiflora</t>
        </is>
      </c>
      <c r="G37" s="4" t="inlineStr">
        <is>
          <t>COLOR Verde · ALTURA 80 cm</t>
        </is>
      </c>
      <c r="H37" s="3" t="inlineStr">
        <is>
          <t>Tallo</t>
        </is>
      </c>
      <c r="I37" s="3" t="n">
        <v>20</v>
      </c>
      <c r="J37" s="3" t="inlineStr">
        <is>
          <t>20 стеблей</t>
        </is>
      </c>
      <c r="K37" s="4">
        <f>IMAGE("https://cdn.verdnatura.es/image/catalog/1600x900/151514")</f>
        <v/>
      </c>
      <c r="L37" s="5" t="n"/>
      <c r="M37" s="6" t="n"/>
      <c r="N37" s="7" t="n"/>
      <c r="O37" s="8" t="n">
        <v>0.4</v>
      </c>
      <c r="P37" s="8" t="n">
        <v>8</v>
      </c>
    </row>
    <row r="38" ht="110" customHeight="1">
      <c r="A38" s="3" t="inlineStr">
        <is>
          <t>13064129</t>
        </is>
      </c>
      <c r="B38" s="3" t="inlineStr">
        <is>
          <t>06-07-2026</t>
        </is>
      </c>
      <c r="C38" s="3" t="inlineStr">
        <is>
          <t>Gloria</t>
        </is>
      </c>
      <c r="D38" s="3" t="inlineStr">
        <is>
          <t>115481</t>
        </is>
      </c>
      <c r="E38" s="4" t="inlineStr">
        <is>
          <t>Peonia Dr Alex Fleming</t>
        </is>
      </c>
      <c r="F38" s="4" t="inlineStr">
        <is>
          <t>My-Peony</t>
        </is>
      </c>
      <c r="G38" s="4" t="inlineStr">
        <is>
          <t>COLOR Fucsia · ALTURA 45 cm · APERTURA 2-3</t>
        </is>
      </c>
      <c r="H38" s="3" t="inlineStr"/>
      <c r="I38" s="3" t="n">
        <v>60</v>
      </c>
      <c r="J38" s="3" t="inlineStr">
        <is>
          <t>60 шт.</t>
        </is>
      </c>
      <c r="K38" s="4">
        <f>IMAGE("https://cdn.verdnatura.es/image/catalog/1600x900/115481")</f>
        <v/>
      </c>
      <c r="L38" s="5" t="n"/>
      <c r="M38" s="6" t="n"/>
      <c r="N38" s="7" t="n"/>
      <c r="O38" s="8" t="n">
        <v>0.51</v>
      </c>
      <c r="P38" s="8" t="n">
        <v>30.6</v>
      </c>
    </row>
    <row r="39" ht="110" customHeight="1">
      <c r="A39" s="3" t="inlineStr">
        <is>
          <t>13064129</t>
        </is>
      </c>
      <c r="B39" s="3" t="inlineStr">
        <is>
          <t>06-07-2026</t>
        </is>
      </c>
      <c r="C39" s="3" t="inlineStr">
        <is>
          <t>Gloria</t>
        </is>
      </c>
      <c r="D39" s="3" t="inlineStr">
        <is>
          <t>177995</t>
        </is>
      </c>
      <c r="E39" s="4" t="inlineStr">
        <is>
          <t>RS Be Sweet EXT</t>
        </is>
      </c>
      <c r="F39" s="4" t="inlineStr">
        <is>
          <t>Ecuador</t>
        </is>
      </c>
      <c r="G39" s="4" t="inlineStr">
        <is>
          <t>COLOR Rosa Claro · ALTURA 50 cm · BOTÓN MINIMO 5 cm</t>
        </is>
      </c>
      <c r="H39" s="3" t="inlineStr"/>
      <c r="I39" s="3" t="n">
        <v>25</v>
      </c>
      <c r="J39" s="3" t="inlineStr">
        <is>
          <t>25 шт.</t>
        </is>
      </c>
      <c r="K39" s="4">
        <f>IMAGE("https://cdn.verdnatura.es/image/catalog/1600x900/177995")</f>
        <v/>
      </c>
      <c r="L39" s="5" t="n"/>
      <c r="M39" s="6" t="n"/>
      <c r="N39" s="7" t="n"/>
      <c r="O39" s="8" t="n">
        <v>0.59</v>
      </c>
      <c r="P39" s="8" t="n">
        <v>14.75</v>
      </c>
    </row>
    <row r="40" ht="110" customHeight="1">
      <c r="A40" s="3" t="inlineStr">
        <is>
          <t>13064129</t>
        </is>
      </c>
      <c r="B40" s="3" t="inlineStr">
        <is>
          <t>06-07-2026</t>
        </is>
      </c>
      <c r="C40" s="3" t="inlineStr">
        <is>
          <t>Gloria</t>
        </is>
      </c>
      <c r="D40" s="3" t="inlineStr">
        <is>
          <t>60525</t>
        </is>
      </c>
      <c r="E40" s="4" t="inlineStr">
        <is>
          <t>RS Explorer EXT</t>
        </is>
      </c>
      <c r="F40" s="4" t="inlineStr">
        <is>
          <t>Floraroma</t>
        </is>
      </c>
      <c r="G40" s="4" t="inlineStr">
        <is>
          <t>COLOR Rojo · ALTURA 60 cm · BOTÓN MINIMO 6.5 cm</t>
        </is>
      </c>
      <c r="H40" s="3" t="inlineStr"/>
      <c r="I40" s="3" t="n">
        <v>50</v>
      </c>
      <c r="J40" s="3" t="inlineStr">
        <is>
          <t>50 шт.</t>
        </is>
      </c>
      <c r="K40" s="4">
        <f>IMAGE("https://cdn.verdnatura.es/image/catalog/1600x900/60525")</f>
        <v/>
      </c>
      <c r="L40" s="5" t="n"/>
      <c r="M40" s="6" t="n"/>
      <c r="N40" s="7" t="n"/>
      <c r="O40" s="8" t="n">
        <v>0.65</v>
      </c>
      <c r="P40" s="8" t="n">
        <v>32.5</v>
      </c>
    </row>
    <row r="41" ht="110" customHeight="1">
      <c r="A41" s="3" t="inlineStr">
        <is>
          <t>13064129</t>
        </is>
      </c>
      <c r="B41" s="3" t="inlineStr">
        <is>
          <t>06-07-2026</t>
        </is>
      </c>
      <c r="C41" s="3" t="inlineStr">
        <is>
          <t>Gloria</t>
        </is>
      </c>
      <c r="D41" s="3" t="inlineStr">
        <is>
          <t>207179</t>
        </is>
      </c>
      <c r="E41" s="4" t="inlineStr">
        <is>
          <t>RS Free Spirit EXT</t>
        </is>
      </c>
      <c r="F41" s="4" t="inlineStr">
        <is>
          <t>Floristica</t>
        </is>
      </c>
      <c r="G41" s="4" t="inlineStr">
        <is>
          <t>COLOR Coral · ALTURA 50 cm · BOTÓN MINIMO 5 cm</t>
        </is>
      </c>
      <c r="H41" s="3" t="inlineStr"/>
      <c r="I41" s="3" t="n">
        <v>25</v>
      </c>
      <c r="J41" s="3" t="inlineStr">
        <is>
          <t>25 шт.</t>
        </is>
      </c>
      <c r="K41" s="4">
        <f>IMAGE("https://cdn.verdnatura.es/image/catalog/1600x900/207179")</f>
        <v/>
      </c>
      <c r="L41" s="5" t="n"/>
      <c r="M41" s="6" t="n"/>
      <c r="N41" s="7" t="n"/>
      <c r="O41" s="8" t="n">
        <v>0.54</v>
      </c>
      <c r="P41" s="8" t="n">
        <v>13.5</v>
      </c>
    </row>
    <row r="42" ht="110" customHeight="1">
      <c r="A42" s="3" t="inlineStr">
        <is>
          <t>13064129</t>
        </is>
      </c>
      <c r="B42" s="3" t="inlineStr">
        <is>
          <t>06-07-2026</t>
        </is>
      </c>
      <c r="C42" s="3" t="inlineStr">
        <is>
          <t>Gloria</t>
        </is>
      </c>
      <c r="D42" s="3" t="inlineStr">
        <is>
          <t>177160</t>
        </is>
      </c>
      <c r="E42" s="4" t="inlineStr">
        <is>
          <t>RS Mondial SEL</t>
        </is>
      </c>
      <c r="F42" s="4" t="inlineStr">
        <is>
          <t>Ecuador</t>
        </is>
      </c>
      <c r="G42" s="4" t="inlineStr">
        <is>
          <t>COLOR Blanco · ALTURA 60 cm · BOTÓN MINIMO 6 cm</t>
        </is>
      </c>
      <c r="H42" s="3" t="inlineStr"/>
      <c r="I42" s="3" t="n">
        <v>25</v>
      </c>
      <c r="J42" s="3" t="inlineStr">
        <is>
          <t>25 шт.</t>
        </is>
      </c>
      <c r="K42" s="4">
        <f>IMAGE("https://cdn.verdnatura.es/image/catalog/1600x900/177160")</f>
        <v/>
      </c>
      <c r="L42" s="5" t="n"/>
      <c r="M42" s="6" t="n"/>
      <c r="N42" s="7" t="n"/>
      <c r="O42" s="8" t="n">
        <v>0.7</v>
      </c>
      <c r="P42" s="8" t="n">
        <v>17.5</v>
      </c>
    </row>
    <row r="43" ht="110" customHeight="1">
      <c r="A43" s="3" t="inlineStr">
        <is>
          <t>13064129</t>
        </is>
      </c>
      <c r="B43" s="3" t="inlineStr">
        <is>
          <t>06-07-2026</t>
        </is>
      </c>
      <c r="C43" s="3" t="inlineStr">
        <is>
          <t>Gloria</t>
        </is>
      </c>
      <c r="D43" s="3" t="inlineStr">
        <is>
          <t>443498</t>
        </is>
      </c>
      <c r="E43" s="4" t="inlineStr">
        <is>
          <t>RS Rainbow Natural</t>
        </is>
      </c>
      <c r="F43" s="4" t="inlineStr">
        <is>
          <t>Native</t>
        </is>
      </c>
      <c r="G43" s="4" t="inlineStr">
        <is>
          <t>COLOR Mixto · ALTURA 50 cm · BOTÓN MINIMO Mix</t>
        </is>
      </c>
      <c r="H43" s="3" t="inlineStr"/>
      <c r="I43" s="3" t="n">
        <v>50</v>
      </c>
      <c r="J43" s="3" t="inlineStr">
        <is>
          <t>50 шт.</t>
        </is>
      </c>
      <c r="K43" s="4">
        <f>IMAGE("https://cdn.verdnatura.es/image/catalog/1600x900/443498")</f>
        <v/>
      </c>
      <c r="L43" s="5" t="n"/>
      <c r="M43" s="6" t="n"/>
      <c r="N43" s="7" t="n"/>
      <c r="O43" s="8" t="n">
        <v>0.5</v>
      </c>
      <c r="P43" s="8" t="n">
        <v>25</v>
      </c>
    </row>
    <row r="44" ht="110" customHeight="1">
      <c r="A44" s="3" t="inlineStr">
        <is>
          <t>13064129</t>
        </is>
      </c>
      <c r="B44" s="3" t="inlineStr">
        <is>
          <t>06-07-2026</t>
        </is>
      </c>
      <c r="C44" s="3" t="inlineStr">
        <is>
          <t>Gloria</t>
        </is>
      </c>
      <c r="D44" s="3" t="inlineStr">
        <is>
          <t>182926</t>
        </is>
      </c>
      <c r="E44" s="4" t="inlineStr">
        <is>
          <t>RSR Rainbow</t>
        </is>
      </c>
      <c r="F44" s="4" t="inlineStr">
        <is>
          <t>Multiflora</t>
        </is>
      </c>
      <c r="G44" s="4" t="inlineStr">
        <is>
          <t>COLOR Mixto · ALTURA 50 cm</t>
        </is>
      </c>
      <c r="H44" s="3" t="inlineStr"/>
      <c r="I44" s="3" t="n">
        <v>50</v>
      </c>
      <c r="J44" s="3" t="inlineStr">
        <is>
          <t>50 шт.</t>
        </is>
      </c>
      <c r="K44" s="4">
        <f>IMAGE("https://cdn.verdnatura.es/image/catalog/1600x900/182926")</f>
        <v/>
      </c>
      <c r="L44" s="5" t="n"/>
      <c r="M44" s="6" t="n"/>
      <c r="N44" s="7" t="n"/>
      <c r="O44" s="8" t="n">
        <v>0.47</v>
      </c>
      <c r="P44" s="8" t="n">
        <v>23.5</v>
      </c>
    </row>
    <row r="45" ht="26" customHeight="1">
      <c r="A45" s="2" t="inlineStr">
        <is>
          <t>📦  Накладная #13064313  ·  06-07-2026  ·  Gloria  ·  4 позиций  ·  bultos: 4</t>
        </is>
      </c>
    </row>
    <row r="46" ht="110" customHeight="1">
      <c r="A46" s="3" t="inlineStr">
        <is>
          <t>13064313</t>
        </is>
      </c>
      <c r="B46" s="3" t="inlineStr">
        <is>
          <t>06-07-2026</t>
        </is>
      </c>
      <c r="C46" s="3" t="inlineStr">
        <is>
          <t>Gloria</t>
        </is>
      </c>
      <c r="D46" s="3" t="inlineStr">
        <is>
          <t>45182</t>
        </is>
      </c>
      <c r="E46" s="4" t="inlineStr">
        <is>
          <t>Citrofortunella Microcarpa (Ca</t>
        </is>
      </c>
      <c r="F46" s="4" t="inlineStr">
        <is>
          <t>Citrina</t>
        </is>
      </c>
      <c r="G46" s="4" t="inlineStr">
        <is>
          <t>COLOR Naranja · ALTURA 35 cm · MACETA 14</t>
        </is>
      </c>
      <c r="H46" s="3" t="inlineStr"/>
      <c r="I46" s="3" t="n">
        <v>6</v>
      </c>
      <c r="J46" s="3" t="inlineStr">
        <is>
          <t>6 шт.</t>
        </is>
      </c>
      <c r="K46" s="4">
        <f>IMAGE("https://cdn.verdnatura.es/image/catalog/1600x900/45182")</f>
        <v/>
      </c>
      <c r="L46" s="5" t="n"/>
      <c r="M46" s="6" t="n"/>
      <c r="N46" s="7" t="n"/>
      <c r="O46" s="8" t="n">
        <v>5.88</v>
      </c>
      <c r="P46" s="8" t="n">
        <v>35.28</v>
      </c>
    </row>
    <row r="47" ht="110" customHeight="1">
      <c r="A47" s="3" t="inlineStr">
        <is>
          <t>13064313</t>
        </is>
      </c>
      <c r="B47" s="3" t="inlineStr">
        <is>
          <t>06-07-2026</t>
        </is>
      </c>
      <c r="C47" s="3" t="inlineStr">
        <is>
          <t>Gloria</t>
        </is>
      </c>
      <c r="D47" s="3" t="inlineStr">
        <is>
          <t>207605</t>
        </is>
      </c>
      <c r="E47" s="4" t="inlineStr">
        <is>
          <t>Ficus be Bushy King x10 3T</t>
        </is>
      </c>
      <c r="F47" s="4" t="inlineStr">
        <is>
          <t>MDK PLANTS &amp; DECORATIONS</t>
        </is>
      </c>
      <c r="G47" s="4" t="inlineStr">
        <is>
          <t>COLOR Matizado · ALTURA 40 cm · MACETA 12</t>
        </is>
      </c>
      <c r="H47" s="3" t="inlineStr"/>
      <c r="I47" s="3" t="n">
        <v>10</v>
      </c>
      <c r="J47" s="3" t="inlineStr">
        <is>
          <t>10 шт.</t>
        </is>
      </c>
      <c r="K47" s="4">
        <f>IMAGE("https://cdn.verdnatura.es/image/catalog/1600x900/207605")</f>
        <v/>
      </c>
      <c r="L47" s="5" t="n"/>
      <c r="M47" s="6" t="n"/>
      <c r="N47" s="7" t="n"/>
      <c r="O47" s="8" t="n">
        <v>3.91</v>
      </c>
      <c r="P47" s="8" t="n">
        <v>39.1</v>
      </c>
    </row>
    <row r="48" ht="110" customHeight="1">
      <c r="A48" s="3" t="inlineStr">
        <is>
          <t>13064313</t>
        </is>
      </c>
      <c r="B48" s="3" t="inlineStr">
        <is>
          <t>06-07-2026</t>
        </is>
      </c>
      <c r="C48" s="3" t="inlineStr">
        <is>
          <t>Gloria</t>
        </is>
      </c>
      <c r="D48" s="3" t="inlineStr">
        <is>
          <t>62136</t>
        </is>
      </c>
      <c r="E48" s="4" t="inlineStr">
        <is>
          <t>KAL Du Mix Happiness</t>
        </is>
      </c>
      <c r="F48" s="4" t="inlineStr">
        <is>
          <t>GP Power Plants</t>
        </is>
      </c>
      <c r="G48" s="4" t="inlineStr">
        <is>
          <t>COLOR Mixto · ALTURA 24 cm · MACETA 12</t>
        </is>
      </c>
      <c r="H48" s="3" t="inlineStr"/>
      <c r="I48" s="3" t="n">
        <v>10</v>
      </c>
      <c r="J48" s="3" t="inlineStr">
        <is>
          <t>10 шт.</t>
        </is>
      </c>
      <c r="K48" s="4">
        <f>IMAGE("https://cdn.verdnatura.es/image/catalog/1600x900/62136")</f>
        <v/>
      </c>
      <c r="L48" s="5" t="n"/>
      <c r="M48" s="6" t="n"/>
      <c r="N48" s="7" t="n"/>
      <c r="O48" s="8" t="n">
        <v>1.46</v>
      </c>
      <c r="P48" s="8" t="n">
        <v>14.6</v>
      </c>
    </row>
    <row r="49" ht="110" customHeight="1">
      <c r="A49" s="3" t="inlineStr">
        <is>
          <t>13064313</t>
        </is>
      </c>
      <c r="B49" s="3" t="inlineStr">
        <is>
          <t>06-07-2026</t>
        </is>
      </c>
      <c r="C49" s="3" t="inlineStr">
        <is>
          <t>Gloria</t>
        </is>
      </c>
      <c r="D49" s="3" t="inlineStr">
        <is>
          <t>207573</t>
        </is>
      </c>
      <c r="E49" s="4" t="inlineStr">
        <is>
          <t>Yucca In Noah Korb</t>
        </is>
      </c>
      <c r="F49" s="4" t="inlineStr">
        <is>
          <t>C.F.F. Bakker/Mondo Verde</t>
        </is>
      </c>
      <c r="G49" s="4" t="inlineStr">
        <is>
          <t>COLOR Verde · ALTURA 50 cm · MACETA 14</t>
        </is>
      </c>
      <c r="H49" s="3" t="inlineStr"/>
      <c r="I49" s="3" t="n">
        <v>6</v>
      </c>
      <c r="J49" s="3" t="inlineStr">
        <is>
          <t>6 шт.</t>
        </is>
      </c>
      <c r="K49" s="4">
        <f>IMAGE("https://cdn.verdnatura.es/image/catalog/1600x900/207573")</f>
        <v/>
      </c>
      <c r="L49" s="5" t="n"/>
      <c r="M49" s="6" t="n"/>
      <c r="N49" s="7" t="n"/>
      <c r="O49" s="8" t="n">
        <v>6.82</v>
      </c>
      <c r="P49" s="8" t="n">
        <v>40.92</v>
      </c>
    </row>
    <row r="50" ht="26" customHeight="1">
      <c r="A50" s="2" t="inlineStr">
        <is>
          <t>📦  Накладная #13064404  ·  06-07-2026  ·  Gloria  ·  2 позиций  ·  bultos: 1</t>
        </is>
      </c>
    </row>
    <row r="51" ht="110" customHeight="1">
      <c r="A51" s="3" t="inlineStr">
        <is>
          <t>13064404</t>
        </is>
      </c>
      <c r="B51" s="3" t="inlineStr">
        <is>
          <t>06-07-2026</t>
        </is>
      </c>
      <c r="C51" s="3" t="inlineStr">
        <is>
          <t>Gloria</t>
        </is>
      </c>
      <c r="D51" s="3" t="inlineStr">
        <is>
          <t>153094</t>
        </is>
      </c>
      <c r="E51" s="4" t="inlineStr">
        <is>
          <t>Kentia Howea</t>
        </is>
      </c>
      <c r="F51" s="4" t="inlineStr">
        <is>
          <t>Ornamentales Atlántico SL</t>
        </is>
      </c>
      <c r="G51" s="4" t="inlineStr">
        <is>
          <t>COLOR Verde · ALTURA 110-120 cm · MACETA 18</t>
        </is>
      </c>
      <c r="H51" s="3" t="inlineStr"/>
      <c r="I51" s="3" t="n">
        <v>1</v>
      </c>
      <c r="J51" s="3" t="inlineStr">
        <is>
          <t>1 шт.</t>
        </is>
      </c>
      <c r="K51" s="4">
        <f>IMAGE("https://cdn.verdnatura.es/image/catalog/1600x900/153094")</f>
        <v/>
      </c>
      <c r="L51" s="5" t="n"/>
      <c r="M51" s="6" t="n"/>
      <c r="N51" s="7" t="n"/>
      <c r="O51" s="8" t="n">
        <v>19.14</v>
      </c>
      <c r="P51" s="8" t="n">
        <v>19.14</v>
      </c>
    </row>
    <row r="52" ht="110" customHeight="1">
      <c r="A52" s="3" t="inlineStr">
        <is>
          <t>13064404</t>
        </is>
      </c>
      <c r="B52" s="3" t="inlineStr">
        <is>
          <t>06-07-2026</t>
        </is>
      </c>
      <c r="C52" s="3" t="inlineStr">
        <is>
          <t>Gloria</t>
        </is>
      </c>
      <c r="D52" s="3" t="inlineStr">
        <is>
          <t>94902</t>
        </is>
      </c>
      <c r="E52" s="4" t="inlineStr">
        <is>
          <t>SANS Laurentii</t>
        </is>
      </c>
      <c r="F52" s="4" t="inlineStr">
        <is>
          <t>Vireo-Hedera Plant</t>
        </is>
      </c>
      <c r="G52" s="4" t="inlineStr">
        <is>
          <t>COLOR Matizado · ALTURA 85 cm · MACETA 24</t>
        </is>
      </c>
      <c r="H52" s="3" t="inlineStr"/>
      <c r="I52" s="3" t="n">
        <v>1</v>
      </c>
      <c r="J52" s="3" t="inlineStr">
        <is>
          <t>1 шт.</t>
        </is>
      </c>
      <c r="K52" s="4">
        <f>IMAGE("https://cdn.verdnatura.es/image/catalog/1600x900/94902")</f>
        <v/>
      </c>
      <c r="L52" s="5" t="n"/>
      <c r="M52" s="6" t="n"/>
      <c r="N52" s="7" t="n"/>
      <c r="O52" s="8" t="n">
        <v>25.23</v>
      </c>
      <c r="P52" s="8" t="n">
        <v>25.23</v>
      </c>
    </row>
  </sheetData>
  <mergeCells count="6">
    <mergeCell ref="A45:P45"/>
    <mergeCell ref="A31:P31"/>
    <mergeCell ref="A35:P35"/>
    <mergeCell ref="A50:P50"/>
    <mergeCell ref="A7:P7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2026-07-07T09:26:57Z</dcterms:created>
  <dcterms:modified xmlns:dcterms="http://purl.org/dc/terms/" xmlns:xsi="http://www.w3.org/2001/XMLSchema-instance" xsi:type="dcterms:W3CDTF">2026-07-07T09:26:57Z</dcterms:modified>
</cp:coreProperties>
</file>