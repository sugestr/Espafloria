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#13062392  ·  06-07-2026  ·  Plaza  ·  13 позиций  ·  bultos: 2</t>
        </is>
      </c>
    </row>
    <row r="3" ht="110" customHeight="1">
      <c r="A3" s="3" t="inlineStr">
        <is>
          <t>13062392</t>
        </is>
      </c>
      <c r="B3" s="3" t="inlineStr">
        <is>
          <t>06-07-2026</t>
        </is>
      </c>
      <c r="C3" s="3" t="inlineStr">
        <is>
          <t>Plaza</t>
        </is>
      </c>
      <c r="D3" s="3" t="inlineStr">
        <is>
          <t>207280</t>
        </is>
      </c>
      <c r="E3" s="4" t="inlineStr">
        <is>
          <t>CR SANT Ice Mix</t>
        </is>
      </c>
      <c r="F3" s="4" t="inlineStr">
        <is>
          <t>Van Helvoort Company</t>
        </is>
      </c>
      <c r="G3" s="4" t="inlineStr">
        <is>
          <t>COLOR Mixto · ALTURA 55 cm · PESO/PAQUETE 1000 gr</t>
        </is>
      </c>
      <c r="H3" s="3" t="inlineStr"/>
      <c r="I3" s="3" t="n">
        <v>50</v>
      </c>
      <c r="J3" s="3" t="inlineStr">
        <is>
          <t>50 шт.</t>
        </is>
      </c>
      <c r="K3" s="4">
        <f>IMAGE("https://cdn.verdnatura.es/image/catalog/1600x900/207280")</f>
        <v/>
      </c>
      <c r="L3" s="5" t="n"/>
      <c r="M3" s="6" t="n"/>
      <c r="N3" s="7" t="n"/>
      <c r="O3" s="8" t="n">
        <v>0.37</v>
      </c>
      <c r="P3" s="8" t="n">
        <v>18.5</v>
      </c>
    </row>
    <row r="4" ht="110" customHeight="1">
      <c r="A4" s="3" t="inlineStr">
        <is>
          <t>13062392</t>
        </is>
      </c>
      <c r="B4" s="3" t="inlineStr">
        <is>
          <t>06-07-2026</t>
        </is>
      </c>
      <c r="C4" s="3" t="inlineStr">
        <is>
          <t>Plaza</t>
        </is>
      </c>
      <c r="D4" s="3" t="inlineStr">
        <is>
          <t>205833</t>
        </is>
      </c>
      <c r="E4" s="4" t="inlineStr">
        <is>
          <t>CR SANT Sweet Dream Mix</t>
        </is>
      </c>
      <c r="F4" s="4" t="inlineStr">
        <is>
          <t>Van Helvoort Company</t>
        </is>
      </c>
      <c r="G4" s="4" t="inlineStr">
        <is>
          <t>COLOR Mixto · ALTURA 55 cm · PESO/PAQUETE 1000 gr</t>
        </is>
      </c>
      <c r="H4" s="3" t="inlineStr"/>
      <c r="I4" s="3" t="n">
        <v>50</v>
      </c>
      <c r="J4" s="3" t="inlineStr">
        <is>
          <t>50 шт.</t>
        </is>
      </c>
      <c r="K4" s="4">
        <f>IMAGE("https://cdn.verdnatura.es/image/catalog/1600x900/205833")</f>
        <v/>
      </c>
      <c r="L4" s="5" t="n"/>
      <c r="M4" s="6" t="n"/>
      <c r="N4" s="7" t="n"/>
      <c r="O4" s="8" t="n">
        <v>0.37</v>
      </c>
      <c r="P4" s="8" t="n">
        <v>18.5</v>
      </c>
    </row>
    <row r="5" ht="110" customHeight="1">
      <c r="A5" s="3" t="inlineStr">
        <is>
          <t>13062392</t>
        </is>
      </c>
      <c r="B5" s="3" t="inlineStr">
        <is>
          <t>06-07-2026</t>
        </is>
      </c>
      <c r="C5" s="3" t="inlineStr">
        <is>
          <t>Plaza</t>
        </is>
      </c>
      <c r="D5" s="3" t="inlineStr">
        <is>
          <t>94153</t>
        </is>
      </c>
      <c r="E5" s="4" t="inlineStr">
        <is>
          <t>Dahlia Annamarie x30</t>
        </is>
      </c>
      <c r="F5" s="4" t="inlineStr">
        <is>
          <t>My Dahlia Society</t>
        </is>
      </c>
      <c r="G5" s="4" t="inlineStr">
        <is>
          <t>COLOR Rosa · ALTURA 55 cm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IMAGE("https://cdn.verdnatura.es/image/catalog/1600x900/94153")</f>
        <v/>
      </c>
      <c r="L5" s="5" t="n"/>
      <c r="M5" s="6" t="n"/>
      <c r="N5" s="7" t="n"/>
      <c r="O5" s="8" t="n">
        <v>0.96</v>
      </c>
      <c r="P5" s="8" t="n">
        <v>28.8</v>
      </c>
    </row>
    <row r="6" ht="110" customHeight="1">
      <c r="A6" s="3" t="inlineStr">
        <is>
          <t>13062392</t>
        </is>
      </c>
      <c r="B6" s="3" t="inlineStr">
        <is>
          <t>06-07-2026</t>
        </is>
      </c>
      <c r="C6" s="3" t="inlineStr">
        <is>
          <t>Plaza</t>
        </is>
      </c>
      <c r="D6" s="3" t="inlineStr">
        <is>
          <t>114770</t>
        </is>
      </c>
      <c r="E6" s="4" t="inlineStr">
        <is>
          <t>EUC Cinerea 300 gr</t>
        </is>
      </c>
      <c r="F6" s="4" t="inlineStr"/>
      <c r="G6" s="4" t="inlineStr">
        <is>
          <t>COLOR Lividum · ALTURA 70 cm</t>
        </is>
      </c>
      <c r="H6" s="3" t="inlineStr">
        <is>
          <t>Paquete</t>
        </is>
      </c>
      <c r="I6" s="3" t="n">
        <v>5</v>
      </c>
      <c r="J6" s="3" t="inlineStr">
        <is>
          <t>5 пачек</t>
        </is>
      </c>
      <c r="K6" s="4">
        <f>IMAGE("https://cdn.verdnatura.es/image/catalog/1600x900/114770")</f>
        <v/>
      </c>
      <c r="L6" s="5" t="n"/>
      <c r="M6" s="6" t="n"/>
      <c r="N6" s="7" t="n"/>
      <c r="O6" s="8" t="n">
        <v>3.67</v>
      </c>
      <c r="P6" s="8" t="n">
        <v>18.35</v>
      </c>
    </row>
    <row r="7" ht="110" customHeight="1">
      <c r="A7" s="3" t="inlineStr">
        <is>
          <t>13062392</t>
        </is>
      </c>
      <c r="B7" s="3" t="inlineStr">
        <is>
          <t>06-07-2026</t>
        </is>
      </c>
      <c r="C7" s="3" t="inlineStr">
        <is>
          <t>Plaza</t>
        </is>
      </c>
      <c r="D7" s="3" t="inlineStr">
        <is>
          <t>110792</t>
        </is>
      </c>
      <c r="E7" s="4" t="inlineStr">
        <is>
          <t>EUC Parvifolia 300 gr</t>
        </is>
      </c>
      <c r="F7" s="4" t="inlineStr"/>
      <c r="G7" s="4" t="inlineStr">
        <is>
          <t>COLOR Verde · ALTURA 70 cm</t>
        </is>
      </c>
      <c r="H7" s="3" t="inlineStr">
        <is>
          <t>Paquete</t>
        </is>
      </c>
      <c r="I7" s="3" t="n">
        <v>3</v>
      </c>
      <c r="J7" s="3" t="inlineStr">
        <is>
          <t>3 пачек</t>
        </is>
      </c>
      <c r="K7" s="4">
        <f>IMAGE("https://cdn.verdnatura.es/image/catalog/1600x900/110792")</f>
        <v/>
      </c>
      <c r="L7" s="5" t="n"/>
      <c r="M7" s="6" t="n"/>
      <c r="N7" s="7" t="n"/>
      <c r="O7" s="8" t="n">
        <v>2.83</v>
      </c>
      <c r="P7" s="8" t="n">
        <v>8.49</v>
      </c>
    </row>
    <row r="8" ht="110" customHeight="1">
      <c r="A8" s="3" t="inlineStr">
        <is>
          <t>13062392</t>
        </is>
      </c>
      <c r="B8" s="3" t="inlineStr">
        <is>
          <t>06-07-2026</t>
        </is>
      </c>
      <c r="C8" s="3" t="inlineStr">
        <is>
          <t>Plaza</t>
        </is>
      </c>
      <c r="D8" s="3" t="inlineStr">
        <is>
          <t>53668</t>
        </is>
      </c>
      <c r="E8" s="4" t="inlineStr">
        <is>
          <t>EUC Populus Frutos 300 gr</t>
        </is>
      </c>
      <c r="F8" s="4" t="inlineStr"/>
      <c r="G8" s="4" t="inlineStr">
        <is>
          <t>COLOR Verde · ALTURA 70 cm</t>
        </is>
      </c>
      <c r="H8" s="3" t="inlineStr">
        <is>
          <t>Paquete</t>
        </is>
      </c>
      <c r="I8" s="3" t="n">
        <v>2</v>
      </c>
      <c r="J8" s="3" t="inlineStr">
        <is>
          <t>2 пачек</t>
        </is>
      </c>
      <c r="K8" s="4">
        <f>IMAGE("https://cdn.verdnatura.es/image/catalog/1600x900/53668")</f>
        <v/>
      </c>
      <c r="L8" s="5" t="n"/>
      <c r="M8" s="6" t="n"/>
      <c r="N8" s="7" t="n"/>
      <c r="O8" s="8" t="n">
        <v>5.59</v>
      </c>
      <c r="P8" s="8" t="n">
        <v>11.18</v>
      </c>
    </row>
    <row r="9" ht="110" customHeight="1">
      <c r="A9" s="3" t="inlineStr">
        <is>
          <t>13062392</t>
        </is>
      </c>
      <c r="B9" s="3" t="inlineStr">
        <is>
          <t>06-07-2026</t>
        </is>
      </c>
      <c r="C9" s="3" t="inlineStr">
        <is>
          <t>Plaza</t>
        </is>
      </c>
      <c r="D9" s="3" t="inlineStr">
        <is>
          <t>134889</t>
        </is>
      </c>
      <c r="E9" s="4" t="inlineStr">
        <is>
          <t>Girasol Vincent s Choice</t>
        </is>
      </c>
      <c r="F9" s="4" t="inlineStr">
        <is>
          <t>Canaraflor</t>
        </is>
      </c>
      <c r="G9" s="4" t="inlineStr">
        <is>
          <t>COLOR Naranja claro · ALTURA 70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IMAGE("https://cdn.verdnatura.es/image/catalog/1600x900/134889")</f>
        <v/>
      </c>
      <c r="L9" s="5" t="n"/>
      <c r="M9" s="6" t="n"/>
      <c r="N9" s="7" t="n"/>
      <c r="O9" s="8" t="n">
        <v>0.45</v>
      </c>
      <c r="P9" s="8" t="n">
        <v>9</v>
      </c>
    </row>
    <row r="10" ht="110" customHeight="1">
      <c r="A10" s="3" t="inlineStr">
        <is>
          <t>13062392</t>
        </is>
      </c>
      <c r="B10" s="3" t="inlineStr">
        <is>
          <t>06-07-2026</t>
        </is>
      </c>
      <c r="C10" s="3" t="inlineStr">
        <is>
          <t>Plaza</t>
        </is>
      </c>
      <c r="D10" s="3" t="inlineStr">
        <is>
          <t>126134</t>
        </is>
      </c>
      <c r="E10" s="4" t="inlineStr">
        <is>
          <t>LIM N NOR Safora Oshi Pink</t>
        </is>
      </c>
      <c r="F10" s="4" t="inlineStr"/>
      <c r="G10" s="4" t="inlineStr">
        <is>
          <t>COLOR Rosa · ALTURA 60 cm · PESO/TALLO 35 gr</t>
        </is>
      </c>
      <c r="H10" s="3" t="inlineStr"/>
      <c r="I10" s="3" t="n">
        <v>50</v>
      </c>
      <c r="J10" s="3" t="inlineStr">
        <is>
          <t>50 шт.</t>
        </is>
      </c>
      <c r="K10" s="4">
        <f>IMAGE("https://cdn.verdnatura.es/image/catalog/1600x900/126134")</f>
        <v/>
      </c>
      <c r="L10" s="5" t="n"/>
      <c r="M10" s="6" t="n"/>
      <c r="N10" s="7" t="n"/>
      <c r="O10" s="8" t="n">
        <v>0.42</v>
      </c>
      <c r="P10" s="8" t="n">
        <v>21</v>
      </c>
    </row>
    <row r="11" ht="110" customHeight="1">
      <c r="A11" s="3" t="inlineStr">
        <is>
          <t>13062392</t>
        </is>
      </c>
      <c r="B11" s="3" t="inlineStr">
        <is>
          <t>06-07-2026</t>
        </is>
      </c>
      <c r="C11" s="3" t="inlineStr">
        <is>
          <t>Plaza</t>
        </is>
      </c>
      <c r="D11" s="3" t="inlineStr">
        <is>
          <t>207653</t>
        </is>
      </c>
      <c r="E11" s="4" t="inlineStr">
        <is>
          <t>LIM N SIN Pineapple Diamond</t>
        </is>
      </c>
      <c r="F11" s="4" t="inlineStr">
        <is>
          <t>Group Leader</t>
        </is>
      </c>
      <c r="G11" s="4" t="inlineStr">
        <is>
          <t>COLOR Amarillo · ALTURA 65 cm · PESO/TALLO 40 gr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IMAGE("https://cdn.verdnatura.es/image/catalog/1600x900/207653")</f>
        <v/>
      </c>
      <c r="L11" s="5" t="n"/>
      <c r="M11" s="6" t="n"/>
      <c r="N11" s="7" t="n"/>
      <c r="O11" s="8" t="n">
        <v>0.43</v>
      </c>
      <c r="P11" s="8" t="n">
        <v>10.75</v>
      </c>
    </row>
    <row r="12" ht="110" customHeight="1">
      <c r="A12" s="3" t="inlineStr">
        <is>
          <t>13062392</t>
        </is>
      </c>
      <c r="B12" s="3" t="inlineStr">
        <is>
          <t>06-07-2026</t>
        </is>
      </c>
      <c r="C12" s="3" t="inlineStr">
        <is>
          <t>Plaza</t>
        </is>
      </c>
      <c r="D12" s="3" t="inlineStr">
        <is>
          <t>99319</t>
        </is>
      </c>
      <c r="E12" s="4" t="inlineStr">
        <is>
          <t>TUL Dynasty</t>
        </is>
      </c>
      <c r="F12" s="4" t="inlineStr"/>
      <c r="G12" s="4" t="inlineStr">
        <is>
          <t>COLOR Rosa · ALTURA 38 cm · PESO/TALLO 34 gr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IMAGE("https://cdn.verdnatura.es/image/catalog/1600x900/99319")</f>
        <v/>
      </c>
      <c r="L12" s="5" t="n"/>
      <c r="M12" s="6" t="n"/>
      <c r="N12" s="7" t="n"/>
      <c r="O12" s="8" t="n">
        <v>0.33</v>
      </c>
      <c r="P12" s="8" t="n">
        <v>16.5</v>
      </c>
    </row>
    <row r="13" ht="110" customHeight="1">
      <c r="A13" s="3" t="inlineStr">
        <is>
          <t>13062392</t>
        </is>
      </c>
      <c r="B13" s="3" t="inlineStr">
        <is>
          <t>06-07-2026</t>
        </is>
      </c>
      <c r="C13" s="3" t="inlineStr">
        <is>
          <t>Plaza</t>
        </is>
      </c>
      <c r="D13" s="3" t="inlineStr">
        <is>
          <t>206294</t>
        </is>
      </c>
      <c r="E13" s="4" t="inlineStr">
        <is>
          <t>TUL Mix</t>
        </is>
      </c>
      <c r="F13" s="4" t="inlineStr">
        <is>
          <t>B &amp; L Tulips</t>
        </is>
      </c>
      <c r="G13" s="4" t="inlineStr">
        <is>
          <t>COLOR Mixto · ALTURA 28 cm · PESO/TALLO 30 gr</t>
        </is>
      </c>
      <c r="H13" s="3" t="inlineStr"/>
      <c r="I13" s="3" t="n">
        <v>200</v>
      </c>
      <c r="J13" s="3" t="inlineStr">
        <is>
          <t>200 шт.</t>
        </is>
      </c>
      <c r="K13" s="4">
        <f>IMAGE("https://cdn.verdnatura.es/image/catalog/1600x900/206294")</f>
        <v/>
      </c>
      <c r="L13" s="5" t="n"/>
      <c r="M13" s="6" t="n"/>
      <c r="N13" s="7" t="n"/>
      <c r="O13" s="8" t="n">
        <v>0.25</v>
      </c>
      <c r="P13" s="8" t="n">
        <v>50</v>
      </c>
    </row>
    <row r="14" ht="110" customHeight="1">
      <c r="A14" s="3" t="inlineStr">
        <is>
          <t>13062392</t>
        </is>
      </c>
      <c r="B14" s="3" t="inlineStr">
        <is>
          <t>06-07-2026</t>
        </is>
      </c>
      <c r="C14" s="3" t="inlineStr">
        <is>
          <t>Plaza</t>
        </is>
      </c>
      <c r="D14" s="3" t="inlineStr">
        <is>
          <t>59682</t>
        </is>
      </c>
      <c r="E14" s="4" t="inlineStr">
        <is>
          <t>TUL Orange Juice</t>
        </is>
      </c>
      <c r="F14" s="4" t="inlineStr"/>
      <c r="G14" s="4" t="inlineStr">
        <is>
          <t>COLOR Naranja · ALTURA 35 cm · PESO/TALLO 28 gr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IMAGE("https://cdn.verdnatura.es/image/catalog/1600x900/59682")</f>
        <v/>
      </c>
      <c r="L14" s="5" t="n"/>
      <c r="M14" s="6" t="n"/>
      <c r="N14" s="7" t="n"/>
      <c r="O14" s="8" t="n">
        <v>0.47</v>
      </c>
      <c r="P14" s="8" t="n">
        <v>23.5</v>
      </c>
    </row>
    <row r="15" ht="110" customHeight="1">
      <c r="A15" s="3" t="inlineStr">
        <is>
          <t>13062392</t>
        </is>
      </c>
      <c r="B15" s="3" t="inlineStr">
        <is>
          <t>06-07-2026</t>
        </is>
      </c>
      <c r="C15" s="3" t="inlineStr">
        <is>
          <t>Plaza</t>
        </is>
      </c>
      <c r="D15" s="3" t="inlineStr">
        <is>
          <t>123078</t>
        </is>
      </c>
      <c r="E15" s="4" t="inlineStr">
        <is>
          <t>VERO Smart Wave</t>
        </is>
      </c>
      <c r="F15" s="4" t="inlineStr"/>
      <c r="G15" s="4" t="inlineStr">
        <is>
          <t>COLOR Blanco · ALTURA 60 cm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IMAGE("https://cdn.verdnatura.es/image/catalog/1600x900/123078")</f>
        <v/>
      </c>
      <c r="L15" s="5" t="n"/>
      <c r="M15" s="6" t="n"/>
      <c r="N15" s="7" t="n"/>
      <c r="O15" s="8" t="n">
        <v>0.32</v>
      </c>
      <c r="P15" s="8" t="n">
        <v>6.4</v>
      </c>
    </row>
    <row r="16" ht="26" customHeight="1">
      <c r="A16" s="2" t="inlineStr">
        <is>
          <t>📦  Накладная #13064106  ·  06-07-2026  ·  Plaza  ·  7 позиций  ·  bultos: 1</t>
        </is>
      </c>
    </row>
    <row r="17" ht="110" customHeight="1">
      <c r="A17" s="3" t="inlineStr">
        <is>
          <t>13064106</t>
        </is>
      </c>
      <c r="B17" s="3" t="inlineStr">
        <is>
          <t>06-07-2026</t>
        </is>
      </c>
      <c r="C17" s="3" t="inlineStr">
        <is>
          <t>Plaza</t>
        </is>
      </c>
      <c r="D17" s="3" t="inlineStr">
        <is>
          <t>115481</t>
        </is>
      </c>
      <c r="E17" s="4" t="inlineStr">
        <is>
          <t>Peonia Dr Alex Fleming</t>
        </is>
      </c>
      <c r="F17" s="4" t="inlineStr">
        <is>
          <t>My-Peony</t>
        </is>
      </c>
      <c r="G17" s="4" t="inlineStr">
        <is>
          <t>COLOR Fucsia · ALTURA 45 cm · APERTURA 2-3</t>
        </is>
      </c>
      <c r="H17" s="3" t="inlineStr"/>
      <c r="I17" s="3" t="n">
        <v>60</v>
      </c>
      <c r="J17" s="3" t="inlineStr">
        <is>
          <t>60 шт.</t>
        </is>
      </c>
      <c r="K17" s="4">
        <f>IMAGE("https://cdn.verdnatura.es/image/catalog/1600x900/115481")</f>
        <v/>
      </c>
      <c r="L17" s="5" t="n"/>
      <c r="M17" s="6" t="n"/>
      <c r="N17" s="7" t="n"/>
      <c r="O17" s="8" t="n">
        <v>0.51</v>
      </c>
      <c r="P17" s="8" t="n">
        <v>30.6</v>
      </c>
    </row>
    <row r="18" ht="110" customHeight="1">
      <c r="A18" s="3" t="inlineStr">
        <is>
          <t>13064106</t>
        </is>
      </c>
      <c r="B18" s="3" t="inlineStr">
        <is>
          <t>06-07-2026</t>
        </is>
      </c>
      <c r="C18" s="3" t="inlineStr">
        <is>
          <t>Plaza</t>
        </is>
      </c>
      <c r="D18" s="3" t="inlineStr">
        <is>
          <t>141833</t>
        </is>
      </c>
      <c r="E18" s="4" t="inlineStr">
        <is>
          <t>RS Be Sweet EXT</t>
        </is>
      </c>
      <c r="F18" s="4" t="inlineStr">
        <is>
          <t>Santa Dorotea</t>
        </is>
      </c>
      <c r="G18" s="4" t="inlineStr">
        <is>
          <t>COLOR Rosa Claro · ALTURA 50 cm · BOTÓN MINIMO 5.5 cm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IMAGE("https://cdn.verdnatura.es/image/catalog/1600x900/141833")</f>
        <v/>
      </c>
      <c r="L18" s="5" t="n"/>
      <c r="M18" s="6" t="n"/>
      <c r="N18" s="7" t="n"/>
      <c r="O18" s="8" t="n">
        <v>0.58</v>
      </c>
      <c r="P18" s="8" t="n">
        <v>14.5</v>
      </c>
    </row>
    <row r="19" ht="110" customHeight="1">
      <c r="A19" s="3" t="inlineStr">
        <is>
          <t>13064106</t>
        </is>
      </c>
      <c r="B19" s="3" t="inlineStr">
        <is>
          <t>06-07-2026</t>
        </is>
      </c>
      <c r="C19" s="3" t="inlineStr">
        <is>
          <t>Plaza</t>
        </is>
      </c>
      <c r="D19" s="3" t="inlineStr">
        <is>
          <t>177175</t>
        </is>
      </c>
      <c r="E19" s="4" t="inlineStr">
        <is>
          <t>RS Explorer EXT</t>
        </is>
      </c>
      <c r="F19" s="4" t="inlineStr">
        <is>
          <t>Ecuador</t>
        </is>
      </c>
      <c r="G19" s="4" t="inlineStr">
        <is>
          <t>COLOR Rojo · ALTURA 60 cm · BOTÓN MINIMO 6 cm</t>
        </is>
      </c>
      <c r="H19" s="3" t="inlineStr"/>
      <c r="I19" s="3" t="n">
        <v>50</v>
      </c>
      <c r="J19" s="3" t="inlineStr">
        <is>
          <t>50 шт.</t>
        </is>
      </c>
      <c r="K19" s="4">
        <f>IMAGE("https://cdn.verdnatura.es/image/catalog/1600x900/177175")</f>
        <v/>
      </c>
      <c r="L19" s="5" t="n"/>
      <c r="M19" s="6" t="n"/>
      <c r="N19" s="7" t="n"/>
      <c r="O19" s="8" t="n">
        <v>0.67</v>
      </c>
      <c r="P19" s="8" t="n">
        <v>33.5</v>
      </c>
    </row>
    <row r="20" ht="110" customHeight="1">
      <c r="A20" s="3" t="inlineStr">
        <is>
          <t>13064106</t>
        </is>
      </c>
      <c r="B20" s="3" t="inlineStr">
        <is>
          <t>06-07-2026</t>
        </is>
      </c>
      <c r="C20" s="3" t="inlineStr">
        <is>
          <t>Plaza</t>
        </is>
      </c>
      <c r="D20" s="3" t="inlineStr">
        <is>
          <t>207180</t>
        </is>
      </c>
      <c r="E20" s="4" t="inlineStr">
        <is>
          <t>RS Free Spirit EXT</t>
        </is>
      </c>
      <c r="F20" s="4" t="inlineStr">
        <is>
          <t>Floristica</t>
        </is>
      </c>
      <c r="G20" s="4" t="inlineStr">
        <is>
          <t>COLOR Coral · ALTURA 60 cm · BOTÓN MINIMO 5 cm</t>
        </is>
      </c>
      <c r="H20" s="3" t="inlineStr"/>
      <c r="I20" s="3" t="n">
        <v>25</v>
      </c>
      <c r="J20" s="3" t="inlineStr">
        <is>
          <t>25 шт.</t>
        </is>
      </c>
      <c r="K20" s="4">
        <f>IMAGE("https://cdn.verdnatura.es/image/catalog/1600x900/207180")</f>
        <v/>
      </c>
      <c r="L20" s="5" t="n"/>
      <c r="M20" s="6" t="n"/>
      <c r="N20" s="7" t="n"/>
      <c r="O20" s="8" t="n">
        <v>0.57</v>
      </c>
      <c r="P20" s="8" t="n">
        <v>14.25</v>
      </c>
    </row>
    <row r="21" ht="110" customHeight="1">
      <c r="A21" s="3" t="inlineStr">
        <is>
          <t>13064106</t>
        </is>
      </c>
      <c r="B21" s="3" t="inlineStr">
        <is>
          <t>06-07-2026</t>
        </is>
      </c>
      <c r="C21" s="3" t="inlineStr">
        <is>
          <t>Plaza</t>
        </is>
      </c>
      <c r="D21" s="3" t="inlineStr">
        <is>
          <t>47267</t>
        </is>
      </c>
      <c r="E21" s="4" t="inlineStr">
        <is>
          <t>RS Mondial EXT</t>
        </is>
      </c>
      <c r="F21" s="4" t="inlineStr">
        <is>
          <t>Floraroma</t>
        </is>
      </c>
      <c r="G21" s="4" t="inlineStr">
        <is>
          <t>COLOR Blanco · ALTURA 60 cm · BOTÓN MINIMO 6 cm</t>
        </is>
      </c>
      <c r="H21" s="3" t="inlineStr"/>
      <c r="I21" s="3" t="n">
        <v>25</v>
      </c>
      <c r="J21" s="3" t="inlineStr">
        <is>
          <t>25 шт.</t>
        </is>
      </c>
      <c r="K21" s="4">
        <f>IMAGE("https://cdn.verdnatura.es/image/catalog/1600x900/47267")</f>
        <v/>
      </c>
      <c r="L21" s="5" t="n"/>
      <c r="M21" s="6" t="n"/>
      <c r="N21" s="7" t="n"/>
      <c r="O21" s="8" t="n">
        <v>0.66</v>
      </c>
      <c r="P21" s="8" t="n">
        <v>16.5</v>
      </c>
    </row>
    <row r="22" ht="110" customHeight="1">
      <c r="A22" s="3" t="inlineStr">
        <is>
          <t>13064106</t>
        </is>
      </c>
      <c r="B22" s="3" t="inlineStr">
        <is>
          <t>06-07-2026</t>
        </is>
      </c>
      <c r="C22" s="3" t="inlineStr">
        <is>
          <t>Plaza</t>
        </is>
      </c>
      <c r="D22" s="3" t="inlineStr">
        <is>
          <t>443498</t>
        </is>
      </c>
      <c r="E22" s="4" t="inlineStr">
        <is>
          <t>RS Rainbow Natural</t>
        </is>
      </c>
      <c r="F22" s="4" t="inlineStr">
        <is>
          <t>Native</t>
        </is>
      </c>
      <c r="G22" s="4" t="inlineStr">
        <is>
          <t>COLOR Mixto · ALTURA 50 cm · BOTÓN MINIMO Mix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IMAGE("https://cdn.verdnatura.es/image/catalog/1600x900/443498")</f>
        <v/>
      </c>
      <c r="L22" s="5" t="n"/>
      <c r="M22" s="6" t="n"/>
      <c r="N22" s="7" t="n"/>
      <c r="O22" s="8" t="n">
        <v>0.5</v>
      </c>
      <c r="P22" s="8" t="n">
        <v>25</v>
      </c>
    </row>
    <row r="23" ht="110" customHeight="1">
      <c r="A23" s="3" t="inlineStr">
        <is>
          <t>13064106</t>
        </is>
      </c>
      <c r="B23" s="3" t="inlineStr">
        <is>
          <t>06-07-2026</t>
        </is>
      </c>
      <c r="C23" s="3" t="inlineStr">
        <is>
          <t>Plaza</t>
        </is>
      </c>
      <c r="D23" s="3" t="inlineStr">
        <is>
          <t>182926</t>
        </is>
      </c>
      <c r="E23" s="4" t="inlineStr">
        <is>
          <t>RSR Rainbow</t>
        </is>
      </c>
      <c r="F23" s="4" t="inlineStr">
        <is>
          <t>Multiflora</t>
        </is>
      </c>
      <c r="G23" s="4" t="inlineStr">
        <is>
          <t>COLOR Mixto · ALTURA 50 cm</t>
        </is>
      </c>
      <c r="H23" s="3" t="inlineStr"/>
      <c r="I23" s="3" t="n">
        <v>50</v>
      </c>
      <c r="J23" s="3" t="inlineStr">
        <is>
          <t>50 шт.</t>
        </is>
      </c>
      <c r="K23" s="4">
        <f>IMAGE("https://cdn.verdnatura.es/image/catalog/1600x900/182926")</f>
        <v/>
      </c>
      <c r="L23" s="5" t="n"/>
      <c r="M23" s="6" t="n"/>
      <c r="N23" s="7" t="n"/>
      <c r="O23" s="8" t="n">
        <v>0.47</v>
      </c>
      <c r="P23" s="8" t="n">
        <v>23.5</v>
      </c>
    </row>
  </sheetData>
  <mergeCells count="2">
    <mergeCell ref="A16:P1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2026-07-07T09:26:57Z</dcterms:created>
  <dcterms:modified xmlns:dcterms="http://purl.org/dc/terms/" xmlns:xsi="http://www.w3.org/2001/XMLSchema-instance" xsi:type="dcterms:W3CDTF">2026-07-07T09:26:57Z</dcterms:modified>
</cp:coreProperties>
</file>