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#13055067  ·  06-07-2026  ·  Blau  ·  2 позиций  ·  bultos: 2</t>
        </is>
      </c>
    </row>
    <row r="3" ht="110" customHeight="1">
      <c r="A3" s="3" t="inlineStr">
        <is>
          <t>13055067</t>
        </is>
      </c>
      <c r="B3" s="3" t="inlineStr">
        <is>
          <t>06-07-2026</t>
        </is>
      </c>
      <c r="C3" s="3" t="inlineStr">
        <is>
          <t>Blau</t>
        </is>
      </c>
      <c r="D3" s="3" t="inlineStr">
        <is>
          <t>91357</t>
        </is>
      </c>
      <c r="E3" s="4" t="inlineStr">
        <is>
          <t>Monstera Deliciosa 3 Plantas</t>
        </is>
      </c>
      <c r="F3" s="4" t="inlineStr">
        <is>
          <t>Vireo-Hedera Plant</t>
        </is>
      </c>
      <c r="G3" s="4" t="inlineStr">
        <is>
          <t>COLOR Verde · ALTURA 80 cm · MACETA 21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IMAGE("https://cdn.verdnatura.es/image/catalog/1600x900/91357")</f>
        <v/>
      </c>
      <c r="L3" s="5" t="n"/>
      <c r="M3" s="6" t="n"/>
      <c r="N3" s="7" t="n"/>
      <c r="O3" s="8" t="n">
        <v>8.699999999999999</v>
      </c>
      <c r="P3" s="8" t="n">
        <v>17.4</v>
      </c>
    </row>
    <row r="4" ht="110" customHeight="1">
      <c r="A4" s="3" t="inlineStr">
        <is>
          <t>13055067</t>
        </is>
      </c>
      <c r="B4" s="3" t="inlineStr">
        <is>
          <t>06-07-2026</t>
        </is>
      </c>
      <c r="C4" s="3" t="inlineStr">
        <is>
          <t>Blau</t>
        </is>
      </c>
      <c r="D4" s="3" t="inlineStr">
        <is>
          <t>207572</t>
        </is>
      </c>
      <c r="E4" s="4" t="inlineStr">
        <is>
          <t>Sanseviera Futura Superba (In</t>
        </is>
      </c>
      <c r="F4" s="4" t="inlineStr">
        <is>
          <t>C.F.F. Bakker/Mondo Verde</t>
        </is>
      </c>
      <c r="G4" s="4" t="inlineStr">
        <is>
          <t>COLOR Verde · ALTURA 35 cm · MACETA 14</t>
        </is>
      </c>
      <c r="H4" s="3" t="inlineStr"/>
      <c r="I4" s="3" t="n">
        <v>5</v>
      </c>
      <c r="J4" s="3" t="inlineStr">
        <is>
          <t>5 шт.</t>
        </is>
      </c>
      <c r="K4" s="4">
        <f>IMAGE("https://cdn.verdnatura.es/image/catalog/1600x900/207572")</f>
        <v/>
      </c>
      <c r="L4" s="5" t="n"/>
      <c r="M4" s="6" t="n"/>
      <c r="N4" s="7" t="n"/>
      <c r="O4" s="8" t="n">
        <v>7.4</v>
      </c>
      <c r="P4" s="8" t="n">
        <v>37</v>
      </c>
    </row>
    <row r="5" ht="26" customHeight="1">
      <c r="A5" s="2" t="inlineStr">
        <is>
          <t>📦  Накладная #13063320  ·  06-07-2026  ·  Blau  ·  2 позиций  ·  bultos: 1</t>
        </is>
      </c>
    </row>
    <row r="6" ht="110" customHeight="1">
      <c r="A6" s="3" t="inlineStr">
        <is>
          <t>13063320</t>
        </is>
      </c>
      <c r="B6" s="3" t="inlineStr">
        <is>
          <t>06-07-2026</t>
        </is>
      </c>
      <c r="C6" s="3" t="inlineStr">
        <is>
          <t>Blau</t>
        </is>
      </c>
      <c r="D6" s="3" t="inlineStr">
        <is>
          <t>121177</t>
        </is>
      </c>
      <c r="E6" s="4" t="inlineStr">
        <is>
          <t>RS Serendipity PRE</t>
        </is>
      </c>
      <c r="F6" s="4" t="inlineStr">
        <is>
          <t>Rosaprima</t>
        </is>
      </c>
      <c r="G6" s="4" t="inlineStr">
        <is>
          <t>COLOR Crema/Rosa · ALTURA 60 cm</t>
        </is>
      </c>
      <c r="H6" s="3" t="inlineStr"/>
      <c r="I6" s="3" t="n">
        <v>24</v>
      </c>
      <c r="J6" s="3" t="inlineStr">
        <is>
          <t>24 шт.</t>
        </is>
      </c>
      <c r="K6" s="4">
        <f>IMAGE("https://cdn.verdnatura.es/image/catalog/1600x900/121177")</f>
        <v/>
      </c>
      <c r="L6" s="5" t="n"/>
      <c r="M6" s="6" t="n"/>
      <c r="N6" s="7" t="n"/>
      <c r="O6" s="8" t="n">
        <v>0.82</v>
      </c>
      <c r="P6" s="8" t="n">
        <v>19.68</v>
      </c>
    </row>
    <row r="7" ht="110" customHeight="1">
      <c r="A7" s="3" t="inlineStr">
        <is>
          <t>13063320</t>
        </is>
      </c>
      <c r="B7" s="3" t="inlineStr">
        <is>
          <t>06-07-2026</t>
        </is>
      </c>
      <c r="C7" s="3" t="inlineStr">
        <is>
          <t>Blau</t>
        </is>
      </c>
      <c r="D7" s="3" t="inlineStr">
        <is>
          <t>206294</t>
        </is>
      </c>
      <c r="E7" s="4" t="inlineStr">
        <is>
          <t>TUL Mix</t>
        </is>
      </c>
      <c r="F7" s="4" t="inlineStr">
        <is>
          <t>B &amp; L Tulips</t>
        </is>
      </c>
      <c r="G7" s="4" t="inlineStr">
        <is>
          <t>COLOR Mixto · ALTURA 28 cm · PESO/TALLO 30 gr</t>
        </is>
      </c>
      <c r="H7" s="3" t="inlineStr"/>
      <c r="I7" s="3" t="n">
        <v>100</v>
      </c>
      <c r="J7" s="3" t="inlineStr">
        <is>
          <t>100 шт.</t>
        </is>
      </c>
      <c r="K7" s="4">
        <f>IMAGE("https://cdn.verdnatura.es/image/catalog/1600x900/206294")</f>
        <v/>
      </c>
      <c r="L7" s="5" t="n"/>
      <c r="M7" s="6" t="n"/>
      <c r="N7" s="7" t="n"/>
      <c r="O7" s="8" t="n">
        <v>0.25</v>
      </c>
      <c r="P7" s="8" t="n">
        <v>25</v>
      </c>
    </row>
    <row r="8" ht="26" customHeight="1">
      <c r="A8" s="2" t="inlineStr">
        <is>
          <t>📦  Накладная #13063482  ·  06-07-2026  ·  Blau  ·  7 позиций  ·  bultos: 10</t>
        </is>
      </c>
    </row>
    <row r="9" ht="110" customHeight="1">
      <c r="A9" s="3" t="inlineStr">
        <is>
          <t>13063482</t>
        </is>
      </c>
      <c r="B9" s="3" t="inlineStr">
        <is>
          <t>06-07-2026</t>
        </is>
      </c>
      <c r="C9" s="3" t="inlineStr">
        <is>
          <t>Blau</t>
        </is>
      </c>
      <c r="D9" s="3" t="inlineStr">
        <is>
          <t>45182</t>
        </is>
      </c>
      <c r="E9" s="4" t="inlineStr">
        <is>
          <t>Citrofortunella Microcarpa (Ca</t>
        </is>
      </c>
      <c r="F9" s="4" t="inlineStr">
        <is>
          <t>Citrina</t>
        </is>
      </c>
      <c r="G9" s="4" t="inlineStr">
        <is>
          <t>COLOR Naranja · ALTURA 35 cm · MACETA 14</t>
        </is>
      </c>
      <c r="H9" s="3" t="inlineStr"/>
      <c r="I9" s="3" t="n">
        <v>6</v>
      </c>
      <c r="J9" s="3" t="inlineStr">
        <is>
          <t>6 шт.</t>
        </is>
      </c>
      <c r="K9" s="4">
        <f>IMAGE("https://cdn.verdnatura.es/image/catalog/1600x900/45182")</f>
        <v/>
      </c>
      <c r="L9" s="5" t="n"/>
      <c r="M9" s="6" t="n"/>
      <c r="N9" s="7" t="n"/>
      <c r="O9" s="8" t="n">
        <v>5.88</v>
      </c>
      <c r="P9" s="8" t="n">
        <v>35.28</v>
      </c>
    </row>
    <row r="10" ht="110" customHeight="1">
      <c r="A10" s="3" t="inlineStr">
        <is>
          <t>13063482</t>
        </is>
      </c>
      <c r="B10" s="3" t="inlineStr">
        <is>
          <t>06-07-2026</t>
        </is>
      </c>
      <c r="C10" s="3" t="inlineStr">
        <is>
          <t>Blau</t>
        </is>
      </c>
      <c r="D10" s="3" t="inlineStr">
        <is>
          <t>207605</t>
        </is>
      </c>
      <c r="E10" s="4" t="inlineStr">
        <is>
          <t>Ficus be Bushy King x10 3T</t>
        </is>
      </c>
      <c r="F10" s="4" t="inlineStr">
        <is>
          <t>MDK PLANTS &amp; DECORATIONS</t>
        </is>
      </c>
      <c r="G10" s="4" t="inlineStr">
        <is>
          <t>COLOR Matizado · ALTURA 40 cm · MACETA 12</t>
        </is>
      </c>
      <c r="H10" s="3" t="inlineStr"/>
      <c r="I10" s="3" t="n">
        <v>10</v>
      </c>
      <c r="J10" s="3" t="inlineStr">
        <is>
          <t>10 шт.</t>
        </is>
      </c>
      <c r="K10" s="4">
        <f>IMAGE("https://cdn.verdnatura.es/image/catalog/1600x900/207605")</f>
        <v/>
      </c>
      <c r="L10" s="5" t="n"/>
      <c r="M10" s="6" t="n"/>
      <c r="N10" s="7" t="n"/>
      <c r="O10" s="8" t="n">
        <v>3.91</v>
      </c>
      <c r="P10" s="8" t="n">
        <v>39.1</v>
      </c>
    </row>
    <row r="11" ht="110" customHeight="1">
      <c r="A11" s="3" t="inlineStr">
        <is>
          <t>13063482</t>
        </is>
      </c>
      <c r="B11" s="3" t="inlineStr">
        <is>
          <t>06-07-2026</t>
        </is>
      </c>
      <c r="C11" s="3" t="inlineStr">
        <is>
          <t>Blau</t>
        </is>
      </c>
      <c r="D11" s="3" t="inlineStr">
        <is>
          <t>45040</t>
        </is>
      </c>
      <c r="E11" s="4" t="inlineStr">
        <is>
          <t>Fittonia Mix 7 Colores</t>
        </is>
      </c>
      <c r="F11" s="4" t="inlineStr">
        <is>
          <t>Schoenmakers verkoop BV</t>
        </is>
      </c>
      <c r="G11" s="4" t="inlineStr">
        <is>
          <t>COLOR Mixto · ALTURA 12 cm · MACETA 8,5</t>
        </is>
      </c>
      <c r="H11" s="3" t="inlineStr"/>
      <c r="I11" s="3" t="n">
        <v>21</v>
      </c>
      <c r="J11" s="3" t="inlineStr">
        <is>
          <t>21 шт.</t>
        </is>
      </c>
      <c r="K11" s="4">
        <f>IMAGE("https://cdn.verdnatura.es/image/catalog/1600x900/45040")</f>
        <v/>
      </c>
      <c r="L11" s="5" t="n"/>
      <c r="M11" s="6" t="n"/>
      <c r="N11" s="7" t="n"/>
      <c r="O11" s="8" t="n">
        <v>0.65</v>
      </c>
      <c r="P11" s="8" t="n">
        <v>13.65</v>
      </c>
    </row>
    <row r="12" ht="110" customHeight="1">
      <c r="A12" s="3" t="inlineStr">
        <is>
          <t>13063482</t>
        </is>
      </c>
      <c r="B12" s="3" t="inlineStr">
        <is>
          <t>06-07-2026</t>
        </is>
      </c>
      <c r="C12" s="3" t="inlineStr">
        <is>
          <t>Blau</t>
        </is>
      </c>
      <c r="D12" s="3" t="inlineStr">
        <is>
          <t>195507</t>
        </is>
      </c>
      <c r="E12" s="4" t="inlineStr">
        <is>
          <t>Maceta Cuenco Boule</t>
        </is>
      </c>
      <c r="F12" s="4" t="inlineStr">
        <is>
          <t>FLORAN</t>
        </is>
      </c>
      <c r="G12" s="4" t="inlineStr">
        <is>
          <t>ALTURA 8.5 cm · DIAMETRO 18.5 cm · DIAMETRO BOCA 17 cm</t>
        </is>
      </c>
      <c r="H12" s="3" t="inlineStr"/>
      <c r="I12" s="3" t="n">
        <v>8</v>
      </c>
      <c r="J12" s="3" t="inlineStr">
        <is>
          <t>8 шт.</t>
        </is>
      </c>
      <c r="K12" s="4">
        <f>IMAGE("https://cdn.verdnatura.es/image/catalog/1600x900/195507")</f>
        <v/>
      </c>
      <c r="L12" s="5" t="n"/>
      <c r="M12" s="6" t="n"/>
      <c r="N12" s="7" t="n"/>
      <c r="O12" s="8" t="n">
        <v>2.6</v>
      </c>
      <c r="P12" s="8" t="n">
        <v>20.8</v>
      </c>
    </row>
    <row r="13" ht="110" customHeight="1">
      <c r="A13" s="3" t="inlineStr">
        <is>
          <t>13063482</t>
        </is>
      </c>
      <c r="B13" s="3" t="inlineStr">
        <is>
          <t>06-07-2026</t>
        </is>
      </c>
      <c r="C13" s="3" t="inlineStr">
        <is>
          <t>Blau</t>
        </is>
      </c>
      <c r="D13" s="3" t="inlineStr">
        <is>
          <t>195509</t>
        </is>
      </c>
      <c r="E13" s="4" t="inlineStr">
        <is>
          <t>Maceta Cuenco Boule</t>
        </is>
      </c>
      <c r="F13" s="4" t="inlineStr">
        <is>
          <t>FLORAN</t>
        </is>
      </c>
      <c r="G13" s="4" t="inlineStr">
        <is>
          <t>ALTURA 9.5 cm · DIAMETRO 22.5 cm · DIAMETRO BOCA 21 cm</t>
        </is>
      </c>
      <c r="H13" s="3" t="inlineStr"/>
      <c r="I13" s="3" t="n">
        <v>6</v>
      </c>
      <c r="J13" s="3" t="inlineStr">
        <is>
          <t>6 шт.</t>
        </is>
      </c>
      <c r="K13" s="4">
        <f>IMAGE("https://cdn.verdnatura.es/image/catalog/1600x900/195509")</f>
        <v/>
      </c>
      <c r="L13" s="5" t="n"/>
      <c r="M13" s="6" t="n"/>
      <c r="N13" s="7" t="n"/>
      <c r="O13" s="8" t="n">
        <v>3.58</v>
      </c>
      <c r="P13" s="8" t="n">
        <v>21.48</v>
      </c>
    </row>
    <row r="14" ht="110" customHeight="1">
      <c r="A14" s="3" t="inlineStr">
        <is>
          <t>13063482</t>
        </is>
      </c>
      <c r="B14" s="3" t="inlineStr">
        <is>
          <t>06-07-2026</t>
        </is>
      </c>
      <c r="C14" s="3" t="inlineStr">
        <is>
          <t>Blau</t>
        </is>
      </c>
      <c r="D14" s="3" t="inlineStr">
        <is>
          <t>170218</t>
        </is>
      </c>
      <c r="E14" s="4" t="inlineStr">
        <is>
          <t>Suculentas Mix</t>
        </is>
      </c>
      <c r="F14" s="4" t="inlineStr">
        <is>
          <t>VP</t>
        </is>
      </c>
      <c r="G14" s="4" t="inlineStr">
        <is>
          <t>COLOR Verde · ALTURA 16 cm · MACETA 8,5</t>
        </is>
      </c>
      <c r="H14" s="3" t="inlineStr"/>
      <c r="I14" s="3" t="n">
        <v>12</v>
      </c>
      <c r="J14" s="3" t="inlineStr">
        <is>
          <t>12 шт.</t>
        </is>
      </c>
      <c r="K14" s="4">
        <f>IMAGE("https://cdn.verdnatura.es/image/catalog/1600x900/170218")</f>
        <v/>
      </c>
      <c r="L14" s="5" t="n"/>
      <c r="M14" s="6" t="n"/>
      <c r="N14" s="7" t="n"/>
      <c r="O14" s="8" t="n">
        <v>1.04</v>
      </c>
      <c r="P14" s="8" t="n">
        <v>12.48</v>
      </c>
    </row>
    <row r="15" ht="110" customHeight="1">
      <c r="A15" s="3" t="inlineStr">
        <is>
          <t>13063482</t>
        </is>
      </c>
      <c r="B15" s="3" t="inlineStr">
        <is>
          <t>06-07-2026</t>
        </is>
      </c>
      <c r="C15" s="3" t="inlineStr">
        <is>
          <t>Blau</t>
        </is>
      </c>
      <c r="D15" s="3" t="inlineStr">
        <is>
          <t>207552</t>
        </is>
      </c>
      <c r="E15" s="4" t="inlineStr">
        <is>
          <t>Tillandsia Ziva</t>
        </is>
      </c>
      <c r="F15" s="4" t="inlineStr">
        <is>
          <t>Plant Company</t>
        </is>
      </c>
      <c r="G15" s="4" t="inlineStr">
        <is>
          <t>COLOR Rosa · ALTURA 60 cm · MACETA 12</t>
        </is>
      </c>
      <c r="H15" s="3" t="inlineStr"/>
      <c r="I15" s="3" t="n">
        <v>6</v>
      </c>
      <c r="J15" s="3" t="inlineStr">
        <is>
          <t>6 шт.</t>
        </is>
      </c>
      <c r="K15" s="4">
        <f>IMAGE("https://cdn.verdnatura.es/image/catalog/1600x900/207552")</f>
        <v/>
      </c>
      <c r="L15" s="5" t="n"/>
      <c r="M15" s="6" t="n"/>
      <c r="N15" s="7" t="n"/>
      <c r="O15" s="8" t="n">
        <v>3.88</v>
      </c>
      <c r="P15" s="8" t="n">
        <v>23.28</v>
      </c>
    </row>
    <row r="16" ht="26" customHeight="1">
      <c r="A16" s="2" t="inlineStr">
        <is>
          <t>📦  Накладная #13064403  ·  06-07-2026  ·  Blau  ·  1 позиций  ·  bultos: 1</t>
        </is>
      </c>
    </row>
    <row r="17" ht="110" customHeight="1">
      <c r="A17" s="3" t="inlineStr">
        <is>
          <t>13064403</t>
        </is>
      </c>
      <c r="B17" s="3" t="inlineStr">
        <is>
          <t>06-07-2026</t>
        </is>
      </c>
      <c r="C17" s="3" t="inlineStr">
        <is>
          <t>Blau</t>
        </is>
      </c>
      <c r="D17" s="3" t="inlineStr">
        <is>
          <t>202954</t>
        </is>
      </c>
      <c r="E17" s="4" t="inlineStr">
        <is>
          <t>Ficus Bin Amstel King 3T</t>
        </is>
      </c>
      <c r="F17" s="4" t="inlineStr">
        <is>
          <t>Aarts Kwekerijen</t>
        </is>
      </c>
      <c r="G17" s="4" t="inlineStr">
        <is>
          <t>COLOR Verde · ALTURA 145 cm · MACETA 27</t>
        </is>
      </c>
      <c r="H17" s="3" t="inlineStr"/>
      <c r="I17" s="3" t="n">
        <v>1</v>
      </c>
      <c r="J17" s="3" t="inlineStr">
        <is>
          <t>1 шт.</t>
        </is>
      </c>
      <c r="K17" s="4">
        <f>IMAGE("https://cdn.verdnatura.es/image/catalog/1600x900/202954")</f>
        <v/>
      </c>
      <c r="L17" s="5" t="n"/>
      <c r="M17" s="6" t="n"/>
      <c r="N17" s="7" t="n"/>
      <c r="O17" s="8" t="n">
        <v>24.81</v>
      </c>
      <c r="P17" s="8" t="n">
        <v>24.81</v>
      </c>
    </row>
  </sheetData>
  <mergeCells count="4">
    <mergeCell ref="A16:P16"/>
    <mergeCell ref="A5:P5"/>
    <mergeCell ref="A8:P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2026-07-07T09:26:57Z</dcterms:created>
  <dcterms:modified xmlns:dcterms="http://purl.org/dc/terms/" xmlns:xsi="http://www.w3.org/2001/XMLSchema-instance" xsi:type="dcterms:W3CDTF">2026-07-07T09:26:57Z</dcterms:modified>
</cp:coreProperties>
</file>