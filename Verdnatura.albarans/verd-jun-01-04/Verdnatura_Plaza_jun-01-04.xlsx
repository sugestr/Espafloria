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#12886479  ·  31-05-2026  ·  Plaza  ·  23 позиций  ·  bultos: 3</t>
        </is>
      </c>
    </row>
    <row r="3" ht="110" customHeight="1">
      <c r="A3" s="3" t="inlineStr">
        <is>
          <t>12886479</t>
        </is>
      </c>
      <c r="B3" s="3" t="inlineStr">
        <is>
          <t>31-05-2026</t>
        </is>
      </c>
      <c r="C3" s="3" t="inlineStr">
        <is>
          <t>Plaza</t>
        </is>
      </c>
      <c r="D3" s="3" t="inlineStr">
        <is>
          <t>89822</t>
        </is>
      </c>
      <c r="E3" s="4" t="inlineStr">
        <is>
          <t>Aster Flash</t>
        </is>
      </c>
      <c r="F3" s="4" t="inlineStr"/>
      <c r="G3" s="4" t="inlineStr">
        <is>
          <t>COLOR Fucsia · ALTURA 80 cm · PESO/TALLO 30 gr</t>
        </is>
      </c>
      <c r="H3" s="3" t="inlineStr"/>
      <c r="I3" s="3" t="n">
        <v>25</v>
      </c>
      <c r="J3" s="3" t="inlineStr">
        <is>
          <t>25 шт.</t>
        </is>
      </c>
      <c r="K3" s="4">
        <f>IMAGE("https://cdn.verdnatura.es/image/catalog/1600x900/89822")</f>
        <v/>
      </c>
      <c r="L3" s="5" t="n"/>
      <c r="M3" s="6" t="n"/>
      <c r="N3" s="7" t="n"/>
      <c r="O3" s="8" t="n">
        <v>0.37</v>
      </c>
      <c r="P3" s="8" t="n">
        <v>9.25</v>
      </c>
    </row>
    <row r="4" ht="110" customHeight="1">
      <c r="A4" s="3" t="inlineStr">
        <is>
          <t>12886479</t>
        </is>
      </c>
      <c r="B4" s="3" t="inlineStr">
        <is>
          <t>31-05-2026</t>
        </is>
      </c>
      <c r="C4" s="3" t="inlineStr">
        <is>
          <t>Plaza</t>
        </is>
      </c>
      <c r="D4" s="3" t="inlineStr">
        <is>
          <t>204352</t>
        </is>
      </c>
      <c r="E4" s="4" t="inlineStr">
        <is>
          <t>Aster Painted Lady</t>
        </is>
      </c>
      <c r="F4" s="4" t="inlineStr"/>
      <c r="G4" s="4" t="inlineStr">
        <is>
          <t>COLOR Rosa · ALTURA 80 cm · PESO/TALLO 35 gr</t>
        </is>
      </c>
      <c r="H4" s="3" t="inlineStr"/>
      <c r="I4" s="3" t="n">
        <v>25</v>
      </c>
      <c r="J4" s="3" t="inlineStr">
        <is>
          <t>25 шт.</t>
        </is>
      </c>
      <c r="K4" s="4">
        <f>IMAGE("https://cdn.verdnatura.es/image/catalog/1600x900/204352")</f>
        <v/>
      </c>
      <c r="L4" s="5" t="n"/>
      <c r="M4" s="6" t="n"/>
      <c r="N4" s="7" t="n"/>
      <c r="O4" s="8" t="n">
        <v>0.25</v>
      </c>
      <c r="P4" s="8" t="n">
        <v>6.25</v>
      </c>
    </row>
    <row r="5" ht="110" customHeight="1">
      <c r="A5" s="3" t="inlineStr">
        <is>
          <t>12886479</t>
        </is>
      </c>
      <c r="B5" s="3" t="inlineStr">
        <is>
          <t>31-05-2026</t>
        </is>
      </c>
      <c r="C5" s="3" t="inlineStr">
        <is>
          <t>Plaza</t>
        </is>
      </c>
      <c r="D5" s="3" t="inlineStr">
        <is>
          <t>49636</t>
        </is>
      </c>
      <c r="E5" s="4" t="inlineStr">
        <is>
          <t>Coral Fern Morado</t>
        </is>
      </c>
      <c r="F5" s="4" t="inlineStr"/>
      <c r="G5" s="4" t="inlineStr">
        <is>
          <t>COLOR Morado · ALTURA 25 cm</t>
        </is>
      </c>
      <c r="H5" s="3" t="inlineStr">
        <is>
          <t>Paquete</t>
        </is>
      </c>
      <c r="I5" s="3" t="n">
        <v>5</v>
      </c>
      <c r="J5" s="3" t="inlineStr">
        <is>
          <t>5 пачек</t>
        </is>
      </c>
      <c r="K5" s="4">
        <f>IMAGE("https://cdn.verdnatura.es/image/catalog/1600x900/49636")</f>
        <v/>
      </c>
      <c r="L5" s="5" t="n"/>
      <c r="M5" s="6" t="n"/>
      <c r="N5" s="7" t="n"/>
      <c r="O5" s="8" t="n">
        <v>2.42</v>
      </c>
      <c r="P5" s="8" t="n">
        <v>12.1</v>
      </c>
    </row>
    <row r="6" ht="110" customHeight="1">
      <c r="A6" s="3" t="inlineStr">
        <is>
          <t>12886479</t>
        </is>
      </c>
      <c r="B6" s="3" t="inlineStr">
        <is>
          <t>31-05-2026</t>
        </is>
      </c>
      <c r="C6" s="3" t="inlineStr">
        <is>
          <t>Plaza</t>
        </is>
      </c>
      <c r="D6" s="3" t="inlineStr">
        <is>
          <t>94341</t>
        </is>
      </c>
      <c r="E6" s="4" t="inlineStr">
        <is>
          <t>Coral Fern Painted Rojo</t>
        </is>
      </c>
      <c r="F6" s="4" t="inlineStr"/>
      <c r="G6" s="4" t="inlineStr">
        <is>
          <t>COLOR Rojo · ALTURA 25 cm</t>
        </is>
      </c>
      <c r="H6" s="3" t="inlineStr">
        <is>
          <t>Paquete</t>
        </is>
      </c>
      <c r="I6" s="3" t="n">
        <v>5</v>
      </c>
      <c r="J6" s="3" t="inlineStr">
        <is>
          <t>5 пачек</t>
        </is>
      </c>
      <c r="K6" s="4">
        <f>IMAGE("https://cdn.verdnatura.es/image/catalog/1600x900/94341")</f>
        <v/>
      </c>
      <c r="L6" s="5" t="n"/>
      <c r="M6" s="6" t="n"/>
      <c r="N6" s="7" t="n"/>
      <c r="O6" s="8" t="n">
        <v>2.53</v>
      </c>
      <c r="P6" s="8" t="n">
        <v>12.65</v>
      </c>
    </row>
    <row r="7" ht="110" customHeight="1">
      <c r="A7" s="3" t="inlineStr">
        <is>
          <t>12886479</t>
        </is>
      </c>
      <c r="B7" s="3" t="inlineStr">
        <is>
          <t>31-05-2026</t>
        </is>
      </c>
      <c r="C7" s="3" t="inlineStr">
        <is>
          <t>Plaza</t>
        </is>
      </c>
      <c r="D7" s="3" t="inlineStr">
        <is>
          <t>202950</t>
        </is>
      </c>
      <c r="E7" s="4" t="inlineStr">
        <is>
          <t>Dahlia Mix x40</t>
        </is>
      </c>
      <c r="F7" s="4" t="inlineStr">
        <is>
          <t>My Dahlia Society</t>
        </is>
      </c>
      <c r="G7" s="4" t="inlineStr">
        <is>
          <t>COLOR Mixto · ALTURA 40 cm</t>
        </is>
      </c>
      <c r="H7" s="3" t="inlineStr"/>
      <c r="I7" s="3" t="n">
        <v>40</v>
      </c>
      <c r="J7" s="3" t="inlineStr">
        <is>
          <t>40 шт.</t>
        </is>
      </c>
      <c r="K7" s="4">
        <f>IMAGE("https://cdn.verdnatura.es/image/catalog/1600x900/202950")</f>
        <v/>
      </c>
      <c r="L7" s="5" t="n"/>
      <c r="M7" s="6" t="n"/>
      <c r="N7" s="7" t="n"/>
      <c r="O7" s="8" t="n">
        <v>0.71</v>
      </c>
      <c r="P7" s="8" t="n">
        <v>28.4</v>
      </c>
    </row>
    <row r="8" ht="110" customHeight="1">
      <c r="A8" s="3" t="inlineStr">
        <is>
          <t>12886479</t>
        </is>
      </c>
      <c r="B8" s="3" t="inlineStr">
        <is>
          <t>31-05-2026</t>
        </is>
      </c>
      <c r="C8" s="3" t="inlineStr">
        <is>
          <t>Plaza</t>
        </is>
      </c>
      <c r="D8" s="3" t="inlineStr">
        <is>
          <t>134889</t>
        </is>
      </c>
      <c r="E8" s="4" t="inlineStr">
        <is>
          <t>Girasol Vincent s Choice</t>
        </is>
      </c>
      <c r="F8" s="4" t="inlineStr">
        <is>
          <t>Canaraflor</t>
        </is>
      </c>
      <c r="G8" s="4" t="inlineStr">
        <is>
          <t>COLOR Naranja claro · ALTURA 70 cm</t>
        </is>
      </c>
      <c r="H8" s="3" t="inlineStr"/>
      <c r="I8" s="3" t="n">
        <v>30</v>
      </c>
      <c r="J8" s="3" t="inlineStr">
        <is>
          <t>30 шт.</t>
        </is>
      </c>
      <c r="K8" s="4">
        <f>IMAGE("https://cdn.verdnatura.es/image/catalog/1600x900/134889")</f>
        <v/>
      </c>
      <c r="L8" s="5" t="n"/>
      <c r="M8" s="6" t="n"/>
      <c r="N8" s="7" t="n"/>
      <c r="O8" s="8" t="n">
        <v>0.62</v>
      </c>
      <c r="P8" s="8" t="n">
        <v>18.6</v>
      </c>
    </row>
    <row r="9" ht="110" customHeight="1">
      <c r="A9" s="3" t="inlineStr">
        <is>
          <t>12886479</t>
        </is>
      </c>
      <c r="B9" s="3" t="inlineStr">
        <is>
          <t>31-05-2026</t>
        </is>
      </c>
      <c r="C9" s="3" t="inlineStr">
        <is>
          <t>Plaza</t>
        </is>
      </c>
      <c r="D9" s="3" t="inlineStr">
        <is>
          <t>55133</t>
        </is>
      </c>
      <c r="E9" s="4" t="inlineStr">
        <is>
          <t>GRS Northanger Abbey</t>
        </is>
      </c>
      <c r="F9" s="4" t="inlineStr">
        <is>
          <t>Wans Roses</t>
        </is>
      </c>
      <c r="G9" s="4" t="inlineStr">
        <is>
          <t>COLOR Rosa · ALTURA 40 cm</t>
        </is>
      </c>
      <c r="H9" s="3" t="inlineStr"/>
      <c r="I9" s="3" t="n">
        <v>30</v>
      </c>
      <c r="J9" s="3" t="inlineStr">
        <is>
          <t>30 шт.</t>
        </is>
      </c>
      <c r="K9" s="4">
        <f>IMAGE("https://cdn.verdnatura.es/image/catalog/1600x900/55133")</f>
        <v/>
      </c>
      <c r="L9" s="5" t="n"/>
      <c r="M9" s="6" t="n"/>
      <c r="N9" s="7" t="n"/>
      <c r="O9" s="8" t="n">
        <v>0.58</v>
      </c>
      <c r="P9" s="8" t="n">
        <v>17.4</v>
      </c>
    </row>
    <row r="10" ht="110" customHeight="1">
      <c r="A10" s="3" t="inlineStr">
        <is>
          <t>12886479</t>
        </is>
      </c>
      <c r="B10" s="3" t="inlineStr">
        <is>
          <t>31-05-2026</t>
        </is>
      </c>
      <c r="C10" s="3" t="inlineStr">
        <is>
          <t>Plaza</t>
        </is>
      </c>
      <c r="D10" s="3" t="inlineStr">
        <is>
          <t>202962</t>
        </is>
      </c>
      <c r="E10" s="4" t="inlineStr">
        <is>
          <t>HYD Royal Crown (Blauw)</t>
        </is>
      </c>
      <c r="F10" s="4" t="inlineStr"/>
      <c r="G10" s="4" t="inlineStr">
        <is>
          <t>COLOR Azul · ALTURA 80 cm · DIAMETRO 19 cm</t>
        </is>
      </c>
      <c r="H10" s="3" t="inlineStr"/>
      <c r="I10" s="3" t="n">
        <v>10</v>
      </c>
      <c r="J10" s="3" t="inlineStr">
        <is>
          <t>10 шт.</t>
        </is>
      </c>
      <c r="K10" s="4">
        <f>IMAGE("https://cdn.verdnatura.es/image/catalog/1600x900/202962")</f>
        <v/>
      </c>
      <c r="L10" s="5" t="n"/>
      <c r="M10" s="6" t="n"/>
      <c r="N10" s="7" t="n"/>
      <c r="O10" s="8" t="n">
        <v>3.47</v>
      </c>
      <c r="P10" s="8" t="n">
        <v>34.7</v>
      </c>
    </row>
    <row r="11" ht="110" customHeight="1">
      <c r="A11" s="3" t="inlineStr">
        <is>
          <t>12886479</t>
        </is>
      </c>
      <c r="B11" s="3" t="inlineStr">
        <is>
          <t>31-05-2026</t>
        </is>
      </c>
      <c r="C11" s="3" t="inlineStr">
        <is>
          <t>Plaza</t>
        </is>
      </c>
      <c r="D11" s="3" t="inlineStr">
        <is>
          <t>96543</t>
        </is>
      </c>
      <c r="E11" s="4" t="inlineStr">
        <is>
          <t>Lathyrus Winter Sunshine Pink</t>
        </is>
      </c>
      <c r="F11" s="4" t="inlineStr"/>
      <c r="G11" s="4" t="inlineStr">
        <is>
          <t>COLOR Rosa · ALTURA 50 cm</t>
        </is>
      </c>
      <c r="H11" s="3" t="inlineStr"/>
      <c r="I11" s="3" t="n">
        <v>50</v>
      </c>
      <c r="J11" s="3" t="inlineStr">
        <is>
          <t>50 шт.</t>
        </is>
      </c>
      <c r="K11" s="4">
        <f>IMAGE("https://cdn.verdnatura.es/image/catalog/1600x900/96543")</f>
        <v/>
      </c>
      <c r="L11" s="5" t="n"/>
      <c r="M11" s="6" t="n"/>
      <c r="N11" s="7" t="n"/>
      <c r="O11" s="8" t="n">
        <v>0.43</v>
      </c>
      <c r="P11" s="8" t="n">
        <v>21.5</v>
      </c>
    </row>
    <row r="12" ht="110" customHeight="1">
      <c r="A12" s="3" t="inlineStr">
        <is>
          <t>12886479</t>
        </is>
      </c>
      <c r="B12" s="3" t="inlineStr">
        <is>
          <t>31-05-2026</t>
        </is>
      </c>
      <c r="C12" s="3" t="inlineStr">
        <is>
          <t>Plaza</t>
        </is>
      </c>
      <c r="D12" s="3" t="inlineStr">
        <is>
          <t>142766</t>
        </is>
      </c>
      <c r="E12" s="4" t="inlineStr">
        <is>
          <t>LO Roselily Samantha 4-5</t>
        </is>
      </c>
      <c r="F12" s="4" t="inlineStr">
        <is>
          <t>Moerman Lilium BV</t>
        </is>
      </c>
      <c r="G12" s="4" t="inlineStr">
        <is>
          <t>COLOR Rosa · ALTURA 80 cm · TAMAÑO BOTON 6-8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IMAGE("https://cdn.verdnatura.es/image/catalog/1600x900/142766")</f>
        <v/>
      </c>
      <c r="L12" s="5" t="n"/>
      <c r="M12" s="6" t="n"/>
      <c r="N12" s="7" t="n"/>
      <c r="O12" s="8" t="n">
        <v>2.11</v>
      </c>
      <c r="P12" s="8" t="n">
        <v>21.1</v>
      </c>
    </row>
    <row r="13" ht="110" customHeight="1">
      <c r="A13" s="3" t="inlineStr">
        <is>
          <t>12886479</t>
        </is>
      </c>
      <c r="B13" s="3" t="inlineStr">
        <is>
          <t>31-05-2026</t>
        </is>
      </c>
      <c r="C13" s="3" t="inlineStr">
        <is>
          <t>Plaza</t>
        </is>
      </c>
      <c r="D13" s="3" t="inlineStr">
        <is>
          <t>186575</t>
        </is>
      </c>
      <c r="E13" s="4" t="inlineStr">
        <is>
          <t>Oxypetalum Tanioka Pure Blue</t>
        </is>
      </c>
      <c r="F13" s="4" t="inlineStr">
        <is>
          <t>Rivera</t>
        </is>
      </c>
      <c r="G13" s="4" t="inlineStr">
        <is>
          <t>COLOR Azul Claro · ALTURA 50 cm</t>
        </is>
      </c>
      <c r="H13" s="3" t="inlineStr"/>
      <c r="I13" s="3" t="n">
        <v>30</v>
      </c>
      <c r="J13" s="3" t="inlineStr">
        <is>
          <t>30 шт.</t>
        </is>
      </c>
      <c r="K13" s="4">
        <f>IMAGE("https://cdn.verdnatura.es/image/catalog/1600x900/186575")</f>
        <v/>
      </c>
      <c r="L13" s="5" t="n"/>
      <c r="M13" s="6" t="n"/>
      <c r="N13" s="7" t="n"/>
      <c r="O13" s="8" t="n">
        <v>0.39</v>
      </c>
      <c r="P13" s="8" t="n">
        <v>11.7</v>
      </c>
    </row>
    <row r="14" ht="110" customHeight="1">
      <c r="A14" s="3" t="inlineStr">
        <is>
          <t>12886479</t>
        </is>
      </c>
      <c r="B14" s="3" t="inlineStr">
        <is>
          <t>31-05-2026</t>
        </is>
      </c>
      <c r="C14" s="3" t="inlineStr">
        <is>
          <t>Plaza</t>
        </is>
      </c>
      <c r="D14" s="3" t="inlineStr">
        <is>
          <t>178978</t>
        </is>
      </c>
      <c r="E14" s="4" t="inlineStr">
        <is>
          <t>Peonia Red Charm</t>
        </is>
      </c>
      <c r="F14" s="4" t="inlineStr">
        <is>
          <t>My-Peony</t>
        </is>
      </c>
      <c r="G14" s="4" t="inlineStr">
        <is>
          <t>COLOR Granate · ALTURA 55 cm · APERTURA 2-3</t>
        </is>
      </c>
      <c r="H14" s="3" t="inlineStr"/>
      <c r="I14" s="3" t="n">
        <v>30</v>
      </c>
      <c r="J14" s="3" t="inlineStr">
        <is>
          <t>30 шт.</t>
        </is>
      </c>
      <c r="K14" s="4">
        <f>IMAGE("https://cdn.verdnatura.es/image/catalog/1600x900/178978")</f>
        <v/>
      </c>
      <c r="L14" s="5" t="n"/>
      <c r="M14" s="6" t="n"/>
      <c r="N14" s="7" t="n"/>
      <c r="O14" s="8" t="n">
        <v>1.32</v>
      </c>
      <c r="P14" s="8" t="n">
        <v>39.6</v>
      </c>
    </row>
    <row r="15" ht="110" customHeight="1">
      <c r="A15" s="3" t="inlineStr">
        <is>
          <t>12886479</t>
        </is>
      </c>
      <c r="B15" s="3" t="inlineStr">
        <is>
          <t>31-05-2026</t>
        </is>
      </c>
      <c r="C15" s="3" t="inlineStr">
        <is>
          <t>Plaza</t>
        </is>
      </c>
      <c r="D15" s="3" t="inlineStr">
        <is>
          <t>41597</t>
        </is>
      </c>
      <c r="E15" s="4" t="inlineStr">
        <is>
          <t>Peonia Reine Hortense</t>
        </is>
      </c>
      <c r="F15" s="4" t="inlineStr">
        <is>
          <t>My-Peony</t>
        </is>
      </c>
      <c r="G15" s="4" t="inlineStr">
        <is>
          <t>COLOR Rosa Claro · ALTURA 50 cm</t>
        </is>
      </c>
      <c r="H15" s="3" t="inlineStr"/>
      <c r="I15" s="3" t="n">
        <v>30</v>
      </c>
      <c r="J15" s="3" t="inlineStr">
        <is>
          <t>30 шт.</t>
        </is>
      </c>
      <c r="K15" s="4">
        <f>IMAGE("https://cdn.verdnatura.es/image/catalog/1600x900/41597")</f>
        <v/>
      </c>
      <c r="L15" s="5" t="n"/>
      <c r="M15" s="6" t="n"/>
      <c r="N15" s="7" t="n"/>
      <c r="O15" s="8" t="n">
        <v>1.35</v>
      </c>
      <c r="P15" s="8" t="n">
        <v>40.5</v>
      </c>
    </row>
    <row r="16" ht="110" customHeight="1">
      <c r="A16" s="3" t="inlineStr">
        <is>
          <t>12886479</t>
        </is>
      </c>
      <c r="B16" s="3" t="inlineStr">
        <is>
          <t>31-05-2026</t>
        </is>
      </c>
      <c r="C16" s="3" t="inlineStr">
        <is>
          <t>Plaza</t>
        </is>
      </c>
      <c r="D16" s="3" t="inlineStr">
        <is>
          <t>177194</t>
        </is>
      </c>
      <c r="E16" s="4" t="inlineStr">
        <is>
          <t>RS Coolwater EXT</t>
        </is>
      </c>
      <c r="F16" s="4" t="inlineStr">
        <is>
          <t>Ecuador</t>
        </is>
      </c>
      <c r="G16" s="4" t="inlineStr">
        <is>
          <t>COLOR Lavanda · ALTURA 60 cm · BOTÓN MINIMO 5 cm</t>
        </is>
      </c>
      <c r="H16" s="3" t="inlineStr"/>
      <c r="I16" s="3" t="n">
        <v>25</v>
      </c>
      <c r="J16" s="3" t="inlineStr">
        <is>
          <t>25 шт.</t>
        </is>
      </c>
      <c r="K16" s="4">
        <f>IMAGE("https://cdn.verdnatura.es/image/catalog/1600x900/177194")</f>
        <v/>
      </c>
      <c r="L16" s="5" t="n"/>
      <c r="M16" s="6" t="n"/>
      <c r="N16" s="7" t="n"/>
      <c r="O16" s="8" t="n">
        <v>0.58</v>
      </c>
      <c r="P16" s="8" t="n">
        <v>14.5</v>
      </c>
    </row>
    <row r="17" ht="110" customHeight="1">
      <c r="A17" s="3" t="inlineStr">
        <is>
          <t>12886479</t>
        </is>
      </c>
      <c r="B17" s="3" t="inlineStr">
        <is>
          <t>31-05-2026</t>
        </is>
      </c>
      <c r="C17" s="3" t="inlineStr">
        <is>
          <t>Plaza</t>
        </is>
      </c>
      <c r="D17" s="3" t="inlineStr">
        <is>
          <t>119913</t>
        </is>
      </c>
      <c r="E17" s="4" t="inlineStr">
        <is>
          <t>RS Dante SEL</t>
        </is>
      </c>
      <c r="F17" s="4" t="inlineStr">
        <is>
          <t>Milagro</t>
        </is>
      </c>
      <c r="G17" s="4" t="inlineStr">
        <is>
          <t>COLOR Naranja · ALTURA 60 cm</t>
        </is>
      </c>
      <c r="H17" s="3" t="inlineStr"/>
      <c r="I17" s="3" t="n">
        <v>25</v>
      </c>
      <c r="J17" s="3" t="inlineStr">
        <is>
          <t>25 шт.</t>
        </is>
      </c>
      <c r="K17" s="4">
        <f>IMAGE("https://cdn.verdnatura.es/image/catalog/1600x900/119913")</f>
        <v/>
      </c>
      <c r="L17" s="5" t="n"/>
      <c r="M17" s="6" t="n"/>
      <c r="N17" s="7" t="n"/>
      <c r="O17" s="8" t="n">
        <v>0.6899999999999999</v>
      </c>
      <c r="P17" s="8" t="n">
        <v>17.25</v>
      </c>
    </row>
    <row r="18" ht="110" customHeight="1">
      <c r="A18" s="3" t="inlineStr">
        <is>
          <t>12886479</t>
        </is>
      </c>
      <c r="B18" s="3" t="inlineStr">
        <is>
          <t>31-05-2026</t>
        </is>
      </c>
      <c r="C18" s="3" t="inlineStr">
        <is>
          <t>Plaza</t>
        </is>
      </c>
      <c r="D18" s="3" t="inlineStr">
        <is>
          <t>137283</t>
        </is>
      </c>
      <c r="E18" s="4" t="inlineStr">
        <is>
          <t>RS Wild One EXT</t>
        </is>
      </c>
      <c r="F18" s="4" t="inlineStr">
        <is>
          <t>Santa Dorotea</t>
        </is>
      </c>
      <c r="G18" s="4" t="inlineStr">
        <is>
          <t>COLOR Fucsia · ALTURA 50 cm · BOTÓN MINIMO 5.5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IMAGE("https://cdn.verdnatura.es/image/catalog/1600x900/137283")</f>
        <v/>
      </c>
      <c r="L18" s="5" t="n"/>
      <c r="M18" s="6" t="n"/>
      <c r="N18" s="7" t="n"/>
      <c r="O18" s="8" t="n">
        <v>0.45</v>
      </c>
      <c r="P18" s="8" t="n">
        <v>22.5</v>
      </c>
    </row>
    <row r="19" ht="110" customHeight="1">
      <c r="A19" s="3" t="inlineStr">
        <is>
          <t>12886479</t>
        </is>
      </c>
      <c r="B19" s="3" t="inlineStr">
        <is>
          <t>31-05-2026</t>
        </is>
      </c>
      <c r="C19" s="3" t="inlineStr">
        <is>
          <t>Plaza</t>
        </is>
      </c>
      <c r="D19" s="3" t="inlineStr">
        <is>
          <t>153248</t>
        </is>
      </c>
      <c r="E19" s="4" t="inlineStr">
        <is>
          <t>RSR Chimo</t>
        </is>
      </c>
      <c r="F19" s="4" t="inlineStr">
        <is>
          <t>Holla Roses</t>
        </is>
      </c>
      <c r="G19" s="4" t="inlineStr">
        <is>
          <t>COLOR Fucsia · ALTURA 40 cm · TAMAÑO BOTON Pequeño</t>
        </is>
      </c>
      <c r="H19" s="3" t="inlineStr"/>
      <c r="I19" s="3" t="n">
        <v>40</v>
      </c>
      <c r="J19" s="3" t="inlineStr">
        <is>
          <t>40 шт.</t>
        </is>
      </c>
      <c r="K19" s="4">
        <f>IMAGE("https://cdn.verdnatura.es/image/catalog/1600x900/153248")</f>
        <v/>
      </c>
      <c r="L19" s="5" t="n"/>
      <c r="M19" s="6" t="n"/>
      <c r="N19" s="7" t="n"/>
      <c r="O19" s="8" t="n">
        <v>0.19</v>
      </c>
      <c r="P19" s="8" t="n">
        <v>7.6</v>
      </c>
    </row>
    <row r="20" ht="110" customHeight="1">
      <c r="A20" s="3" t="inlineStr">
        <is>
          <t>12886479</t>
        </is>
      </c>
      <c r="B20" s="3" t="inlineStr">
        <is>
          <t>31-05-2026</t>
        </is>
      </c>
      <c r="C20" s="3" t="inlineStr">
        <is>
          <t>Plaza</t>
        </is>
      </c>
      <c r="D20" s="3" t="inlineStr">
        <is>
          <t>19736</t>
        </is>
      </c>
      <c r="E20" s="4" t="inlineStr">
        <is>
          <t>RSR Lianne</t>
        </is>
      </c>
      <c r="F20" s="4" t="inlineStr">
        <is>
          <t>Sun Spray</t>
        </is>
      </c>
      <c r="G20" s="4" t="inlineStr">
        <is>
          <t>COLOR Fucsia · ALTURA 50 cm · TAMAÑO BOTÓN Pequeño</t>
        </is>
      </c>
      <c r="H20" s="3" t="inlineStr"/>
      <c r="I20" s="3" t="n">
        <v>40</v>
      </c>
      <c r="J20" s="3" t="inlineStr">
        <is>
          <t>40 шт.</t>
        </is>
      </c>
      <c r="K20" s="4">
        <f>IMAGE("https://cdn.verdnatura.es/image/catalog/1600x900/19736")</f>
        <v/>
      </c>
      <c r="L20" s="5" t="n"/>
      <c r="M20" s="6" t="n"/>
      <c r="N20" s="7" t="n"/>
      <c r="O20" s="8" t="n">
        <v>0.3</v>
      </c>
      <c r="P20" s="8" t="n">
        <v>12</v>
      </c>
    </row>
    <row r="21" ht="110" customHeight="1">
      <c r="A21" s="3" t="inlineStr">
        <is>
          <t>12886479</t>
        </is>
      </c>
      <c r="B21" s="3" t="inlineStr">
        <is>
          <t>31-05-2026</t>
        </is>
      </c>
      <c r="C21" s="3" t="inlineStr">
        <is>
          <t>Plaza</t>
        </is>
      </c>
      <c r="D21" s="3" t="inlineStr">
        <is>
          <t>191334</t>
        </is>
      </c>
      <c r="E21" s="4" t="inlineStr">
        <is>
          <t>RSR Rainbow</t>
        </is>
      </c>
      <c r="F21" s="4" t="inlineStr">
        <is>
          <t>Holla Roses BV</t>
        </is>
      </c>
      <c r="G21" s="4" t="inlineStr">
        <is>
          <t>COLOR Mixto · ALTURA 40 cm · TAMAÑO BOTON Pequeño</t>
        </is>
      </c>
      <c r="H21" s="3" t="inlineStr"/>
      <c r="I21" s="3" t="n">
        <v>60</v>
      </c>
      <c r="J21" s="3" t="inlineStr">
        <is>
          <t>60 шт.</t>
        </is>
      </c>
      <c r="K21" s="4">
        <f>IMAGE("https://cdn.verdnatura.es/image/catalog/1600x900/191334")</f>
        <v/>
      </c>
      <c r="L21" s="5" t="n"/>
      <c r="M21" s="6" t="n"/>
      <c r="N21" s="7" t="n"/>
      <c r="O21" s="8" t="n">
        <v>0.19</v>
      </c>
      <c r="P21" s="8" t="n">
        <v>11.4</v>
      </c>
    </row>
    <row r="22" ht="110" customHeight="1">
      <c r="A22" s="3" t="inlineStr">
        <is>
          <t>12886479</t>
        </is>
      </c>
      <c r="B22" s="3" t="inlineStr">
        <is>
          <t>31-05-2026</t>
        </is>
      </c>
      <c r="C22" s="3" t="inlineStr">
        <is>
          <t>Plaza</t>
        </is>
      </c>
      <c r="D22" s="3" t="inlineStr">
        <is>
          <t>135562</t>
        </is>
      </c>
      <c r="E22" s="4" t="inlineStr">
        <is>
          <t>Scabiosa Dark Cherry Scoop</t>
        </is>
      </c>
      <c r="F22" s="4" t="inlineStr"/>
      <c r="G22" s="4" t="inlineStr">
        <is>
          <t>COLOR Granate · ALTURA 50 cm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IMAGE("https://cdn.verdnatura.es/image/catalog/1600x900/135562")</f>
        <v/>
      </c>
      <c r="L22" s="5" t="n"/>
      <c r="M22" s="6" t="n"/>
      <c r="N22" s="7" t="n"/>
      <c r="O22" s="8" t="n">
        <v>0.5</v>
      </c>
      <c r="P22" s="8" t="n">
        <v>25</v>
      </c>
    </row>
    <row r="23" ht="110" customHeight="1">
      <c r="A23" s="3" t="inlineStr">
        <is>
          <t>12886479</t>
        </is>
      </c>
      <c r="B23" s="3" t="inlineStr">
        <is>
          <t>31-05-2026</t>
        </is>
      </c>
      <c r="C23" s="3" t="inlineStr">
        <is>
          <t>Plaza</t>
        </is>
      </c>
      <c r="D23" s="3" t="inlineStr">
        <is>
          <t>168539</t>
        </is>
      </c>
      <c r="E23" s="4" t="inlineStr">
        <is>
          <t>TRACH Lake Powell</t>
        </is>
      </c>
      <c r="F23" s="4" t="inlineStr"/>
      <c r="G23" s="4" t="inlineStr">
        <is>
          <t>COLOR Blanco · ALTURA 60 cm</t>
        </is>
      </c>
      <c r="H23" s="3" t="inlineStr"/>
      <c r="I23" s="3" t="n">
        <v>30</v>
      </c>
      <c r="J23" s="3" t="inlineStr">
        <is>
          <t>30 шт.</t>
        </is>
      </c>
      <c r="K23" s="4">
        <f>IMAGE("https://cdn.verdnatura.es/image/catalog/1600x900/168539")</f>
        <v/>
      </c>
      <c r="L23" s="5" t="n"/>
      <c r="M23" s="6" t="n"/>
      <c r="N23" s="7" t="n"/>
      <c r="O23" s="8" t="n">
        <v>0.36</v>
      </c>
      <c r="P23" s="8" t="n">
        <v>10.8</v>
      </c>
    </row>
    <row r="24" ht="110" customHeight="1">
      <c r="A24" s="3" t="inlineStr">
        <is>
          <t>12886479</t>
        </is>
      </c>
      <c r="B24" s="3" t="inlineStr">
        <is>
          <t>31-05-2026</t>
        </is>
      </c>
      <c r="C24" s="3" t="inlineStr">
        <is>
          <t>Plaza</t>
        </is>
      </c>
      <c r="D24" s="3" t="inlineStr">
        <is>
          <t>144919</t>
        </is>
      </c>
      <c r="E24" s="4" t="inlineStr">
        <is>
          <t>TUL Carpe Diem</t>
        </is>
      </c>
      <c r="F24" s="4" t="inlineStr"/>
      <c r="G24" s="4" t="inlineStr">
        <is>
          <t>COLOR Amarillo/Naranja · ALTURA 34 cm · PESO/TALLO 24 gr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IMAGE("https://cdn.verdnatura.es/image/catalog/1600x900/144919")</f>
        <v/>
      </c>
      <c r="L24" s="5" t="n"/>
      <c r="M24" s="6" t="n"/>
      <c r="N24" s="7" t="n"/>
      <c r="O24" s="8" t="n">
        <v>0.25</v>
      </c>
      <c r="P24" s="8" t="n">
        <v>12.5</v>
      </c>
    </row>
    <row r="25" ht="110" customHeight="1">
      <c r="A25" s="3" t="inlineStr">
        <is>
          <t>12886479</t>
        </is>
      </c>
      <c r="B25" s="3" t="inlineStr">
        <is>
          <t>31-05-2026</t>
        </is>
      </c>
      <c r="C25" s="3" t="inlineStr">
        <is>
          <t>Plaza</t>
        </is>
      </c>
      <c r="D25" s="3" t="inlineStr">
        <is>
          <t>38839</t>
        </is>
      </c>
      <c r="E25" s="4" t="inlineStr">
        <is>
          <t>TUL Columbus Double</t>
        </is>
      </c>
      <c r="F25" s="4" t="inlineStr"/>
      <c r="G25" s="4" t="inlineStr">
        <is>
          <t>COLOR Rosa · ALTURA 40 cm · PESO/TALLO 34 gr</t>
        </is>
      </c>
      <c r="H25" s="3" t="inlineStr"/>
      <c r="I25" s="3" t="n">
        <v>100</v>
      </c>
      <c r="J25" s="3" t="inlineStr">
        <is>
          <t>100 шт.</t>
        </is>
      </c>
      <c r="K25" s="4">
        <f>IMAGE("https://cdn.verdnatura.es/image/catalog/1600x900/38839")</f>
        <v/>
      </c>
      <c r="L25" s="5" t="n"/>
      <c r="M25" s="6" t="n"/>
      <c r="N25" s="7" t="n"/>
      <c r="O25" s="8" t="n">
        <v>0.33</v>
      </c>
      <c r="P25" s="8" t="n">
        <v>33</v>
      </c>
    </row>
    <row r="26" ht="26" customHeight="1">
      <c r="A26" s="2" t="inlineStr">
        <is>
          <t>📦  Накладная #12886903  ·  01-06-2026  ·  Plaza  ·  6 позиций  ·  bultos: 1</t>
        </is>
      </c>
    </row>
    <row r="27" ht="110" customHeight="1">
      <c r="A27" s="3" t="inlineStr">
        <is>
          <t>12886903</t>
        </is>
      </c>
      <c r="B27" s="3" t="inlineStr">
        <is>
          <t>01-06-2026</t>
        </is>
      </c>
      <c r="C27" s="3" t="inlineStr">
        <is>
          <t>Plaza</t>
        </is>
      </c>
      <c r="D27" s="3" t="inlineStr">
        <is>
          <t>196450</t>
        </is>
      </c>
      <c r="E27" s="4" t="inlineStr">
        <is>
          <t>ANIG Orange Velvet</t>
        </is>
      </c>
      <c r="F27" s="4" t="inlineStr"/>
      <c r="G27" s="4" t="inlineStr">
        <is>
          <t>COLOR Amarillo/Naranja · ALTURA 60 cm</t>
        </is>
      </c>
      <c r="H27" s="3" t="inlineStr"/>
      <c r="I27" s="3" t="n">
        <v>20</v>
      </c>
      <c r="J27" s="3" t="inlineStr">
        <is>
          <t>20 шт.</t>
        </is>
      </c>
      <c r="K27" s="4">
        <f>IMAGE("https://cdn.verdnatura.es/image/catalog/1600x900/196450")</f>
        <v/>
      </c>
      <c r="L27" s="5" t="n"/>
      <c r="M27" s="6" t="n"/>
      <c r="N27" s="7" t="n"/>
      <c r="O27" s="8" t="n">
        <v>0.23</v>
      </c>
      <c r="P27" s="8" t="n">
        <v>4.6</v>
      </c>
    </row>
    <row r="28" ht="110" customHeight="1">
      <c r="A28" s="3" t="inlineStr">
        <is>
          <t>12886903</t>
        </is>
      </c>
      <c r="B28" s="3" t="inlineStr">
        <is>
          <t>01-06-2026</t>
        </is>
      </c>
      <c r="C28" s="3" t="inlineStr">
        <is>
          <t>Plaza</t>
        </is>
      </c>
      <c r="D28" s="3" t="inlineStr">
        <is>
          <t>168608</t>
        </is>
      </c>
      <c r="E28" s="4" t="inlineStr">
        <is>
          <t>Celosia C Reprise Gold</t>
        </is>
      </c>
      <c r="F28" s="4" t="inlineStr"/>
      <c r="G28" s="4" t="inlineStr">
        <is>
          <t>COLOR Ocre · ALTURA 55 cm</t>
        </is>
      </c>
      <c r="H28" s="3" t="inlineStr"/>
      <c r="I28" s="3" t="n">
        <v>10</v>
      </c>
      <c r="J28" s="3" t="inlineStr">
        <is>
          <t>10 шт.</t>
        </is>
      </c>
      <c r="K28" s="4">
        <f>IMAGE("https://cdn.verdnatura.es/image/catalog/1600x900/168608")</f>
        <v/>
      </c>
      <c r="L28" s="5" t="n"/>
      <c r="M28" s="6" t="n"/>
      <c r="N28" s="7" t="n"/>
      <c r="O28" s="8" t="n">
        <v>0.48</v>
      </c>
      <c r="P28" s="8" t="n">
        <v>4.8</v>
      </c>
    </row>
    <row r="29" ht="110" customHeight="1">
      <c r="A29" s="3" t="inlineStr">
        <is>
          <t>12886903</t>
        </is>
      </c>
      <c r="B29" s="3" t="inlineStr">
        <is>
          <t>01-06-2026</t>
        </is>
      </c>
      <c r="C29" s="3" t="inlineStr">
        <is>
          <t>Plaza</t>
        </is>
      </c>
      <c r="D29" s="3" t="inlineStr">
        <is>
          <t>203859</t>
        </is>
      </c>
      <c r="E29" s="4" t="inlineStr">
        <is>
          <t>Grevillea Misty Red</t>
        </is>
      </c>
      <c r="F29" s="4" t="inlineStr"/>
      <c r="G29" s="4" t="inlineStr">
        <is>
          <t>COLOR Rojo · ALTURA 50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IMAGE("https://cdn.verdnatura.es/image/catalog/1600x900/203859")</f>
        <v/>
      </c>
      <c r="L29" s="5" t="n"/>
      <c r="M29" s="6" t="n"/>
      <c r="N29" s="7" t="n"/>
      <c r="O29" s="8" t="n">
        <v>0.34</v>
      </c>
      <c r="P29" s="8" t="n">
        <v>6.8</v>
      </c>
    </row>
    <row r="30" ht="110" customHeight="1">
      <c r="A30" s="3" t="inlineStr">
        <is>
          <t>12886903</t>
        </is>
      </c>
      <c r="B30" s="3" t="inlineStr">
        <is>
          <t>01-06-2026</t>
        </is>
      </c>
      <c r="C30" s="3" t="inlineStr">
        <is>
          <t>Plaza</t>
        </is>
      </c>
      <c r="D30" s="3" t="inlineStr">
        <is>
          <t>202470</t>
        </is>
      </c>
      <c r="E30" s="4" t="inlineStr">
        <is>
          <t>Lathyrus Champagne King</t>
        </is>
      </c>
      <c r="F30" s="4" t="inlineStr"/>
      <c r="G30" s="4" t="inlineStr">
        <is>
          <t>COLOR Rosa Claro · ALTURA 50 cm</t>
        </is>
      </c>
      <c r="H30" s="3" t="inlineStr"/>
      <c r="I30" s="3" t="n">
        <v>50</v>
      </c>
      <c r="J30" s="3" t="inlineStr">
        <is>
          <t>50 шт.</t>
        </is>
      </c>
      <c r="K30" s="4">
        <f>IMAGE("https://cdn.verdnatura.es/image/catalog/1600x900/202470")</f>
        <v/>
      </c>
      <c r="L30" s="5" t="n"/>
      <c r="M30" s="6" t="n"/>
      <c r="N30" s="7" t="n"/>
      <c r="O30" s="8" t="n">
        <v>0.57</v>
      </c>
      <c r="P30" s="8" t="n">
        <v>28.5</v>
      </c>
    </row>
    <row r="31" ht="110" customHeight="1">
      <c r="A31" s="3" t="inlineStr">
        <is>
          <t>12886903</t>
        </is>
      </c>
      <c r="B31" s="3" t="inlineStr">
        <is>
          <t>01-06-2026</t>
        </is>
      </c>
      <c r="C31" s="3" t="inlineStr">
        <is>
          <t>Plaza</t>
        </is>
      </c>
      <c r="D31" s="3" t="inlineStr">
        <is>
          <t>96543</t>
        </is>
      </c>
      <c r="E31" s="4" t="inlineStr">
        <is>
          <t>Lathyrus Winter Sunshine Pink</t>
        </is>
      </c>
      <c r="F31" s="4" t="inlineStr"/>
      <c r="G31" s="4" t="inlineStr">
        <is>
          <t>COLOR Rosa · ALTURA 50 cm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IMAGE("https://cdn.verdnatura.es/image/catalog/1600x900/96543")</f>
        <v/>
      </c>
      <c r="L31" s="5" t="n"/>
      <c r="M31" s="6" t="n"/>
      <c r="N31" s="7" t="n"/>
      <c r="O31" s="8" t="n">
        <v>0.43</v>
      </c>
      <c r="P31" s="8" t="n">
        <v>21.5</v>
      </c>
    </row>
    <row r="32" ht="110" customHeight="1">
      <c r="A32" s="3" t="inlineStr">
        <is>
          <t>12886903</t>
        </is>
      </c>
      <c r="B32" s="3" t="inlineStr">
        <is>
          <t>01-06-2026</t>
        </is>
      </c>
      <c r="C32" s="3" t="inlineStr">
        <is>
          <t>Plaza</t>
        </is>
      </c>
      <c r="D32" s="3" t="inlineStr">
        <is>
          <t>161367</t>
        </is>
      </c>
      <c r="E32" s="4" t="inlineStr">
        <is>
          <t>LSP Red</t>
        </is>
      </c>
      <c r="F32" s="4" t="inlineStr">
        <is>
          <t>Roots Peru</t>
        </is>
      </c>
      <c r="G32" s="4" t="inlineStr">
        <is>
          <t>COLOR Rojo · ALTURA 40 cm</t>
        </is>
      </c>
      <c r="H32" s="3" t="inlineStr"/>
      <c r="I32" s="3" t="n">
        <v>10</v>
      </c>
      <c r="J32" s="3" t="inlineStr">
        <is>
          <t>10 шт.</t>
        </is>
      </c>
      <c r="K32" s="4">
        <f>IMAGE("https://cdn.verdnatura.es/image/catalog/1600x900/161367")</f>
        <v/>
      </c>
      <c r="L32" s="5" t="n"/>
      <c r="M32" s="6" t="n"/>
      <c r="N32" s="7" t="n"/>
      <c r="O32" s="8" t="n">
        <v>0.92</v>
      </c>
      <c r="P32" s="8" t="n">
        <v>9.199999999999999</v>
      </c>
    </row>
  </sheetData>
  <mergeCells count="2">
    <mergeCell ref="A26:P2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