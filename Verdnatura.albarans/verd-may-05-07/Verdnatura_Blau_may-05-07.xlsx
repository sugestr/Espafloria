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#12725525  ·  04-05-2026  ·  Blau  ·  1 позиций  ·  bultos: 1</t>
        </is>
      </c>
    </row>
    <row r="3" ht="110" customHeight="1">
      <c r="A3" s="3" t="inlineStr">
        <is>
          <t>12725525</t>
        </is>
      </c>
      <c r="B3" s="3" t="inlineStr">
        <is>
          <t>04-05-2026</t>
        </is>
      </c>
      <c r="C3" s="3" t="inlineStr">
        <is>
          <t>Blau</t>
        </is>
      </c>
      <c r="D3" s="3" t="inlineStr">
        <is>
          <t>191967</t>
        </is>
      </c>
      <c r="E3" s="4" t="inlineStr">
        <is>
          <t>PHIL Imperial Green</t>
        </is>
      </c>
      <c r="F3" s="4" t="inlineStr">
        <is>
          <t>RF</t>
        </is>
      </c>
      <c r="G3" s="4" t="inlineStr">
        <is>
          <t>COLOR Verde · ALTURA 80 cm · MACETA 23</t>
        </is>
      </c>
      <c r="H3" s="3" t="inlineStr"/>
      <c r="I3" s="3" t="n">
        <v>2</v>
      </c>
      <c r="J3" s="3" t="inlineStr">
        <is>
          <t>2 шт.</t>
        </is>
      </c>
      <c r="K3" s="4">
        <f>IMAGE("https://cdn.verdnatura.es/image/catalog/1600x900/191967")</f>
        <v/>
      </c>
      <c r="L3" s="5" t="n"/>
      <c r="M3" s="6" t="n"/>
      <c r="N3" s="7" t="n"/>
      <c r="O3" s="8" t="n">
        <v>13.34</v>
      </c>
      <c r="P3" s="8" t="n">
        <v>26.68</v>
      </c>
    </row>
    <row r="4" ht="26" customHeight="1">
      <c r="A4" s="2" t="inlineStr">
        <is>
          <t>📦  Накладная #12739646  ·  04-05-2026  ·  Blau  ·  12 позиций  ·  bultos: 1</t>
        </is>
      </c>
    </row>
    <row r="5" ht="110" customHeight="1">
      <c r="A5" s="3" t="inlineStr">
        <is>
          <t>12739646</t>
        </is>
      </c>
      <c r="B5" s="3" t="inlineStr">
        <is>
          <t>04-05-2026</t>
        </is>
      </c>
      <c r="C5" s="3" t="inlineStr">
        <is>
          <t>Blau</t>
        </is>
      </c>
      <c r="D5" s="3" t="inlineStr">
        <is>
          <t>197705</t>
        </is>
      </c>
      <c r="E5" s="4" t="inlineStr">
        <is>
          <t>CL CCT-054 Teñido</t>
        </is>
      </c>
      <c r="F5" s="4" t="inlineStr">
        <is>
          <t>Santa Dorotea EXPORT</t>
        </is>
      </c>
      <c r="G5" s="4" t="inlineStr">
        <is>
          <t>COLOR Rosa · ALTURA 70 cm · Nº TALLOS 20</t>
        </is>
      </c>
      <c r="H5" s="3" t="inlineStr"/>
      <c r="I5" s="3" t="n">
        <v>20</v>
      </c>
      <c r="J5" s="3" t="inlineStr">
        <is>
          <t>20 шт.</t>
        </is>
      </c>
      <c r="K5" s="4">
        <f>IMAGE("https://cdn.verdnatura.es/image/catalog/1600x900/197705")</f>
        <v/>
      </c>
      <c r="L5" s="5" t="n"/>
      <c r="M5" s="6" t="n"/>
      <c r="N5" s="7" t="n"/>
      <c r="O5" s="8" t="n">
        <v>0.41</v>
      </c>
      <c r="P5" s="8" t="n">
        <v>8.199999999999999</v>
      </c>
    </row>
    <row r="6" ht="110" customHeight="1">
      <c r="A6" s="3" t="inlineStr">
        <is>
          <t>12739646</t>
        </is>
      </c>
      <c r="B6" s="3" t="inlineStr">
        <is>
          <t>04-05-2026</t>
        </is>
      </c>
      <c r="C6" s="3" t="inlineStr">
        <is>
          <t>Blau</t>
        </is>
      </c>
      <c r="D6" s="3" t="inlineStr">
        <is>
          <t>122217</t>
        </is>
      </c>
      <c r="E6" s="4" t="inlineStr">
        <is>
          <t>CL Clearwater SEL</t>
        </is>
      </c>
      <c r="F6" s="4" t="inlineStr">
        <is>
          <t>Santa Dorotea EXPORT</t>
        </is>
      </c>
      <c r="G6" s="4" t="inlineStr">
        <is>
          <t>COLOR Rosa Claro · ALTURA 70 cm · Nº TALLOS 20</t>
        </is>
      </c>
      <c r="H6" s="3" t="inlineStr"/>
      <c r="I6" s="3" t="n">
        <v>40</v>
      </c>
      <c r="J6" s="3" t="inlineStr">
        <is>
          <t>40 шт.</t>
        </is>
      </c>
      <c r="K6" s="4">
        <f>IMAGE("https://cdn.verdnatura.es/image/catalog/1600x900/122217")</f>
        <v/>
      </c>
      <c r="L6" s="5" t="n"/>
      <c r="M6" s="6" t="n"/>
      <c r="N6" s="7" t="n"/>
      <c r="O6" s="8" t="n">
        <v>0.28</v>
      </c>
      <c r="P6" s="8" t="n">
        <v>11.2</v>
      </c>
    </row>
    <row r="7" ht="110" customHeight="1">
      <c r="A7" s="3" t="inlineStr">
        <is>
          <t>12739646</t>
        </is>
      </c>
      <c r="B7" s="3" t="inlineStr">
        <is>
          <t>04-05-2026</t>
        </is>
      </c>
      <c r="C7" s="3" t="inlineStr">
        <is>
          <t>Blau</t>
        </is>
      </c>
      <c r="D7" s="3" t="inlineStr">
        <is>
          <t>199899</t>
        </is>
      </c>
      <c r="E7" s="4" t="inlineStr">
        <is>
          <t>CL Verona SEL</t>
        </is>
      </c>
      <c r="F7" s="4" t="inlineStr">
        <is>
          <t>Santa Dorotea</t>
        </is>
      </c>
      <c r="G7" s="4" t="inlineStr">
        <is>
          <t>COLOR Rosa · ALTURA 70 cm · Nº TALLOS 20</t>
        </is>
      </c>
      <c r="H7" s="3" t="inlineStr"/>
      <c r="I7" s="3" t="n">
        <v>40</v>
      </c>
      <c r="J7" s="3" t="inlineStr">
        <is>
          <t>40 шт.</t>
        </is>
      </c>
      <c r="K7" s="4">
        <f>IMAGE("https://cdn.verdnatura.es/image/catalog/1600x900/199899")</f>
        <v/>
      </c>
      <c r="L7" s="5" t="n"/>
      <c r="M7" s="6" t="n"/>
      <c r="N7" s="7" t="n"/>
      <c r="O7" s="8" t="n">
        <v>0.3</v>
      </c>
      <c r="P7" s="8" t="n">
        <v>12</v>
      </c>
    </row>
    <row r="8" ht="110" customHeight="1">
      <c r="A8" s="3" t="inlineStr">
        <is>
          <t>12739646</t>
        </is>
      </c>
      <c r="B8" s="3" t="inlineStr">
        <is>
          <t>04-05-2026</t>
        </is>
      </c>
      <c r="C8" s="3" t="inlineStr">
        <is>
          <t>Blau</t>
        </is>
      </c>
      <c r="D8" s="3" t="inlineStr">
        <is>
          <t>159047</t>
        </is>
      </c>
      <c r="E8" s="4" t="inlineStr">
        <is>
          <t>GRS Get Lucky</t>
        </is>
      </c>
      <c r="F8" s="4" t="inlineStr">
        <is>
          <t>Agrivaldani</t>
        </is>
      </c>
      <c r="G8" s="4" t="inlineStr">
        <is>
          <t>COLOR Rosa · ALTURA 40 cm · BOTÓN MINIMO 5.0 cm</t>
        </is>
      </c>
      <c r="H8" s="3" t="inlineStr"/>
      <c r="I8" s="3" t="n">
        <v>24</v>
      </c>
      <c r="J8" s="3" t="inlineStr">
        <is>
          <t>24 шт.</t>
        </is>
      </c>
      <c r="K8" s="4">
        <f>IMAGE("https://cdn.verdnatura.es/image/catalog/1600x900/159047")</f>
        <v/>
      </c>
      <c r="L8" s="5" t="n"/>
      <c r="M8" s="6" t="n"/>
      <c r="N8" s="7" t="n"/>
      <c r="O8" s="8" t="n">
        <v>0.8</v>
      </c>
      <c r="P8" s="8" t="n">
        <v>19.2</v>
      </c>
    </row>
    <row r="9" ht="110" customHeight="1">
      <c r="A9" s="3" t="inlineStr">
        <is>
          <t>12739646</t>
        </is>
      </c>
      <c r="B9" s="3" t="inlineStr">
        <is>
          <t>04-05-2026</t>
        </is>
      </c>
      <c r="C9" s="3" t="inlineStr">
        <is>
          <t>Blau</t>
        </is>
      </c>
      <c r="D9" s="3" t="inlineStr">
        <is>
          <t>150541</t>
        </is>
      </c>
      <c r="E9" s="4" t="inlineStr">
        <is>
          <t>GRS Mayra Pink</t>
        </is>
      </c>
      <c r="F9" s="4" t="inlineStr">
        <is>
          <t>La Rosaleda</t>
        </is>
      </c>
      <c r="G9" s="4" t="inlineStr">
        <is>
          <t>COLOR Rosa · ALTURA 50 cm</t>
        </is>
      </c>
      <c r="H9" s="3" t="inlineStr"/>
      <c r="I9" s="3" t="n">
        <v>36</v>
      </c>
      <c r="J9" s="3" t="inlineStr">
        <is>
          <t>36 шт.</t>
        </is>
      </c>
      <c r="K9" s="4">
        <f>IMAGE("https://cdn.verdnatura.es/image/catalog/1600x900/150541")</f>
        <v/>
      </c>
      <c r="L9" s="5" t="n"/>
      <c r="M9" s="6" t="n"/>
      <c r="N9" s="7" t="n"/>
      <c r="O9" s="8" t="n">
        <v>0.9</v>
      </c>
      <c r="P9" s="8" t="n">
        <v>32.4</v>
      </c>
    </row>
    <row r="10" ht="110" customHeight="1">
      <c r="A10" s="3" t="inlineStr">
        <is>
          <t>12739646</t>
        </is>
      </c>
      <c r="B10" s="3" t="inlineStr">
        <is>
          <t>04-05-2026</t>
        </is>
      </c>
      <c r="C10" s="3" t="inlineStr">
        <is>
          <t>Blau</t>
        </is>
      </c>
      <c r="D10" s="3" t="inlineStr">
        <is>
          <t>190751</t>
        </is>
      </c>
      <c r="E10" s="4" t="inlineStr">
        <is>
          <t>GRS Melon X-Pression</t>
        </is>
      </c>
      <c r="F10" s="4" t="inlineStr">
        <is>
          <t>Lartisan</t>
        </is>
      </c>
      <c r="G10" s="4" t="inlineStr">
        <is>
          <t>COLOR Melocotón · ALTURA 60 cm</t>
        </is>
      </c>
      <c r="H10" s="3" t="inlineStr"/>
      <c r="I10" s="3" t="n">
        <v>36</v>
      </c>
      <c r="J10" s="3" t="inlineStr">
        <is>
          <t>36 шт.</t>
        </is>
      </c>
      <c r="K10" s="4">
        <f>IMAGE("https://cdn.verdnatura.es/image/catalog/1600x900/190751")</f>
        <v/>
      </c>
      <c r="L10" s="5" t="n"/>
      <c r="M10" s="6" t="n"/>
      <c r="N10" s="7" t="n"/>
      <c r="O10" s="8" t="n">
        <v>1.1</v>
      </c>
      <c r="P10" s="8" t="n">
        <v>39.6</v>
      </c>
    </row>
    <row r="11" ht="110" customHeight="1">
      <c r="A11" s="3" t="inlineStr">
        <is>
          <t>12739646</t>
        </is>
      </c>
      <c r="B11" s="3" t="inlineStr">
        <is>
          <t>04-05-2026</t>
        </is>
      </c>
      <c r="C11" s="3" t="inlineStr">
        <is>
          <t>Blau</t>
        </is>
      </c>
      <c r="D11" s="3" t="inlineStr">
        <is>
          <t>152600</t>
        </is>
      </c>
      <c r="E11" s="4" t="inlineStr">
        <is>
          <t>GRS Sunny Xpression</t>
        </is>
      </c>
      <c r="F11" s="4" t="inlineStr">
        <is>
          <t>La Rosaleda</t>
        </is>
      </c>
      <c r="G11" s="4" t="inlineStr">
        <is>
          <t>COLOR Amarillo · ALTURA 50 cm</t>
        </is>
      </c>
      <c r="H11" s="3" t="inlineStr"/>
      <c r="I11" s="3" t="n">
        <v>25</v>
      </c>
      <c r="J11" s="3" t="inlineStr">
        <is>
          <t>25 шт.</t>
        </is>
      </c>
      <c r="K11" s="4">
        <f>IMAGE("https://cdn.verdnatura.es/image/catalog/1600x900/152600")</f>
        <v/>
      </c>
      <c r="L11" s="5" t="n"/>
      <c r="M11" s="6" t="n"/>
      <c r="N11" s="7" t="n"/>
      <c r="O11" s="8" t="n">
        <v>0.86</v>
      </c>
      <c r="P11" s="8" t="n">
        <v>21.5</v>
      </c>
    </row>
    <row r="12" ht="110" customHeight="1">
      <c r="A12" s="3" t="inlineStr">
        <is>
          <t>12739646</t>
        </is>
      </c>
      <c r="B12" s="3" t="inlineStr">
        <is>
          <t>04-05-2026</t>
        </is>
      </c>
      <c r="C12" s="3" t="inlineStr">
        <is>
          <t>Blau</t>
        </is>
      </c>
      <c r="D12" s="3" t="inlineStr">
        <is>
          <t>36764</t>
        </is>
      </c>
      <c r="E12" s="4" t="inlineStr">
        <is>
          <t>PAN Roja MA 30 gr</t>
        </is>
      </c>
      <c r="F12" s="4" t="inlineStr">
        <is>
          <t>Malima</t>
        </is>
      </c>
      <c r="G12" s="4" t="inlineStr">
        <is>
          <t>COLOR Rojo · ALTURA 75 cm · TAMAÑO FLOR XL</t>
        </is>
      </c>
      <c r="H12" s="3" t="inlineStr"/>
      <c r="I12" s="3" t="n">
        <v>25</v>
      </c>
      <c r="J12" s="3" t="inlineStr">
        <is>
          <t>25 шт.</t>
        </is>
      </c>
      <c r="K12" s="4">
        <f>IMAGE("https://cdn.verdnatura.es/image/catalog/1600x900/36764")</f>
        <v/>
      </c>
      <c r="L12" s="5" t="n"/>
      <c r="M12" s="6" t="n"/>
      <c r="N12" s="7" t="n"/>
      <c r="O12" s="8" t="n">
        <v>0.48</v>
      </c>
      <c r="P12" s="8" t="n">
        <v>12</v>
      </c>
    </row>
    <row r="13" ht="110" customHeight="1">
      <c r="A13" s="3" t="inlineStr">
        <is>
          <t>12739646</t>
        </is>
      </c>
      <c r="B13" s="3" t="inlineStr">
        <is>
          <t>04-05-2026</t>
        </is>
      </c>
      <c r="C13" s="3" t="inlineStr">
        <is>
          <t>Blau</t>
        </is>
      </c>
      <c r="D13" s="3" t="inlineStr">
        <is>
          <t>59033</t>
        </is>
      </c>
      <c r="E13" s="4" t="inlineStr">
        <is>
          <t>PAN Rosa MA 30 gr</t>
        </is>
      </c>
      <c r="F13" s="4" t="inlineStr">
        <is>
          <t>Malima</t>
        </is>
      </c>
      <c r="G13" s="4" t="inlineStr">
        <is>
          <t>COLOR Rosa · ALTURA 75 cm · TAMAÑO FLOR XL</t>
        </is>
      </c>
      <c r="H13" s="3" t="inlineStr"/>
      <c r="I13" s="3" t="n">
        <v>25</v>
      </c>
      <c r="J13" s="3" t="inlineStr">
        <is>
          <t>25 шт.</t>
        </is>
      </c>
      <c r="K13" s="4">
        <f>IMAGE("https://cdn.verdnatura.es/image/catalog/1600x900/59033")</f>
        <v/>
      </c>
      <c r="L13" s="5" t="n"/>
      <c r="M13" s="6" t="n"/>
      <c r="N13" s="7" t="n"/>
      <c r="O13" s="8" t="n">
        <v>0.48</v>
      </c>
      <c r="P13" s="8" t="n">
        <v>12</v>
      </c>
    </row>
    <row r="14" ht="110" customHeight="1">
      <c r="A14" s="3" t="inlineStr">
        <is>
          <t>12739646</t>
        </is>
      </c>
      <c r="B14" s="3" t="inlineStr">
        <is>
          <t>04-05-2026</t>
        </is>
      </c>
      <c r="C14" s="3" t="inlineStr">
        <is>
          <t>Blau</t>
        </is>
      </c>
      <c r="D14" s="3" t="inlineStr">
        <is>
          <t>59232</t>
        </is>
      </c>
      <c r="E14" s="4" t="inlineStr">
        <is>
          <t>PAN Salmon MA 30 gr</t>
        </is>
      </c>
      <c r="F14" s="4" t="inlineStr">
        <is>
          <t>Malima</t>
        </is>
      </c>
      <c r="G14" s="4" t="inlineStr">
        <is>
          <t>COLOR Salmón · ALTURA 75 cm · TAMAÑO FLOR XL</t>
        </is>
      </c>
      <c r="H14" s="3" t="inlineStr"/>
      <c r="I14" s="3" t="n">
        <v>25</v>
      </c>
      <c r="J14" s="3" t="inlineStr">
        <is>
          <t>25 шт.</t>
        </is>
      </c>
      <c r="K14" s="4">
        <f>IMAGE("https://cdn.verdnatura.es/image/catalog/1600x900/59232")</f>
        <v/>
      </c>
      <c r="L14" s="5" t="n"/>
      <c r="M14" s="6" t="n"/>
      <c r="N14" s="7" t="n"/>
      <c r="O14" s="8" t="n">
        <v>0.48</v>
      </c>
      <c r="P14" s="8" t="n">
        <v>12</v>
      </c>
    </row>
    <row r="15" ht="110" customHeight="1">
      <c r="A15" s="3" t="inlineStr">
        <is>
          <t>12739646</t>
        </is>
      </c>
      <c r="B15" s="3" t="inlineStr">
        <is>
          <t>04-05-2026</t>
        </is>
      </c>
      <c r="C15" s="3" t="inlineStr">
        <is>
          <t>Blau</t>
        </is>
      </c>
      <c r="D15" s="3" t="inlineStr">
        <is>
          <t>190247</t>
        </is>
      </c>
      <c r="E15" s="4" t="inlineStr">
        <is>
          <t>PAN Small Bloom ANI 30 gr</t>
        </is>
      </c>
      <c r="F15" s="4" t="inlineStr">
        <is>
          <t>Florsani</t>
        </is>
      </c>
      <c r="G15" s="4" t="inlineStr">
        <is>
          <t>COLOR Blanco · ALTURA 80 cm · TAMAÑO FLOR S</t>
        </is>
      </c>
      <c r="H15" s="3" t="inlineStr"/>
      <c r="I15" s="3" t="n">
        <v>25</v>
      </c>
      <c r="J15" s="3" t="inlineStr">
        <is>
          <t>25 шт.</t>
        </is>
      </c>
      <c r="K15" s="4">
        <f>IMAGE("https://cdn.verdnatura.es/image/catalog/1600x900/190247")</f>
        <v/>
      </c>
      <c r="L15" s="5" t="n"/>
      <c r="M15" s="6" t="n"/>
      <c r="N15" s="7" t="n"/>
      <c r="O15" s="8" t="n">
        <v>0.44</v>
      </c>
      <c r="P15" s="8" t="n">
        <v>11</v>
      </c>
    </row>
    <row r="16" ht="110" customHeight="1">
      <c r="A16" s="3" t="inlineStr">
        <is>
          <t>12739646</t>
        </is>
      </c>
      <c r="B16" s="3" t="inlineStr">
        <is>
          <t>04-05-2026</t>
        </is>
      </c>
      <c r="C16" s="3" t="inlineStr">
        <is>
          <t>Blau</t>
        </is>
      </c>
      <c r="D16" s="3" t="inlineStr">
        <is>
          <t>137268</t>
        </is>
      </c>
      <c r="E16" s="4" t="inlineStr">
        <is>
          <t>RS Mondial EXT</t>
        </is>
      </c>
      <c r="F16" s="4" t="inlineStr">
        <is>
          <t>Santa Dorotea</t>
        </is>
      </c>
      <c r="G16" s="4" t="inlineStr">
        <is>
          <t>COLOR Blanco · ALTURA 60 cm · BOTÓN MINIMO 6 cm</t>
        </is>
      </c>
      <c r="H16" s="3" t="inlineStr"/>
      <c r="I16" s="3" t="n">
        <v>25</v>
      </c>
      <c r="J16" s="3" t="inlineStr">
        <is>
          <t>25 шт.</t>
        </is>
      </c>
      <c r="K16" s="4">
        <f>IMAGE("https://cdn.verdnatura.es/image/catalog/1600x900/137268")</f>
        <v/>
      </c>
      <c r="L16" s="5" t="n"/>
      <c r="M16" s="6" t="n"/>
      <c r="N16" s="7" t="n"/>
      <c r="O16" s="8" t="n">
        <v>0.67</v>
      </c>
      <c r="P16" s="8" t="n">
        <v>16.75</v>
      </c>
    </row>
    <row r="17" ht="26" customHeight="1">
      <c r="A17" s="2" t="inlineStr">
        <is>
          <t>📦  Накладная #12740012  ·  04-05-2026  ·  Blau  ·  3 позиций  ·  bultos: 3</t>
        </is>
      </c>
    </row>
    <row r="18" ht="110" customHeight="1">
      <c r="A18" s="3" t="inlineStr">
        <is>
          <t>12740012</t>
        </is>
      </c>
      <c r="B18" s="3" t="inlineStr">
        <is>
          <t>04-05-2026</t>
        </is>
      </c>
      <c r="C18" s="3" t="inlineStr">
        <is>
          <t>Blau</t>
        </is>
      </c>
      <c r="D18" s="3" t="inlineStr">
        <is>
          <t>111708</t>
        </is>
      </c>
      <c r="E18" s="4" t="inlineStr">
        <is>
          <t>BONS Ginseng Cerámica</t>
        </is>
      </c>
      <c r="F18" s="4" t="inlineStr">
        <is>
          <t>Oriental</t>
        </is>
      </c>
      <c r="G18" s="4" t="inlineStr">
        <is>
          <t>COLOR Verde · ALTURA 45 cm · MACETA 23</t>
        </is>
      </c>
      <c r="H18" s="3" t="inlineStr"/>
      <c r="I18" s="3" t="n">
        <v>2</v>
      </c>
      <c r="J18" s="3" t="inlineStr">
        <is>
          <t>2 шт.</t>
        </is>
      </c>
      <c r="K18" s="4">
        <f>IMAGE("https://cdn.verdnatura.es/image/catalog/1600x900/111708")</f>
        <v/>
      </c>
      <c r="L18" s="5" t="n"/>
      <c r="M18" s="6" t="n"/>
      <c r="N18" s="7" t="n"/>
      <c r="O18" s="8" t="n">
        <v>22.05</v>
      </c>
      <c r="P18" s="8" t="n">
        <v>44.1</v>
      </c>
    </row>
    <row r="19" ht="110" customHeight="1">
      <c r="A19" s="3" t="inlineStr">
        <is>
          <t>12740012</t>
        </is>
      </c>
      <c r="B19" s="3" t="inlineStr">
        <is>
          <t>04-05-2026</t>
        </is>
      </c>
      <c r="C19" s="3" t="inlineStr">
        <is>
          <t>Blau</t>
        </is>
      </c>
      <c r="D19" s="3" t="inlineStr">
        <is>
          <t>190335</t>
        </is>
      </c>
      <c r="E19" s="4" t="inlineStr">
        <is>
          <t>Monstera Variegata Thai Conste</t>
        </is>
      </c>
      <c r="F19" s="4" t="inlineStr">
        <is>
          <t>Kw Mostert Nieuwerkerk</t>
        </is>
      </c>
      <c r="G19" s="4" t="inlineStr">
        <is>
          <t>COLOR Verde · ALTURA 45 cm · MACETA 12</t>
        </is>
      </c>
      <c r="H19" s="3" t="inlineStr"/>
      <c r="I19" s="3" t="n">
        <v>6</v>
      </c>
      <c r="J19" s="3" t="inlineStr">
        <is>
          <t>6 шт.</t>
        </is>
      </c>
      <c r="K19" s="4">
        <f>IMAGE("https://cdn.verdnatura.es/image/catalog/1600x900/190335")</f>
        <v/>
      </c>
      <c r="L19" s="5" t="n"/>
      <c r="M19" s="6" t="n"/>
      <c r="N19" s="7" t="n"/>
      <c r="O19" s="8" t="n">
        <v>10.39</v>
      </c>
      <c r="P19" s="8" t="n">
        <v>62.34</v>
      </c>
    </row>
    <row r="20" ht="110" customHeight="1">
      <c r="A20" s="3" t="inlineStr">
        <is>
          <t>12740012</t>
        </is>
      </c>
      <c r="B20" s="3" t="inlineStr">
        <is>
          <t>04-05-2026</t>
        </is>
      </c>
      <c r="C20" s="3" t="inlineStr">
        <is>
          <t>Blau</t>
        </is>
      </c>
      <c r="D20" s="3" t="inlineStr">
        <is>
          <t>16729</t>
        </is>
      </c>
      <c r="E20" s="4" t="inlineStr">
        <is>
          <t>Tillandsia Antonio</t>
        </is>
      </c>
      <c r="F20" s="4" t="inlineStr">
        <is>
          <t>LKP Plants</t>
        </is>
      </c>
      <c r="G20" s="4" t="inlineStr">
        <is>
          <t>COLOR Rosa · ALTURA 42 cm · MACETA 12</t>
        </is>
      </c>
      <c r="H20" s="3" t="inlineStr"/>
      <c r="I20" s="3" t="n">
        <v>6</v>
      </c>
      <c r="J20" s="3" t="inlineStr">
        <is>
          <t>6 шт.</t>
        </is>
      </c>
      <c r="K20" s="4">
        <f>IMAGE("https://cdn.verdnatura.es/image/catalog/1600x900/16729")</f>
        <v/>
      </c>
      <c r="L20" s="5" t="n"/>
      <c r="M20" s="6" t="n"/>
      <c r="N20" s="7" t="n"/>
      <c r="O20" s="8" t="n">
        <v>5.53</v>
      </c>
      <c r="P20" s="8" t="n">
        <v>33.18</v>
      </c>
    </row>
    <row r="21" ht="26" customHeight="1">
      <c r="A21" s="2" t="inlineStr">
        <is>
          <t>📦  Накладная #12740330  ·  04-05-2026  ·  Blau  ·  1 позиций  ·  bultos: 1</t>
        </is>
      </c>
    </row>
    <row r="22" ht="110" customHeight="1">
      <c r="A22" s="3" t="inlineStr">
        <is>
          <t>12740330</t>
        </is>
      </c>
      <c r="B22" s="3" t="inlineStr">
        <is>
          <t>04-05-2026</t>
        </is>
      </c>
      <c r="C22" s="3" t="inlineStr">
        <is>
          <t>Blau</t>
        </is>
      </c>
      <c r="D22" s="3" t="inlineStr">
        <is>
          <t>114281</t>
        </is>
      </c>
      <c r="E22" s="4" t="inlineStr">
        <is>
          <t>BONS Ginseng</t>
        </is>
      </c>
      <c r="F22" s="4" t="inlineStr">
        <is>
          <t>Rovawee BV</t>
        </is>
      </c>
      <c r="G22" s="4" t="inlineStr">
        <is>
          <t>COLOR Verde · ALTURA 95 cm · MACETA 30</t>
        </is>
      </c>
      <c r="H22" s="3" t="inlineStr"/>
      <c r="I22" s="3" t="n">
        <v>1</v>
      </c>
      <c r="J22" s="3" t="inlineStr">
        <is>
          <t>1 шт.</t>
        </is>
      </c>
      <c r="K22" s="4">
        <f>IMAGE("https://cdn.verdnatura.es/image/catalog/1600x900/114281")</f>
        <v/>
      </c>
      <c r="L22" s="5" t="n"/>
      <c r="M22" s="6" t="n"/>
      <c r="N22" s="7" t="n"/>
      <c r="O22" s="8" t="n">
        <v>57.88</v>
      </c>
      <c r="P22" s="8" t="n">
        <v>57.88</v>
      </c>
    </row>
    <row r="23" ht="26" customHeight="1">
      <c r="A23" s="2" t="inlineStr">
        <is>
          <t>📦  Накладная #12741009  ·  04-05-2026  ·  Blau  ·  25 позиций  ·  bultos: 4</t>
        </is>
      </c>
    </row>
    <row r="24" ht="110" customHeight="1">
      <c r="A24" s="3" t="inlineStr">
        <is>
          <t>12741009</t>
        </is>
      </c>
      <c r="B24" s="3" t="inlineStr">
        <is>
          <t>04-05-2026</t>
        </is>
      </c>
      <c r="C24" s="3" t="inlineStr">
        <is>
          <t>Blau</t>
        </is>
      </c>
      <c r="D24" s="3" t="inlineStr">
        <is>
          <t>139147</t>
        </is>
      </c>
      <c r="E24" s="4" t="inlineStr">
        <is>
          <t>· Statice Azul Oscuro</t>
        </is>
      </c>
      <c r="F24" s="4" t="inlineStr">
        <is>
          <t>Santa Dorotea</t>
        </is>
      </c>
      <c r="G24" s="4" t="inlineStr">
        <is>
          <t>COLOR Azul · ALTURA 70 cm · PESO/TALLO 30 gr</t>
        </is>
      </c>
      <c r="H24" s="3" t="inlineStr"/>
      <c r="I24" s="3" t="n">
        <v>25</v>
      </c>
      <c r="J24" s="3" t="inlineStr">
        <is>
          <t>25 шт.</t>
        </is>
      </c>
      <c r="K24" s="4">
        <f>IMAGE("https://cdn.verdnatura.es/image/catalog/1600x900/139147")</f>
        <v/>
      </c>
      <c r="L24" s="5" t="n"/>
      <c r="M24" s="6" t="n"/>
      <c r="N24" s="7" t="n"/>
      <c r="O24" s="8" t="n">
        <v>0.31</v>
      </c>
      <c r="P24" s="8" t="n">
        <v>7.75</v>
      </c>
    </row>
    <row r="25" ht="110" customHeight="1">
      <c r="A25" s="3" t="inlineStr">
        <is>
          <t>12741009</t>
        </is>
      </c>
      <c r="B25" s="3" t="inlineStr">
        <is>
          <t>04-05-2026</t>
        </is>
      </c>
      <c r="C25" s="3" t="inlineStr">
        <is>
          <t>Blau</t>
        </is>
      </c>
      <c r="D25" s="3" t="inlineStr">
        <is>
          <t>27900</t>
        </is>
      </c>
      <c r="E25" s="4" t="inlineStr">
        <is>
          <t>· Statice Blanco</t>
        </is>
      </c>
      <c r="F25" s="4" t="inlineStr">
        <is>
          <t>Santa Dorotea</t>
        </is>
      </c>
      <c r="G25" s="4" t="inlineStr">
        <is>
          <t>COLOR Blanco · ALTURA 70 cm · PESO/TALLO 30 gr</t>
        </is>
      </c>
      <c r="H25" s="3" t="inlineStr"/>
      <c r="I25" s="3" t="n">
        <v>25</v>
      </c>
      <c r="J25" s="3" t="inlineStr">
        <is>
          <t>25 шт.</t>
        </is>
      </c>
      <c r="K25" s="4">
        <f>IMAGE("https://cdn.verdnatura.es/image/catalog/1600x900/27900")</f>
        <v/>
      </c>
      <c r="L25" s="5" t="n"/>
      <c r="M25" s="6" t="n"/>
      <c r="N25" s="7" t="n"/>
      <c r="O25" s="8" t="n">
        <v>0.31</v>
      </c>
      <c r="P25" s="8" t="n">
        <v>7.75</v>
      </c>
    </row>
    <row r="26" ht="110" customHeight="1">
      <c r="A26" s="3" t="inlineStr">
        <is>
          <t>12741009</t>
        </is>
      </c>
      <c r="B26" s="3" t="inlineStr">
        <is>
          <t>04-05-2026</t>
        </is>
      </c>
      <c r="C26" s="3" t="inlineStr">
        <is>
          <t>Blau</t>
        </is>
      </c>
      <c r="D26" s="3" t="inlineStr">
        <is>
          <t>159547</t>
        </is>
      </c>
      <c r="E26" s="4" t="inlineStr">
        <is>
          <t>· Statice Celeste</t>
        </is>
      </c>
      <c r="F26" s="4" t="inlineStr">
        <is>
          <t>Santa Dorotea</t>
        </is>
      </c>
      <c r="G26" s="4" t="inlineStr">
        <is>
          <t>COLOR Lavanda · ALTURA 70 cm · PESO/TALLO 30 gr</t>
        </is>
      </c>
      <c r="H26" s="3" t="inlineStr"/>
      <c r="I26" s="3" t="n">
        <v>25</v>
      </c>
      <c r="J26" s="3" t="inlineStr">
        <is>
          <t>25 шт.</t>
        </is>
      </c>
      <c r="K26" s="4">
        <f>IMAGE("https://cdn.verdnatura.es/image/catalog/1600x900/159547")</f>
        <v/>
      </c>
      <c r="L26" s="5" t="n"/>
      <c r="M26" s="6" t="n"/>
      <c r="N26" s="7" t="n"/>
      <c r="O26" s="8" t="n">
        <v>0.31</v>
      </c>
      <c r="P26" s="8" t="n">
        <v>7.75</v>
      </c>
    </row>
    <row r="27" ht="110" customHeight="1">
      <c r="A27" s="3" t="inlineStr">
        <is>
          <t>12741009</t>
        </is>
      </c>
      <c r="B27" s="3" t="inlineStr">
        <is>
          <t>04-05-2026</t>
        </is>
      </c>
      <c r="C27" s="3" t="inlineStr">
        <is>
          <t>Blau</t>
        </is>
      </c>
      <c r="D27" s="3" t="inlineStr">
        <is>
          <t>193012</t>
        </is>
      </c>
      <c r="E27" s="4" t="inlineStr">
        <is>
          <t>Asclepia Incarnata Orange</t>
        </is>
      </c>
      <c r="F27" s="4" t="inlineStr"/>
      <c r="G27" s="4" t="inlineStr">
        <is>
          <t>COLOR Naranja · ALTURA 60 cm</t>
        </is>
      </c>
      <c r="H27" s="3" t="inlineStr"/>
      <c r="I27" s="3" t="n">
        <v>50</v>
      </c>
      <c r="J27" s="3" t="inlineStr">
        <is>
          <t>50 шт.</t>
        </is>
      </c>
      <c r="K27" s="4">
        <f>IMAGE("https://cdn.verdnatura.es/image/catalog/1600x900/193012")</f>
        <v/>
      </c>
      <c r="L27" s="5" t="n"/>
      <c r="M27" s="6" t="n"/>
      <c r="N27" s="7" t="n"/>
      <c r="O27" s="8" t="n">
        <v>0.34</v>
      </c>
      <c r="P27" s="8" t="n">
        <v>17</v>
      </c>
    </row>
    <row r="28" ht="110" customHeight="1">
      <c r="A28" s="3" t="inlineStr">
        <is>
          <t>12741009</t>
        </is>
      </c>
      <c r="B28" s="3" t="inlineStr">
        <is>
          <t>04-05-2026</t>
        </is>
      </c>
      <c r="C28" s="3" t="inlineStr">
        <is>
          <t>Blau</t>
        </is>
      </c>
      <c r="D28" s="3" t="inlineStr">
        <is>
          <t>186655</t>
        </is>
      </c>
      <c r="E28" s="4" t="inlineStr">
        <is>
          <t>Bupleurum Rotundifolia</t>
        </is>
      </c>
      <c r="F28" s="4" t="inlineStr">
        <is>
          <t>Precise Flowers Ltd</t>
        </is>
      </c>
      <c r="G28" s="4" t="inlineStr">
        <is>
          <t>COLOR Verde · ALTURA 70 cm</t>
        </is>
      </c>
      <c r="H28" s="3" t="inlineStr">
        <is>
          <t>Tallo</t>
        </is>
      </c>
      <c r="I28" s="3" t="n">
        <v>50</v>
      </c>
      <c r="J28" s="3" t="inlineStr">
        <is>
          <t>50 стеблей</t>
        </is>
      </c>
      <c r="K28" s="4">
        <f>IMAGE("https://cdn.verdnatura.es/image/catalog/1600x900/186655")</f>
        <v/>
      </c>
      <c r="L28" s="5" t="n"/>
      <c r="M28" s="6" t="n"/>
      <c r="N28" s="7" t="n"/>
      <c r="O28" s="8" t="n">
        <v>0.34</v>
      </c>
      <c r="P28" s="8" t="n">
        <v>17</v>
      </c>
    </row>
    <row r="29" ht="110" customHeight="1">
      <c r="A29" s="3" t="inlineStr">
        <is>
          <t>12741009</t>
        </is>
      </c>
      <c r="B29" s="3" t="inlineStr">
        <is>
          <t>04-05-2026</t>
        </is>
      </c>
      <c r="C29" s="3" t="inlineStr">
        <is>
          <t>Blau</t>
        </is>
      </c>
      <c r="D29" s="3" t="inlineStr">
        <is>
          <t>165063</t>
        </is>
      </c>
      <c r="E29" s="4" t="inlineStr">
        <is>
          <t>CR Commander Pink 85 gr</t>
        </is>
      </c>
      <c r="F29" s="4" t="inlineStr">
        <is>
          <t>Zentoo</t>
        </is>
      </c>
      <c r="G29" s="4" t="inlineStr">
        <is>
          <t>COLOR Rosa · ALTURA 65 cm</t>
        </is>
      </c>
      <c r="H29" s="3" t="inlineStr"/>
      <c r="I29" s="3" t="n">
        <v>20</v>
      </c>
      <c r="J29" s="3" t="inlineStr">
        <is>
          <t>20 шт.</t>
        </is>
      </c>
      <c r="K29" s="4">
        <f>IMAGE("https://cdn.verdnatura.es/image/catalog/1600x900/165063")</f>
        <v/>
      </c>
      <c r="L29" s="5" t="n"/>
      <c r="M29" s="6" t="n"/>
      <c r="N29" s="7" t="n"/>
      <c r="O29" s="8" t="n">
        <v>0.76</v>
      </c>
      <c r="P29" s="8" t="n">
        <v>15.2</v>
      </c>
    </row>
    <row r="30" ht="110" customHeight="1">
      <c r="A30" s="3" t="inlineStr">
        <is>
          <t>12741009</t>
        </is>
      </c>
      <c r="B30" s="3" t="inlineStr">
        <is>
          <t>04-05-2026</t>
        </is>
      </c>
      <c r="C30" s="3" t="inlineStr">
        <is>
          <t>Blau</t>
        </is>
      </c>
      <c r="D30" s="3" t="inlineStr">
        <is>
          <t>193217</t>
        </is>
      </c>
      <c r="E30" s="4" t="inlineStr">
        <is>
          <t>CR Sugarbunny 80 gr</t>
        </is>
      </c>
      <c r="F30" s="4" t="inlineStr">
        <is>
          <t>Zentoo</t>
        </is>
      </c>
      <c r="G30" s="4" t="inlineStr">
        <is>
          <t>COLOR Rosa Claro · ALTURA 70 cm</t>
        </is>
      </c>
      <c r="H30" s="3" t="inlineStr"/>
      <c r="I30" s="3" t="n">
        <v>20</v>
      </c>
      <c r="J30" s="3" t="inlineStr">
        <is>
          <t>20 шт.</t>
        </is>
      </c>
      <c r="K30" s="4">
        <f>IMAGE("https://cdn.verdnatura.es/image/catalog/1600x900/193217")</f>
        <v/>
      </c>
      <c r="L30" s="5" t="n"/>
      <c r="M30" s="6" t="n"/>
      <c r="N30" s="7" t="n"/>
      <c r="O30" s="8" t="n">
        <v>0.98</v>
      </c>
      <c r="P30" s="8" t="n">
        <v>19.6</v>
      </c>
    </row>
    <row r="31" ht="110" customHeight="1">
      <c r="A31" s="3" t="inlineStr">
        <is>
          <t>12741009</t>
        </is>
      </c>
      <c r="B31" s="3" t="inlineStr">
        <is>
          <t>04-05-2026</t>
        </is>
      </c>
      <c r="C31" s="3" t="inlineStr">
        <is>
          <t>Blau</t>
        </is>
      </c>
      <c r="D31" s="3" t="inlineStr">
        <is>
          <t>189686</t>
        </is>
      </c>
      <c r="E31" s="4" t="inlineStr">
        <is>
          <t>F Arroz Rosa</t>
        </is>
      </c>
      <c r="F31" s="4" t="inlineStr">
        <is>
          <t>SANREMO GREEN HOUSE</t>
        </is>
      </c>
      <c r="G31" s="4" t="inlineStr">
        <is>
          <t>COLOR Rosa Claro · ALTURA 65 cm</t>
        </is>
      </c>
      <c r="H31" s="3" t="inlineStr"/>
      <c r="I31" s="3" t="n">
        <v>15</v>
      </c>
      <c r="J31" s="3" t="inlineStr">
        <is>
          <t>15 шт.</t>
        </is>
      </c>
      <c r="K31" s="4">
        <f>IMAGE("https://cdn.verdnatura.es/image/catalog/1600x900/189686")</f>
        <v/>
      </c>
      <c r="L31" s="5" t="n"/>
      <c r="M31" s="6" t="n"/>
      <c r="N31" s="7" t="n"/>
      <c r="O31" s="8" t="n">
        <v>2.89</v>
      </c>
      <c r="P31" s="8" t="n">
        <v>43.35</v>
      </c>
    </row>
    <row r="32" ht="110" customHeight="1">
      <c r="A32" s="3" t="inlineStr">
        <is>
          <t>12741009</t>
        </is>
      </c>
      <c r="B32" s="3" t="inlineStr">
        <is>
          <t>04-05-2026</t>
        </is>
      </c>
      <c r="C32" s="3" t="inlineStr">
        <is>
          <t>Blau</t>
        </is>
      </c>
      <c r="D32" s="3" t="inlineStr">
        <is>
          <t>95490</t>
        </is>
      </c>
      <c r="E32" s="4" t="inlineStr">
        <is>
          <t>Girasol Vincent s Choice SUP</t>
        </is>
      </c>
      <c r="F32" s="4" t="inlineStr">
        <is>
          <t>Pedro Vicente Muñoz</t>
        </is>
      </c>
      <c r="G32" s="4" t="inlineStr">
        <is>
          <t>COLOR Naranja claro · ALTURA 80 cm · DIAMETRO 10-12 cm</t>
        </is>
      </c>
      <c r="H32" s="3" t="inlineStr"/>
      <c r="I32" s="3" t="n">
        <v>30</v>
      </c>
      <c r="J32" s="3" t="inlineStr">
        <is>
          <t>30 шт.</t>
        </is>
      </c>
      <c r="K32" s="4">
        <f>IMAGE("https://cdn.verdnatura.es/image/catalog/1600x900/95490")</f>
        <v/>
      </c>
      <c r="L32" s="5" t="n"/>
      <c r="M32" s="6" t="n"/>
      <c r="N32" s="7" t="n"/>
      <c r="O32" s="8" t="n">
        <v>0.62</v>
      </c>
      <c r="P32" s="8" t="n">
        <v>18.6</v>
      </c>
    </row>
    <row r="33" ht="110" customHeight="1">
      <c r="A33" s="3" t="inlineStr">
        <is>
          <t>12741009</t>
        </is>
      </c>
      <c r="B33" s="3" t="inlineStr">
        <is>
          <t>04-05-2026</t>
        </is>
      </c>
      <c r="C33" s="3" t="inlineStr">
        <is>
          <t>Blau</t>
        </is>
      </c>
      <c r="D33" s="3" t="inlineStr">
        <is>
          <t>190002</t>
        </is>
      </c>
      <c r="E33" s="4" t="inlineStr">
        <is>
          <t>HYD Mag My Beautiful Pinktouch</t>
        </is>
      </c>
      <c r="F33" s="4" t="inlineStr"/>
      <c r="G33" s="4" t="inlineStr">
        <is>
          <t>COLOR Rosa · ALTURA 65 cm · DIAMETRO 21 cm</t>
        </is>
      </c>
      <c r="H33" s="3" t="inlineStr"/>
      <c r="I33" s="3" t="n">
        <v>20</v>
      </c>
      <c r="J33" s="3" t="inlineStr">
        <is>
          <t>20 шт.</t>
        </is>
      </c>
      <c r="K33" s="4">
        <f>IMAGE("https://cdn.verdnatura.es/image/catalog/1600x900/190002")</f>
        <v/>
      </c>
      <c r="L33" s="5" t="n"/>
      <c r="M33" s="6" t="n"/>
      <c r="N33" s="7" t="n"/>
      <c r="O33" s="8" t="n">
        <v>3.98</v>
      </c>
      <c r="P33" s="8" t="n">
        <v>79.59999999999999</v>
      </c>
    </row>
    <row r="34" ht="110" customHeight="1">
      <c r="A34" s="3" t="inlineStr">
        <is>
          <t>12741009</t>
        </is>
      </c>
      <c r="B34" s="3" t="inlineStr">
        <is>
          <t>04-05-2026</t>
        </is>
      </c>
      <c r="C34" s="3" t="inlineStr">
        <is>
          <t>Blau</t>
        </is>
      </c>
      <c r="D34" s="3" t="inlineStr">
        <is>
          <t>152089</t>
        </is>
      </c>
      <c r="E34" s="4" t="inlineStr">
        <is>
          <t>Lathyrus Winter Sunshine Laven</t>
        </is>
      </c>
      <c r="F34" s="4" t="inlineStr"/>
      <c r="G34" s="4" t="inlineStr">
        <is>
          <t>COLOR Lavanda · ALTURA 50 cm</t>
        </is>
      </c>
      <c r="H34" s="3" t="inlineStr"/>
      <c r="I34" s="3" t="n">
        <v>50</v>
      </c>
      <c r="J34" s="3" t="inlineStr">
        <is>
          <t>50 шт.</t>
        </is>
      </c>
      <c r="K34" s="4">
        <f>IMAGE("https://cdn.verdnatura.es/image/catalog/1600x900/152089")</f>
        <v/>
      </c>
      <c r="L34" s="5" t="n"/>
      <c r="M34" s="6" t="n"/>
      <c r="N34" s="7" t="n"/>
      <c r="O34" s="8" t="n">
        <v>0.72</v>
      </c>
      <c r="P34" s="8" t="n">
        <v>36</v>
      </c>
    </row>
    <row r="35" ht="110" customHeight="1">
      <c r="A35" s="3" t="inlineStr">
        <is>
          <t>12741009</t>
        </is>
      </c>
      <c r="B35" s="3" t="inlineStr">
        <is>
          <t>04-05-2026</t>
        </is>
      </c>
      <c r="C35" s="3" t="inlineStr">
        <is>
          <t>Blau</t>
        </is>
      </c>
      <c r="D35" s="3" t="inlineStr">
        <is>
          <t>135043</t>
        </is>
      </c>
      <c r="E35" s="4" t="inlineStr">
        <is>
          <t>LIM N NOR Montana</t>
        </is>
      </c>
      <c r="F35" s="4" t="inlineStr"/>
      <c r="G35" s="4" t="inlineStr">
        <is>
          <t>COLOR Azul · ALTURA 70 cm · PESO/TALLO 30 gr</t>
        </is>
      </c>
      <c r="H35" s="3" t="inlineStr"/>
      <c r="I35" s="3" t="n">
        <v>25</v>
      </c>
      <c r="J35" s="3" t="inlineStr">
        <is>
          <t>25 шт.</t>
        </is>
      </c>
      <c r="K35" s="4">
        <f>IMAGE("https://cdn.verdnatura.es/image/catalog/1600x900/135043")</f>
        <v/>
      </c>
      <c r="L35" s="5" t="n"/>
      <c r="M35" s="6" t="n"/>
      <c r="N35" s="7" t="n"/>
      <c r="O35" s="8" t="n">
        <v>0.27</v>
      </c>
      <c r="P35" s="8" t="n">
        <v>6.75</v>
      </c>
    </row>
    <row r="36" ht="110" customHeight="1">
      <c r="A36" s="3" t="inlineStr">
        <is>
          <t>12741009</t>
        </is>
      </c>
      <c r="B36" s="3" t="inlineStr">
        <is>
          <t>04-05-2026</t>
        </is>
      </c>
      <c r="C36" s="3" t="inlineStr">
        <is>
          <t>Blau</t>
        </is>
      </c>
      <c r="D36" s="3" t="inlineStr">
        <is>
          <t>84451</t>
        </is>
      </c>
      <c r="E36" s="4" t="inlineStr">
        <is>
          <t>LIM N NOR· Safora Oshi Pink</t>
        </is>
      </c>
      <c r="F36" s="4" t="inlineStr">
        <is>
          <t>Beauty Line</t>
        </is>
      </c>
      <c r="G36" s="4" t="inlineStr">
        <is>
          <t>COLOR Rosa · ALTURA 60 cm · PESO/TALLO 25 gr</t>
        </is>
      </c>
      <c r="H36" s="3" t="inlineStr"/>
      <c r="I36" s="3" t="n">
        <v>25</v>
      </c>
      <c r="J36" s="3" t="inlineStr">
        <is>
          <t>25 шт.</t>
        </is>
      </c>
      <c r="K36" s="4">
        <f>IMAGE("https://cdn.verdnatura.es/image/catalog/1600x900/84451")</f>
        <v/>
      </c>
      <c r="L36" s="5" t="n"/>
      <c r="M36" s="6" t="n"/>
      <c r="N36" s="7" t="n"/>
      <c r="O36" s="8" t="n">
        <v>0.39</v>
      </c>
      <c r="P36" s="8" t="n">
        <v>9.75</v>
      </c>
    </row>
    <row r="37" ht="110" customHeight="1">
      <c r="A37" s="3" t="inlineStr">
        <is>
          <t>12741009</t>
        </is>
      </c>
      <c r="B37" s="3" t="inlineStr">
        <is>
          <t>04-05-2026</t>
        </is>
      </c>
      <c r="C37" s="3" t="inlineStr">
        <is>
          <t>Blau</t>
        </is>
      </c>
      <c r="D37" s="3" t="inlineStr">
        <is>
          <t>116173</t>
        </is>
      </c>
      <c r="E37" s="4" t="inlineStr">
        <is>
          <t>LO Bowl of Beauty 4-5</t>
        </is>
      </c>
      <c r="F37" s="4" t="inlineStr">
        <is>
          <t>Bredefleur</t>
        </is>
      </c>
      <c r="G37" s="4" t="inlineStr">
        <is>
          <t>COLOR Blanco · ALTURA 95 cm</t>
        </is>
      </c>
      <c r="H37" s="3" t="inlineStr"/>
      <c r="I37" s="3" t="n">
        <v>0</v>
      </c>
      <c r="J37" s="3" t="inlineStr">
        <is>
          <t>0 шт.</t>
        </is>
      </c>
      <c r="K37" s="4">
        <f>IMAGE("https://cdn.verdnatura.es/image/catalog/1600x900/116173")</f>
        <v/>
      </c>
      <c r="L37" s="5" t="n"/>
      <c r="M37" s="6" t="n"/>
      <c r="N37" s="7" t="n"/>
      <c r="O37" s="8" t="n">
        <v>2.34</v>
      </c>
      <c r="P37" s="8" t="n">
        <v>0</v>
      </c>
    </row>
    <row r="38" ht="110" customHeight="1">
      <c r="A38" s="3" t="inlineStr">
        <is>
          <t>12741009</t>
        </is>
      </c>
      <c r="B38" s="3" t="inlineStr">
        <is>
          <t>04-05-2026</t>
        </is>
      </c>
      <c r="C38" s="3" t="inlineStr">
        <is>
          <t>Blau</t>
        </is>
      </c>
      <c r="D38" s="3" t="inlineStr">
        <is>
          <t>188121</t>
        </is>
      </c>
      <c r="E38" s="4" t="inlineStr">
        <is>
          <t>LO Sempione (Premium) 5</t>
        </is>
      </c>
      <c r="F38" s="4" t="inlineStr">
        <is>
          <t>Dutch Lily Masters</t>
        </is>
      </c>
      <c r="G38" s="4" t="inlineStr">
        <is>
          <t>COLOR Blanco · ALTURA 100 cm</t>
        </is>
      </c>
      <c r="H38" s="3" t="inlineStr"/>
      <c r="I38" s="3" t="n">
        <v>10</v>
      </c>
      <c r="J38" s="3" t="inlineStr">
        <is>
          <t>10 шт.</t>
        </is>
      </c>
      <c r="K38" s="4">
        <f>IMAGE("https://cdn.verdnatura.es/image/catalog/1600x900/188121")</f>
        <v/>
      </c>
      <c r="L38" s="5" t="n"/>
      <c r="M38" s="6" t="n"/>
      <c r="N38" s="7" t="n"/>
      <c r="O38" s="8" t="n">
        <v>3.03</v>
      </c>
      <c r="P38" s="8" t="n">
        <v>30.3</v>
      </c>
    </row>
    <row r="39" ht="110" customHeight="1">
      <c r="A39" s="3" t="inlineStr">
        <is>
          <t>12741009</t>
        </is>
      </c>
      <c r="B39" s="3" t="inlineStr">
        <is>
          <t>04-05-2026</t>
        </is>
      </c>
      <c r="C39" s="3" t="inlineStr">
        <is>
          <t>Blau</t>
        </is>
      </c>
      <c r="D39" s="3" t="inlineStr">
        <is>
          <t>190217</t>
        </is>
      </c>
      <c r="E39" s="4" t="inlineStr">
        <is>
          <t>Peonia Hawaiian</t>
        </is>
      </c>
      <c r="F39" s="4" t="inlineStr">
        <is>
          <t>Bigot Fleurs</t>
        </is>
      </c>
      <c r="G39" s="4" t="inlineStr">
        <is>
          <t>COLOR Rosa · ALTURA 50 cm · APERTURA 2-3</t>
        </is>
      </c>
      <c r="H39" s="3" t="inlineStr"/>
      <c r="I39" s="3" t="n">
        <v>60</v>
      </c>
      <c r="J39" s="3" t="inlineStr">
        <is>
          <t>60 шт.</t>
        </is>
      </c>
      <c r="K39" s="4">
        <f>IMAGE("https://cdn.verdnatura.es/image/catalog/1600x900/190217")</f>
        <v/>
      </c>
      <c r="L39" s="5" t="n"/>
      <c r="M39" s="6" t="n"/>
      <c r="N39" s="7" t="n"/>
      <c r="O39" s="8" t="n">
        <v>1.01</v>
      </c>
      <c r="P39" s="8" t="n">
        <v>60.6</v>
      </c>
    </row>
    <row r="40" ht="110" customHeight="1">
      <c r="A40" s="3" t="inlineStr">
        <is>
          <t>12741009</t>
        </is>
      </c>
      <c r="B40" s="3" t="inlineStr">
        <is>
          <t>04-05-2026</t>
        </is>
      </c>
      <c r="C40" s="3" t="inlineStr">
        <is>
          <t>Blau</t>
        </is>
      </c>
      <c r="D40" s="3" t="inlineStr">
        <is>
          <t>134913</t>
        </is>
      </c>
      <c r="E40" s="4" t="inlineStr">
        <is>
          <t>Peonia In Full Sail</t>
        </is>
      </c>
      <c r="F40" s="4" t="inlineStr">
        <is>
          <t>My-Peony</t>
        </is>
      </c>
      <c r="G40" s="4" t="inlineStr">
        <is>
          <t>COLOR Blanco/Rosa · ALTURA 60 cm · APERTURA 2-3</t>
        </is>
      </c>
      <c r="H40" s="3" t="inlineStr"/>
      <c r="I40" s="3" t="n">
        <v>50</v>
      </c>
      <c r="J40" s="3" t="inlineStr">
        <is>
          <t>50 шт.</t>
        </is>
      </c>
      <c r="K40" s="4">
        <f>IMAGE("https://cdn.verdnatura.es/image/catalog/1600x900/134913")</f>
        <v/>
      </c>
      <c r="L40" s="5" t="n"/>
      <c r="M40" s="6" t="n"/>
      <c r="N40" s="7" t="n"/>
      <c r="O40" s="8" t="n">
        <v>1.59</v>
      </c>
      <c r="P40" s="8" t="n">
        <v>79.5</v>
      </c>
    </row>
    <row r="41" ht="110" customHeight="1">
      <c r="A41" s="3" t="inlineStr">
        <is>
          <t>12741009</t>
        </is>
      </c>
      <c r="B41" s="3" t="inlineStr">
        <is>
          <t>04-05-2026</t>
        </is>
      </c>
      <c r="C41" s="3" t="inlineStr">
        <is>
          <t>Blau</t>
        </is>
      </c>
      <c r="D41" s="3" t="inlineStr">
        <is>
          <t>178401</t>
        </is>
      </c>
      <c r="E41" s="4" t="inlineStr">
        <is>
          <t>Peonia Kathryn Fonteyn</t>
        </is>
      </c>
      <c r="F41" s="4" t="inlineStr">
        <is>
          <t>Dominique</t>
        </is>
      </c>
      <c r="G41" s="4" t="inlineStr">
        <is>
          <t>COLOR Blanco/Rosa · ALTURA 50 cm</t>
        </is>
      </c>
      <c r="H41" s="3" t="inlineStr"/>
      <c r="I41" s="3" t="n">
        <v>60</v>
      </c>
      <c r="J41" s="3" t="inlineStr">
        <is>
          <t>60 шт.</t>
        </is>
      </c>
      <c r="K41" s="4">
        <f>IMAGE("https://cdn.verdnatura.es/image/catalog/1600x900/178401")</f>
        <v/>
      </c>
      <c r="L41" s="5" t="n"/>
      <c r="M41" s="6" t="n"/>
      <c r="N41" s="7" t="n"/>
      <c r="O41" s="8" t="n">
        <v>1.18</v>
      </c>
      <c r="P41" s="8" t="n">
        <v>70.8</v>
      </c>
    </row>
    <row r="42" ht="110" customHeight="1">
      <c r="A42" s="3" t="inlineStr">
        <is>
          <t>12741009</t>
        </is>
      </c>
      <c r="B42" s="3" t="inlineStr">
        <is>
          <t>04-05-2026</t>
        </is>
      </c>
      <c r="C42" s="3" t="inlineStr">
        <is>
          <t>Blau</t>
        </is>
      </c>
      <c r="D42" s="3" t="inlineStr">
        <is>
          <t>148648</t>
        </is>
      </c>
      <c r="E42" s="4" t="inlineStr">
        <is>
          <t>PTA Susara</t>
        </is>
      </c>
      <c r="F42" s="4" t="inlineStr">
        <is>
          <t>De Mooij Import BV</t>
        </is>
      </c>
      <c r="G42" s="4" t="inlineStr">
        <is>
          <t>COLOR Salmón · ALTURA 40 cm</t>
        </is>
      </c>
      <c r="H42" s="3" t="inlineStr"/>
      <c r="I42" s="3" t="n">
        <v>10</v>
      </c>
      <c r="J42" s="3" t="inlineStr">
        <is>
          <t>10 шт.</t>
        </is>
      </c>
      <c r="K42" s="4">
        <f>IMAGE("https://cdn.verdnatura.es/image/catalog/1600x900/148648")</f>
        <v/>
      </c>
      <c r="L42" s="5" t="n"/>
      <c r="M42" s="6" t="n"/>
      <c r="N42" s="7" t="n"/>
      <c r="O42" s="8" t="n">
        <v>2.74</v>
      </c>
      <c r="P42" s="8" t="n">
        <v>27.4</v>
      </c>
    </row>
    <row r="43" ht="110" customHeight="1">
      <c r="A43" s="3" t="inlineStr">
        <is>
          <t>12741009</t>
        </is>
      </c>
      <c r="B43" s="3" t="inlineStr">
        <is>
          <t>04-05-2026</t>
        </is>
      </c>
      <c r="C43" s="3" t="inlineStr">
        <is>
          <t>Blau</t>
        </is>
      </c>
      <c r="D43" s="3" t="inlineStr">
        <is>
          <t>135409</t>
        </is>
      </c>
      <c r="E43" s="4" t="inlineStr">
        <is>
          <t>RSR Chimo</t>
        </is>
      </c>
      <c r="F43" s="4" t="inlineStr">
        <is>
          <t>Braam Roses</t>
        </is>
      </c>
      <c r="G43" s="4" t="inlineStr">
        <is>
          <t>COLOR Fucsia · ALTURA 40 cm · TAMAÑO BOTÓN Mediano</t>
        </is>
      </c>
      <c r="H43" s="3" t="inlineStr"/>
      <c r="I43" s="3" t="n">
        <v>40</v>
      </c>
      <c r="J43" s="3" t="inlineStr">
        <is>
          <t>40 шт.</t>
        </is>
      </c>
      <c r="K43" s="4">
        <f>IMAGE("https://cdn.verdnatura.es/image/catalog/1600x900/135409")</f>
        <v/>
      </c>
      <c r="L43" s="5" t="n"/>
      <c r="M43" s="6" t="n"/>
      <c r="N43" s="7" t="n"/>
      <c r="O43" s="8" t="n">
        <v>0.35</v>
      </c>
      <c r="P43" s="8" t="n">
        <v>14</v>
      </c>
    </row>
    <row r="44" ht="110" customHeight="1">
      <c r="A44" s="3" t="inlineStr">
        <is>
          <t>12741009</t>
        </is>
      </c>
      <c r="B44" s="3" t="inlineStr">
        <is>
          <t>04-05-2026</t>
        </is>
      </c>
      <c r="C44" s="3" t="inlineStr">
        <is>
          <t>Blau</t>
        </is>
      </c>
      <c r="D44" s="3" t="inlineStr">
        <is>
          <t>32456</t>
        </is>
      </c>
      <c r="E44" s="4" t="inlineStr">
        <is>
          <t>RSR Salinero</t>
        </is>
      </c>
      <c r="F44" s="4" t="inlineStr">
        <is>
          <t>Braam Roses</t>
        </is>
      </c>
      <c r="G44" s="4" t="inlineStr">
        <is>
          <t>COLOR Crema · ALTURA 40 cm · TAMAÑO BOTÓN Mediano</t>
        </is>
      </c>
      <c r="H44" s="3" t="inlineStr"/>
      <c r="I44" s="3" t="n">
        <v>40</v>
      </c>
      <c r="J44" s="3" t="inlineStr">
        <is>
          <t>40 шт.</t>
        </is>
      </c>
      <c r="K44" s="4">
        <f>IMAGE("https://cdn.verdnatura.es/image/catalog/1600x900/32456")</f>
        <v/>
      </c>
      <c r="L44" s="5" t="n"/>
      <c r="M44" s="6" t="n"/>
      <c r="N44" s="7" t="n"/>
      <c r="O44" s="8" t="n">
        <v>0.42</v>
      </c>
      <c r="P44" s="8" t="n">
        <v>16.8</v>
      </c>
    </row>
    <row r="45" ht="110" customHeight="1">
      <c r="A45" s="3" t="inlineStr">
        <is>
          <t>12741009</t>
        </is>
      </c>
      <c r="B45" s="3" t="inlineStr">
        <is>
          <t>04-05-2026</t>
        </is>
      </c>
      <c r="C45" s="3" t="inlineStr">
        <is>
          <t>Blau</t>
        </is>
      </c>
      <c r="D45" s="3" t="inlineStr">
        <is>
          <t>73611</t>
        </is>
      </c>
      <c r="E45" s="4" t="inlineStr">
        <is>
          <t>Skimmia J Rubella</t>
        </is>
      </c>
      <c r="F45" s="4" t="inlineStr"/>
      <c r="G45" s="4" t="inlineStr">
        <is>
          <t>COLOR Granate · ALTURA 45 cm</t>
        </is>
      </c>
      <c r="H45" s="3" t="inlineStr">
        <is>
          <t>Paquete</t>
        </is>
      </c>
      <c r="I45" s="3" t="n">
        <v>10</v>
      </c>
      <c r="J45" s="3" t="inlineStr">
        <is>
          <t>10 пачек</t>
        </is>
      </c>
      <c r="K45" s="4">
        <f>IMAGE("https://cdn.verdnatura.es/image/catalog/1600x900/73611")</f>
        <v/>
      </c>
      <c r="L45" s="5" t="n"/>
      <c r="M45" s="6" t="n"/>
      <c r="N45" s="7" t="n"/>
      <c r="O45" s="8" t="n">
        <v>5.26</v>
      </c>
      <c r="P45" s="8" t="n">
        <v>52.6</v>
      </c>
    </row>
    <row r="46" ht="110" customHeight="1">
      <c r="A46" s="3" t="inlineStr">
        <is>
          <t>12741009</t>
        </is>
      </c>
      <c r="B46" s="3" t="inlineStr">
        <is>
          <t>04-05-2026</t>
        </is>
      </c>
      <c r="C46" s="3" t="inlineStr">
        <is>
          <t>Blau</t>
        </is>
      </c>
      <c r="D46" s="3" t="inlineStr">
        <is>
          <t>27908</t>
        </is>
      </c>
      <c r="E46" s="4" t="inlineStr">
        <is>
          <t>Statice Fucsia</t>
        </is>
      </c>
      <c r="F46" s="4" t="inlineStr">
        <is>
          <t>Santa Dorotea</t>
        </is>
      </c>
      <c r="G46" s="4" t="inlineStr">
        <is>
          <t>COLOR Fucsia · ALTURA 70 cm · PESO/TALLO 30 gr</t>
        </is>
      </c>
      <c r="H46" s="3" t="inlineStr"/>
      <c r="I46" s="3" t="n">
        <v>25</v>
      </c>
      <c r="J46" s="3" t="inlineStr">
        <is>
          <t>25 шт.</t>
        </is>
      </c>
      <c r="K46" s="4">
        <f>IMAGE("https://cdn.verdnatura.es/image/catalog/1600x900/27908")</f>
        <v/>
      </c>
      <c r="L46" s="5" t="n"/>
      <c r="M46" s="6" t="n"/>
      <c r="N46" s="7" t="n"/>
      <c r="O46" s="8" t="n">
        <v>0.31</v>
      </c>
      <c r="P46" s="8" t="n">
        <v>7.75</v>
      </c>
    </row>
    <row r="47" ht="110" customHeight="1">
      <c r="A47" s="3" t="inlineStr">
        <is>
          <t>12741009</t>
        </is>
      </c>
      <c r="B47" s="3" t="inlineStr">
        <is>
          <t>04-05-2026</t>
        </is>
      </c>
      <c r="C47" s="3" t="inlineStr">
        <is>
          <t>Blau</t>
        </is>
      </c>
      <c r="D47" s="3" t="inlineStr">
        <is>
          <t>162291</t>
        </is>
      </c>
      <c r="E47" s="4" t="inlineStr">
        <is>
          <t>TUL Cairns Fringed</t>
        </is>
      </c>
      <c r="F47" s="4" t="inlineStr"/>
      <c r="G47" s="4" t="inlineStr">
        <is>
          <t>COLOR Rosa · ALTURA 37 cm · PESO/TALLO 46 gr</t>
        </is>
      </c>
      <c r="H47" s="3" t="inlineStr"/>
      <c r="I47" s="3" t="n">
        <v>100</v>
      </c>
      <c r="J47" s="3" t="inlineStr">
        <is>
          <t>100 шт.</t>
        </is>
      </c>
      <c r="K47" s="4">
        <f>IMAGE("https://cdn.verdnatura.es/image/catalog/1600x900/162291")</f>
        <v/>
      </c>
      <c r="L47" s="5" t="n"/>
      <c r="M47" s="6" t="n"/>
      <c r="N47" s="7" t="n"/>
      <c r="O47" s="8" t="n">
        <v>0.55</v>
      </c>
      <c r="P47" s="8" t="n">
        <v>55</v>
      </c>
    </row>
    <row r="48" ht="110" customHeight="1">
      <c r="A48" s="3" t="inlineStr">
        <is>
          <t>12741009</t>
        </is>
      </c>
      <c r="B48" s="3" t="inlineStr">
        <is>
          <t>04-05-2026</t>
        </is>
      </c>
      <c r="C48" s="3" t="inlineStr">
        <is>
          <t>Blau</t>
        </is>
      </c>
      <c r="D48" s="3" t="inlineStr">
        <is>
          <t>111152</t>
        </is>
      </c>
      <c r="E48" s="4" t="inlineStr">
        <is>
          <t>TUL Double Maitresse</t>
        </is>
      </c>
      <c r="F48" s="4" t="inlineStr"/>
      <c r="G48" s="4" t="inlineStr">
        <is>
          <t>COLOR Rosa · ALTURA 35 cm · PESO/TALLO 37 gr</t>
        </is>
      </c>
      <c r="H48" s="3" t="inlineStr"/>
      <c r="I48" s="3" t="n">
        <v>50</v>
      </c>
      <c r="J48" s="3" t="inlineStr">
        <is>
          <t>50 шт.</t>
        </is>
      </c>
      <c r="K48" s="4">
        <f>IMAGE("https://cdn.verdnatura.es/image/catalog/1600x900/111152")</f>
        <v/>
      </c>
      <c r="L48" s="5" t="n"/>
      <c r="M48" s="6" t="n"/>
      <c r="N48" s="7" t="n"/>
      <c r="O48" s="8" t="n">
        <v>0.53</v>
      </c>
      <c r="P48" s="8" t="n">
        <v>26.5</v>
      </c>
    </row>
    <row r="49" ht="26" customHeight="1">
      <c r="A49" s="2" t="inlineStr">
        <is>
          <t>📦  Накладная #12745944  ·  06-05-2026  ·  Blau  ·  1 позиций  ·  bultos: 0</t>
        </is>
      </c>
    </row>
    <row r="50" ht="110" customHeight="1">
      <c r="A50" s="3" t="inlineStr">
        <is>
          <t>12745944</t>
        </is>
      </c>
      <c r="B50" s="3" t="inlineStr">
        <is>
          <t>06-05-2026</t>
        </is>
      </c>
      <c r="C50" s="3" t="inlineStr">
        <is>
          <t>Blau</t>
        </is>
      </c>
      <c r="D50" s="3" t="inlineStr">
        <is>
          <t>132170</t>
        </is>
      </c>
      <c r="E50" s="4" t="inlineStr">
        <is>
          <t>SPATHI Bellini (Make Upz) Cerá</t>
        </is>
      </c>
      <c r="F50" s="4" t="inlineStr">
        <is>
          <t>Riza van der Voort Potplanten</t>
        </is>
      </c>
      <c r="G50" s="4" t="inlineStr">
        <is>
          <t>COLOR Rosa · ALTURA 40 cm · MACETA 13</t>
        </is>
      </c>
      <c r="H50" s="3" t="inlineStr"/>
      <c r="I50" s="3" t="n">
        <v>6</v>
      </c>
      <c r="J50" s="3" t="inlineStr">
        <is>
          <t>6 шт.</t>
        </is>
      </c>
      <c r="K50" s="4">
        <f>IMAGE("https://cdn.verdnatura.es/image/catalog/1600x900/132170")</f>
        <v/>
      </c>
      <c r="L50" s="5" t="n"/>
      <c r="M50" s="6" t="n"/>
      <c r="N50" s="7" t="n"/>
      <c r="O50" s="8" t="n">
        <v>7.43</v>
      </c>
      <c r="P50" s="8" t="n">
        <v>44.58</v>
      </c>
    </row>
    <row r="51" ht="26" customHeight="1">
      <c r="A51" s="2" t="inlineStr">
        <is>
          <t>📦  Накладная #12755550  ·  06-05-2026  ·  Blau  ·  4 позиций  ·  bultos: 1</t>
        </is>
      </c>
    </row>
    <row r="52" ht="110" customHeight="1">
      <c r="A52" s="3" t="inlineStr">
        <is>
          <t>12755550</t>
        </is>
      </c>
      <c r="B52" s="3" t="inlineStr">
        <is>
          <t>06-05-2026</t>
        </is>
      </c>
      <c r="C52" s="3" t="inlineStr">
        <is>
          <t>Blau</t>
        </is>
      </c>
      <c r="D52" s="3" t="inlineStr">
        <is>
          <t>189866</t>
        </is>
      </c>
      <c r="E52" s="4" t="inlineStr">
        <is>
          <t>CL Barb Green Kiwi Mellow</t>
        </is>
      </c>
      <c r="F52" s="4" t="inlineStr">
        <is>
          <t>Piazza Dei Fiori</t>
        </is>
      </c>
      <c r="G52" s="4" t="inlineStr">
        <is>
          <t>COLOR Verde · ALTURA 50 cm</t>
        </is>
      </c>
      <c r="H52" s="3" t="inlineStr"/>
      <c r="I52" s="3" t="n">
        <v>40</v>
      </c>
      <c r="J52" s="3" t="inlineStr">
        <is>
          <t>40 шт.</t>
        </is>
      </c>
      <c r="K52" s="4">
        <f>IMAGE("https://cdn.verdnatura.es/image/catalog/1600x900/189866")</f>
        <v/>
      </c>
      <c r="L52" s="5" t="n"/>
      <c r="M52" s="6" t="n"/>
      <c r="N52" s="7" t="n"/>
      <c r="O52" s="8" t="n">
        <v>0.35</v>
      </c>
      <c r="P52" s="8" t="n">
        <v>14</v>
      </c>
    </row>
    <row r="53" ht="110" customHeight="1">
      <c r="A53" s="3" t="inlineStr">
        <is>
          <t>12755550</t>
        </is>
      </c>
      <c r="B53" s="3" t="inlineStr">
        <is>
          <t>06-05-2026</t>
        </is>
      </c>
      <c r="C53" s="3" t="inlineStr">
        <is>
          <t>Blau</t>
        </is>
      </c>
      <c r="D53" s="3" t="inlineStr">
        <is>
          <t>190308</t>
        </is>
      </c>
      <c r="E53" s="4" t="inlineStr">
        <is>
          <t>GE MI Jolie</t>
        </is>
      </c>
      <c r="F53" s="4" t="inlineStr">
        <is>
          <t>LG Flowers</t>
        </is>
      </c>
      <c r="G53" s="4" t="inlineStr">
        <is>
          <t>COLOR Rosa · ALTURA 50 cm · DIAMETRO 7 cm</t>
        </is>
      </c>
      <c r="H53" s="3" t="inlineStr"/>
      <c r="I53" s="3" t="n">
        <v>20</v>
      </c>
      <c r="J53" s="3" t="inlineStr">
        <is>
          <t>20 шт.</t>
        </is>
      </c>
      <c r="K53" s="4">
        <f>IMAGE("https://cdn.verdnatura.es/image/catalog/1600x900/190308")</f>
        <v/>
      </c>
      <c r="L53" s="5" t="n"/>
      <c r="M53" s="6" t="n"/>
      <c r="N53" s="7" t="n"/>
      <c r="O53" s="8" t="n">
        <v>0.3</v>
      </c>
      <c r="P53" s="8" t="n">
        <v>6</v>
      </c>
    </row>
    <row r="54" ht="110" customHeight="1">
      <c r="A54" s="3" t="inlineStr">
        <is>
          <t>12755550</t>
        </is>
      </c>
      <c r="B54" s="3" t="inlineStr">
        <is>
          <t>06-05-2026</t>
        </is>
      </c>
      <c r="C54" s="3" t="inlineStr">
        <is>
          <t>Blau</t>
        </is>
      </c>
      <c r="D54" s="3" t="inlineStr">
        <is>
          <t>137387</t>
        </is>
      </c>
      <c r="E54" s="4" t="inlineStr">
        <is>
          <t>GE MI Tweety</t>
        </is>
      </c>
      <c r="F54" s="4" t="inlineStr">
        <is>
          <t>Van der Wilt Gerbera's</t>
        </is>
      </c>
      <c r="G54" s="4" t="inlineStr">
        <is>
          <t>COLOR Naranja · ALTURA 50 cm · DIAMETRO 8 cm</t>
        </is>
      </c>
      <c r="H54" s="3" t="inlineStr"/>
      <c r="I54" s="3" t="n">
        <v>20</v>
      </c>
      <c r="J54" s="3" t="inlineStr">
        <is>
          <t>20 шт.</t>
        </is>
      </c>
      <c r="K54" s="4">
        <f>IMAGE("https://cdn.verdnatura.es/image/catalog/1600x900/137387")</f>
        <v/>
      </c>
      <c r="L54" s="5" t="n"/>
      <c r="M54" s="6" t="n"/>
      <c r="N54" s="7" t="n"/>
      <c r="O54" s="8" t="n">
        <v>0.16</v>
      </c>
      <c r="P54" s="8" t="n">
        <v>3.2</v>
      </c>
    </row>
    <row r="55" ht="110" customHeight="1">
      <c r="A55" s="3" t="inlineStr">
        <is>
          <t>12755550</t>
        </is>
      </c>
      <c r="B55" s="3" t="inlineStr">
        <is>
          <t>06-05-2026</t>
        </is>
      </c>
      <c r="C55" s="3" t="inlineStr">
        <is>
          <t>Blau</t>
        </is>
      </c>
      <c r="D55" s="3" t="inlineStr">
        <is>
          <t>191567</t>
        </is>
      </c>
      <c r="E55" s="4" t="inlineStr">
        <is>
          <t>RS Orchestra</t>
        </is>
      </c>
      <c r="F55" s="4" t="inlineStr">
        <is>
          <t>Tana Flora</t>
        </is>
      </c>
      <c r="G55" s="4" t="inlineStr">
        <is>
          <t>COLOR Fucsia · ALTURA 50 cm</t>
        </is>
      </c>
      <c r="H55" s="3" t="inlineStr"/>
      <c r="I55" s="3" t="n">
        <v>40</v>
      </c>
      <c r="J55" s="3" t="inlineStr">
        <is>
          <t>40 шт.</t>
        </is>
      </c>
      <c r="K55" s="4">
        <f>IMAGE("https://cdn.verdnatura.es/image/catalog/1600x900/191567")</f>
        <v/>
      </c>
      <c r="L55" s="5" t="n"/>
      <c r="M55" s="6" t="n"/>
      <c r="N55" s="7" t="n"/>
      <c r="O55" s="8" t="n">
        <v>0.27</v>
      </c>
      <c r="P55" s="8" t="n">
        <v>10.8</v>
      </c>
    </row>
    <row r="56" ht="26" customHeight="1">
      <c r="A56" s="2" t="inlineStr">
        <is>
          <t>📦  Накладная #12755767  ·  06-05-2026  ·  Blau  ·  3 позиций  ·  bultos: 4</t>
        </is>
      </c>
    </row>
    <row r="57" ht="110" customHeight="1">
      <c r="A57" s="3" t="inlineStr">
        <is>
          <t>12755767</t>
        </is>
      </c>
      <c r="B57" s="3" t="inlineStr">
        <is>
          <t>06-05-2026</t>
        </is>
      </c>
      <c r="C57" s="3" t="inlineStr">
        <is>
          <t>Blau</t>
        </is>
      </c>
      <c r="D57" s="3" t="inlineStr">
        <is>
          <t>160219</t>
        </is>
      </c>
      <c r="E57" s="4" t="inlineStr">
        <is>
          <t>Citrofortunella Microcarpa (Ca</t>
        </is>
      </c>
      <c r="F57" s="4" t="inlineStr">
        <is>
          <t>Citrina</t>
        </is>
      </c>
      <c r="G57" s="4" t="inlineStr">
        <is>
          <t>COLOR Naranja · ALTURA 35 cm · MACETA 14</t>
        </is>
      </c>
      <c r="H57" s="3" t="inlineStr"/>
      <c r="I57" s="3" t="n">
        <v>6</v>
      </c>
      <c r="J57" s="3" t="inlineStr">
        <is>
          <t>6 шт.</t>
        </is>
      </c>
      <c r="K57" s="4">
        <f>IMAGE("https://cdn.verdnatura.es/image/catalog/1600x900/160219")</f>
        <v/>
      </c>
      <c r="L57" s="5" t="n"/>
      <c r="M57" s="6" t="n"/>
      <c r="N57" s="7" t="n"/>
      <c r="O57" s="8" t="n">
        <v>9.359999999999999</v>
      </c>
      <c r="P57" s="8" t="n">
        <v>56.16</v>
      </c>
    </row>
    <row r="58" ht="110" customHeight="1">
      <c r="A58" s="3" t="inlineStr">
        <is>
          <t>12755767</t>
        </is>
      </c>
      <c r="B58" s="3" t="inlineStr">
        <is>
          <t>06-05-2026</t>
        </is>
      </c>
      <c r="C58" s="3" t="inlineStr">
        <is>
          <t>Blau</t>
        </is>
      </c>
      <c r="D58" s="3" t="inlineStr">
        <is>
          <t>103397</t>
        </is>
      </c>
      <c r="E58" s="4" t="inlineStr">
        <is>
          <t>Jarrón Cannelé</t>
        </is>
      </c>
      <c r="F58" s="4" t="inlineStr">
        <is>
          <t>Verdnatura</t>
        </is>
      </c>
      <c r="G58" s="4" t="inlineStr">
        <is>
          <t>ALTURA 25 cm · DIAMETRO 10 cm · DIAMETRO BOCA 8.2 cm</t>
        </is>
      </c>
      <c r="H58" s="3" t="inlineStr"/>
      <c r="I58" s="3" t="n">
        <v>12</v>
      </c>
      <c r="J58" s="3" t="inlineStr">
        <is>
          <t>12 шт.</t>
        </is>
      </c>
      <c r="K58" s="4">
        <f>IMAGE("https://cdn.verdnatura.es/image/catalog/1600x900/103397")</f>
        <v/>
      </c>
      <c r="L58" s="5" t="n"/>
      <c r="M58" s="6" t="n"/>
      <c r="N58" s="7" t="n"/>
      <c r="O58" s="8" t="n">
        <v>3.55</v>
      </c>
      <c r="P58" s="8" t="n">
        <v>42.6</v>
      </c>
    </row>
    <row r="59" ht="110" customHeight="1">
      <c r="A59" s="3" t="inlineStr">
        <is>
          <t>12755767</t>
        </is>
      </c>
      <c r="B59" s="3" t="inlineStr">
        <is>
          <t>06-05-2026</t>
        </is>
      </c>
      <c r="C59" s="3" t="inlineStr">
        <is>
          <t>Blau</t>
        </is>
      </c>
      <c r="D59" s="3" t="inlineStr">
        <is>
          <t>132170</t>
        </is>
      </c>
      <c r="E59" s="4" t="inlineStr">
        <is>
          <t>SPATHI Bellini (Make Upz) Cerá</t>
        </is>
      </c>
      <c r="F59" s="4" t="inlineStr">
        <is>
          <t>Riza van der Voort Potplanten</t>
        </is>
      </c>
      <c r="G59" s="4" t="inlineStr">
        <is>
          <t>COLOR Rosa · ALTURA 40 cm · MACETA 13</t>
        </is>
      </c>
      <c r="H59" s="3" t="inlineStr"/>
      <c r="I59" s="3" t="n">
        <v>6</v>
      </c>
      <c r="J59" s="3" t="inlineStr">
        <is>
          <t>6 шт.</t>
        </is>
      </c>
      <c r="K59" s="4">
        <f>IMAGE("https://cdn.verdnatura.es/image/catalog/1600x900/132170")</f>
        <v/>
      </c>
      <c r="L59" s="5" t="n"/>
      <c r="M59" s="6" t="n"/>
      <c r="N59" s="7" t="n"/>
      <c r="O59" s="8" t="n">
        <v>7.43</v>
      </c>
      <c r="P59" s="8" t="n">
        <v>44.58</v>
      </c>
    </row>
    <row r="60" ht="26" customHeight="1">
      <c r="A60" s="2" t="inlineStr">
        <is>
          <t>📦  Накладная #12756815  ·  06-05-2026  ·  Blau  ·  1 позиций  ·  bultos: 1</t>
        </is>
      </c>
    </row>
    <row r="61" ht="110" customHeight="1">
      <c r="A61" s="3" t="inlineStr">
        <is>
          <t>12756815</t>
        </is>
      </c>
      <c r="B61" s="3" t="inlineStr">
        <is>
          <t>06-05-2026</t>
        </is>
      </c>
      <c r="C61" s="3" t="inlineStr">
        <is>
          <t>Blau</t>
        </is>
      </c>
      <c r="D61" s="3" t="inlineStr">
        <is>
          <t>171538</t>
        </is>
      </c>
      <c r="E61" s="4" t="inlineStr">
        <is>
          <t>PAN Small Bloom SD 30 gr</t>
        </is>
      </c>
      <c r="F61" s="4" t="inlineStr">
        <is>
          <t>Santa Dorotea</t>
        </is>
      </c>
      <c r="G61" s="4" t="inlineStr">
        <is>
          <t>COLOR Blanco · ALTURA 80 cm · TAMAÑO FLOR S</t>
        </is>
      </c>
      <c r="H61" s="3" t="inlineStr"/>
      <c r="I61" s="3" t="n">
        <v>25</v>
      </c>
      <c r="J61" s="3" t="inlineStr">
        <is>
          <t>25 шт.</t>
        </is>
      </c>
      <c r="K61" s="4">
        <f>IMAGE("https://cdn.verdnatura.es/image/catalog/1600x900/171538")</f>
        <v/>
      </c>
      <c r="L61" s="5" t="n"/>
      <c r="M61" s="6" t="n"/>
      <c r="N61" s="7" t="n"/>
      <c r="O61" s="8" t="n">
        <v>0.44</v>
      </c>
      <c r="P61" s="8" t="n">
        <v>11</v>
      </c>
    </row>
    <row r="62" ht="26" customHeight="1">
      <c r="A62" s="2" t="inlineStr">
        <is>
          <t>📦  Накладная #12766619  ·  07-05-2026  ·  Blau  ·  1 позиций  ·  bultos: 0</t>
        </is>
      </c>
    </row>
    <row r="63" ht="110" customHeight="1">
      <c r="A63" s="3" t="inlineStr">
        <is>
          <t>12766619</t>
        </is>
      </c>
      <c r="B63" s="3" t="inlineStr">
        <is>
          <t>07-05-2026</t>
        </is>
      </c>
      <c r="C63" s="3" t="inlineStr">
        <is>
          <t>Blau</t>
        </is>
      </c>
      <c r="D63" s="3" t="inlineStr">
        <is>
          <t>162291</t>
        </is>
      </c>
      <c r="E63" s="4" t="inlineStr">
        <is>
          <t>TUL Cairns Fringed</t>
        </is>
      </c>
      <c r="F63" s="4" t="inlineStr"/>
      <c r="G63" s="4" t="inlineStr">
        <is>
          <t>COLOR Rosa · ALTURA 34 cm · PESO/TALLO 40 gr</t>
        </is>
      </c>
      <c r="H63" s="3" t="inlineStr"/>
      <c r="I63" s="3" t="n">
        <v>-50</v>
      </c>
      <c r="J63" s="3" t="inlineStr">
        <is>
          <t>-50 шт.</t>
        </is>
      </c>
      <c r="K63" s="4">
        <f>IMAGE("https://cdn.verdnatura.es/image/catalog/1600x900/162291")</f>
        <v/>
      </c>
      <c r="L63" s="5" t="n"/>
      <c r="M63" s="6" t="n"/>
      <c r="N63" s="7" t="n"/>
      <c r="O63" s="8" t="n">
        <v>0.55</v>
      </c>
      <c r="P63" s="8" t="n">
        <v>-27.5</v>
      </c>
    </row>
  </sheetData>
  <mergeCells count="10">
    <mergeCell ref="A49:P49"/>
    <mergeCell ref="A51:P51"/>
    <mergeCell ref="A60:P60"/>
    <mergeCell ref="A23:P23"/>
    <mergeCell ref="A17:P17"/>
    <mergeCell ref="A56:P56"/>
    <mergeCell ref="A4:P4"/>
    <mergeCell ref="A62:P62"/>
    <mergeCell ref="A21:P2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2026-06-22T21:39:04Z</dcterms:created>
  <dcterms:modified xmlns:dcterms="http://purl.org/dc/terms/" xmlns:xsi="http://www.w3.org/2001/XMLSchema-instance" xsi:type="dcterms:W3CDTF">2026-06-22T21:39:04Z</dcterms:modified>
</cp:coreProperties>
</file>