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#12755199  ·  06-05-2026  ·  Plaza  ·  2 позиций  ·  bultos: 2</t>
        </is>
      </c>
    </row>
    <row r="3" ht="110" customHeight="1">
      <c r="A3" s="3" t="inlineStr">
        <is>
          <t>12755199</t>
        </is>
      </c>
      <c r="B3" s="3" t="inlineStr">
        <is>
          <t>06-05-2026</t>
        </is>
      </c>
      <c r="C3" s="3" t="inlineStr">
        <is>
          <t>Plaza</t>
        </is>
      </c>
      <c r="D3" s="3" t="inlineStr">
        <is>
          <t>121494</t>
        </is>
      </c>
      <c r="E3" s="4" t="inlineStr">
        <is>
          <t>Set de 2 Macetas Duna</t>
        </is>
      </c>
      <c r="F3" s="4" t="inlineStr">
        <is>
          <t>Verdnatura</t>
        </is>
      </c>
      <c r="G3" s="4" t="inlineStr">
        <is>
          <t>ALTURA 17.5 cm · DIAMETRO 22 cm · DIAMETRO BOCA 16.8 cm</t>
        </is>
      </c>
      <c r="H3" s="3" t="inlineStr"/>
      <c r="I3" s="3" t="n">
        <v>4</v>
      </c>
      <c r="J3" s="3" t="inlineStr">
        <is>
          <t>4 шт.</t>
        </is>
      </c>
      <c r="K3" s="4">
        <f>IMAGE("https://cdn.verdnatura.es/image/catalog/1600x900/121494")</f>
        <v/>
      </c>
      <c r="L3" s="5" t="n"/>
      <c r="M3" s="6" t="n"/>
      <c r="N3" s="7" t="n"/>
      <c r="O3" s="8" t="n">
        <v>10.22</v>
      </c>
      <c r="P3" s="8" t="n">
        <v>40.88</v>
      </c>
    </row>
    <row r="4" ht="110" customHeight="1">
      <c r="A4" s="3" t="inlineStr">
        <is>
          <t>12755199</t>
        </is>
      </c>
      <c r="B4" s="3" t="inlineStr">
        <is>
          <t>06-05-2026</t>
        </is>
      </c>
      <c r="C4" s="3" t="inlineStr">
        <is>
          <t>Plaza</t>
        </is>
      </c>
      <c r="D4" s="3" t="inlineStr">
        <is>
          <t>194456</t>
        </is>
      </c>
      <c r="E4" s="4" t="inlineStr">
        <is>
          <t>Set de 3 Macetas Prince</t>
        </is>
      </c>
      <c r="F4" s="4" t="inlineStr">
        <is>
          <t>Mega Ceramics</t>
        </is>
      </c>
      <c r="G4" s="4" t="inlineStr">
        <is>
          <t>ALTURA 28 cm · DIAMETRO 29 cm · DIAMETRO BOCA 26.5 cm</t>
        </is>
      </c>
      <c r="H4" s="3" t="inlineStr"/>
      <c r="I4" s="3" t="n">
        <v>2</v>
      </c>
      <c r="J4" s="3" t="inlineStr">
        <is>
          <t>2 шт.</t>
        </is>
      </c>
      <c r="K4" s="4">
        <f>IMAGE("https://cdn.verdnatura.es/image/catalog/1600x900/194456")</f>
        <v/>
      </c>
      <c r="L4" s="5" t="n"/>
      <c r="M4" s="6" t="n"/>
      <c r="N4" s="7" t="n"/>
      <c r="O4" s="8" t="n">
        <v>25.62</v>
      </c>
      <c r="P4" s="8" t="n">
        <v>51.24</v>
      </c>
    </row>
    <row r="5" ht="26" customHeight="1">
      <c r="A5" s="2" t="inlineStr">
        <is>
          <t>📦  Накладная #12755539  ·  06-05-2026  ·  Plaza  ·  11 позиций  ·  bultos: 2</t>
        </is>
      </c>
    </row>
    <row r="6" ht="110" customHeight="1">
      <c r="A6" s="3" t="inlineStr">
        <is>
          <t>12755539</t>
        </is>
      </c>
      <c r="B6" s="3" t="inlineStr">
        <is>
          <t>06-05-2026</t>
        </is>
      </c>
      <c r="C6" s="3" t="inlineStr">
        <is>
          <t>Plaza</t>
        </is>
      </c>
      <c r="D6" s="3" t="inlineStr">
        <is>
          <t>189866</t>
        </is>
      </c>
      <c r="E6" s="4" t="inlineStr">
        <is>
          <t>CL Barb Green Kiwi Mellow</t>
        </is>
      </c>
      <c r="F6" s="4" t="inlineStr">
        <is>
          <t>Piazza Dei Fiori</t>
        </is>
      </c>
      <c r="G6" s="4" t="inlineStr">
        <is>
          <t>COLOR Verde · ALTURA 50 cm</t>
        </is>
      </c>
      <c r="H6" s="3" t="inlineStr"/>
      <c r="I6" s="3" t="n">
        <v>40</v>
      </c>
      <c r="J6" s="3" t="inlineStr">
        <is>
          <t>40 шт.</t>
        </is>
      </c>
      <c r="K6" s="4">
        <f>IMAGE("https://cdn.verdnatura.es/image/catalog/1600x900/189866")</f>
        <v/>
      </c>
      <c r="L6" s="5" t="n"/>
      <c r="M6" s="6" t="n"/>
      <c r="N6" s="7" t="n"/>
      <c r="O6" s="8" t="n">
        <v>0.35</v>
      </c>
      <c r="P6" s="8" t="n">
        <v>14</v>
      </c>
    </row>
    <row r="7" ht="110" customHeight="1">
      <c r="A7" s="3" t="inlineStr">
        <is>
          <t>12755539</t>
        </is>
      </c>
      <c r="B7" s="3" t="inlineStr">
        <is>
          <t>06-05-2026</t>
        </is>
      </c>
      <c r="C7" s="3" t="inlineStr">
        <is>
          <t>Plaza</t>
        </is>
      </c>
      <c r="D7" s="3" t="inlineStr">
        <is>
          <t>165063</t>
        </is>
      </c>
      <c r="E7" s="4" t="inlineStr">
        <is>
          <t>CR Commander Pink 80 gr</t>
        </is>
      </c>
      <c r="F7" s="4" t="inlineStr">
        <is>
          <t>Zentoo</t>
        </is>
      </c>
      <c r="G7" s="4" t="inlineStr">
        <is>
          <t>COLOR Rosa · ALTURA 65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IMAGE("https://cdn.verdnatura.es/image/catalog/1600x900/165063")</f>
        <v/>
      </c>
      <c r="L7" s="5" t="n"/>
      <c r="M7" s="6" t="n"/>
      <c r="N7" s="7" t="n"/>
      <c r="O7" s="8" t="n">
        <v>0.7</v>
      </c>
      <c r="P7" s="8" t="n">
        <v>14</v>
      </c>
    </row>
    <row r="8" ht="110" customHeight="1">
      <c r="A8" s="3" t="inlineStr">
        <is>
          <t>12755539</t>
        </is>
      </c>
      <c r="B8" s="3" t="inlineStr">
        <is>
          <t>06-05-2026</t>
        </is>
      </c>
      <c r="C8" s="3" t="inlineStr">
        <is>
          <t>Plaza</t>
        </is>
      </c>
      <c r="D8" s="3" t="inlineStr">
        <is>
          <t>193217</t>
        </is>
      </c>
      <c r="E8" s="4" t="inlineStr">
        <is>
          <t>CR Sugarbunny 75 gr</t>
        </is>
      </c>
      <c r="F8" s="4" t="inlineStr">
        <is>
          <t>Zentoo</t>
        </is>
      </c>
      <c r="G8" s="4" t="inlineStr">
        <is>
          <t>COLOR Rosa Claro · ALTURA 70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IMAGE("https://cdn.verdnatura.es/image/catalog/1600x900/193217")</f>
        <v/>
      </c>
      <c r="L8" s="5" t="n"/>
      <c r="M8" s="6" t="n"/>
      <c r="N8" s="7" t="n"/>
      <c r="O8" s="8" t="n">
        <v>0.66</v>
      </c>
      <c r="P8" s="8" t="n">
        <v>13.2</v>
      </c>
    </row>
    <row r="9" ht="110" customHeight="1">
      <c r="A9" s="3" t="inlineStr">
        <is>
          <t>12755539</t>
        </is>
      </c>
      <c r="B9" s="3" t="inlineStr">
        <is>
          <t>06-05-2026</t>
        </is>
      </c>
      <c r="C9" s="3" t="inlineStr">
        <is>
          <t>Plaza</t>
        </is>
      </c>
      <c r="D9" s="3" t="inlineStr">
        <is>
          <t>190359</t>
        </is>
      </c>
      <c r="E9" s="4" t="inlineStr">
        <is>
          <t>F Arroz Rosa</t>
        </is>
      </c>
      <c r="F9" s="4" t="inlineStr">
        <is>
          <t>Piazza Dei Fiori</t>
        </is>
      </c>
      <c r="G9" s="4" t="inlineStr">
        <is>
          <t>COLOR Blanco/Rosa · ALTURA 65 cm</t>
        </is>
      </c>
      <c r="H9" s="3" t="inlineStr"/>
      <c r="I9" s="3" t="n">
        <v>3</v>
      </c>
      <c r="J9" s="3" t="inlineStr">
        <is>
          <t>3 шт.</t>
        </is>
      </c>
      <c r="K9" s="4">
        <f>IMAGE("https://cdn.verdnatura.es/image/catalog/1600x900/190359")</f>
        <v/>
      </c>
      <c r="L9" s="5" t="n"/>
      <c r="M9" s="6" t="n"/>
      <c r="N9" s="7" t="n"/>
      <c r="O9" s="8" t="n">
        <v>2.6</v>
      </c>
      <c r="P9" s="8" t="n">
        <v>7.8</v>
      </c>
    </row>
    <row r="10" ht="110" customHeight="1">
      <c r="A10" s="3" t="inlineStr">
        <is>
          <t>12755539</t>
        </is>
      </c>
      <c r="B10" s="3" t="inlineStr">
        <is>
          <t>06-05-2026</t>
        </is>
      </c>
      <c r="C10" s="3" t="inlineStr">
        <is>
          <t>Plaza</t>
        </is>
      </c>
      <c r="D10" s="3" t="inlineStr">
        <is>
          <t>12419</t>
        </is>
      </c>
      <c r="E10" s="4" t="inlineStr">
        <is>
          <t>Girasol Vicent s Choice</t>
        </is>
      </c>
      <c r="F10" s="4" t="inlineStr"/>
      <c r="G10" s="4" t="inlineStr">
        <is>
          <t>COLOR Naranja claro · ALTURA 70 cm · DIAMETRO 10-12 cm</t>
        </is>
      </c>
      <c r="H10" s="3" t="inlineStr"/>
      <c r="I10" s="3" t="n">
        <v>30</v>
      </c>
      <c r="J10" s="3" t="inlineStr">
        <is>
          <t>30 шт.</t>
        </is>
      </c>
      <c r="K10" s="4">
        <f>IMAGE("https://cdn.verdnatura.es/image/catalog/1600x900/12419")</f>
        <v/>
      </c>
      <c r="L10" s="5" t="n"/>
      <c r="M10" s="6" t="n"/>
      <c r="N10" s="7" t="n"/>
      <c r="O10" s="8" t="n">
        <v>0.59</v>
      </c>
      <c r="P10" s="8" t="n">
        <v>17.7</v>
      </c>
    </row>
    <row r="11" ht="110" customHeight="1">
      <c r="A11" s="3" t="inlineStr">
        <is>
          <t>12755539</t>
        </is>
      </c>
      <c r="B11" s="3" t="inlineStr">
        <is>
          <t>06-05-2026</t>
        </is>
      </c>
      <c r="C11" s="3" t="inlineStr">
        <is>
          <t>Plaza</t>
        </is>
      </c>
      <c r="D11" s="3" t="inlineStr">
        <is>
          <t>186653</t>
        </is>
      </c>
      <c r="E11" s="4" t="inlineStr">
        <is>
          <t>RS Athena Royale</t>
        </is>
      </c>
      <c r="F11" s="4" t="inlineStr">
        <is>
          <t>Sian-Equator</t>
        </is>
      </c>
      <c r="G11" s="4" t="inlineStr">
        <is>
          <t>COLOR Rosa · ALTURA 40 cm · BOTON MINIMO 4.0 cm</t>
        </is>
      </c>
      <c r="H11" s="3" t="inlineStr"/>
      <c r="I11" s="3" t="n">
        <v>40</v>
      </c>
      <c r="J11" s="3" t="inlineStr">
        <is>
          <t>40 шт.</t>
        </is>
      </c>
      <c r="K11" s="4">
        <f>IMAGE("https://cdn.verdnatura.es/image/catalog/1600x900/186653")</f>
        <v/>
      </c>
      <c r="L11" s="5" t="n"/>
      <c r="M11" s="6" t="n"/>
      <c r="N11" s="7" t="n"/>
      <c r="O11" s="8" t="n">
        <v>0.39</v>
      </c>
      <c r="P11" s="8" t="n">
        <v>15.6</v>
      </c>
    </row>
    <row r="12" ht="110" customHeight="1">
      <c r="A12" s="3" t="inlineStr">
        <is>
          <t>12755539</t>
        </is>
      </c>
      <c r="B12" s="3" t="inlineStr">
        <is>
          <t>06-05-2026</t>
        </is>
      </c>
      <c r="C12" s="3" t="inlineStr">
        <is>
          <t>Plaza</t>
        </is>
      </c>
      <c r="D12" s="3" t="inlineStr">
        <is>
          <t>191567</t>
        </is>
      </c>
      <c r="E12" s="4" t="inlineStr">
        <is>
          <t>RS Orchestra</t>
        </is>
      </c>
      <c r="F12" s="4" t="inlineStr">
        <is>
          <t>Tana Flora</t>
        </is>
      </c>
      <c r="G12" s="4" t="inlineStr">
        <is>
          <t>COLOR Fucsia · ALTURA 50 cm</t>
        </is>
      </c>
      <c r="H12" s="3" t="inlineStr"/>
      <c r="I12" s="3" t="n">
        <v>40</v>
      </c>
      <c r="J12" s="3" t="inlineStr">
        <is>
          <t>40 шт.</t>
        </is>
      </c>
      <c r="K12" s="4">
        <f>IMAGE("https://cdn.verdnatura.es/image/catalog/1600x900/191567")</f>
        <v/>
      </c>
      <c r="L12" s="5" t="n"/>
      <c r="M12" s="6" t="n"/>
      <c r="N12" s="7" t="n"/>
      <c r="O12" s="8" t="n">
        <v>0.27</v>
      </c>
      <c r="P12" s="8" t="n">
        <v>10.8</v>
      </c>
    </row>
    <row r="13" ht="110" customHeight="1">
      <c r="A13" s="3" t="inlineStr">
        <is>
          <t>12755539</t>
        </is>
      </c>
      <c r="B13" s="3" t="inlineStr">
        <is>
          <t>06-05-2026</t>
        </is>
      </c>
      <c r="C13" s="3" t="inlineStr">
        <is>
          <t>Plaza</t>
        </is>
      </c>
      <c r="D13" s="3" t="inlineStr">
        <is>
          <t>83610</t>
        </is>
      </c>
      <c r="E13" s="4" t="inlineStr">
        <is>
          <t>RS Patz</t>
        </is>
      </c>
      <c r="F13" s="4" t="inlineStr">
        <is>
          <t>Rosa Plaza</t>
        </is>
      </c>
      <c r="G13" s="4" t="inlineStr">
        <is>
          <t>COLOR Naranja · ALTURA 35 cm</t>
        </is>
      </c>
      <c r="H13" s="3" t="inlineStr"/>
      <c r="I13" s="3" t="n">
        <v>40</v>
      </c>
      <c r="J13" s="3" t="inlineStr">
        <is>
          <t>40 шт.</t>
        </is>
      </c>
      <c r="K13" s="4">
        <f>IMAGE("https://cdn.verdnatura.es/image/catalog/1600x900/83610")</f>
        <v/>
      </c>
      <c r="L13" s="5" t="n"/>
      <c r="M13" s="6" t="n"/>
      <c r="N13" s="7" t="n"/>
      <c r="O13" s="8" t="n">
        <v>0.29</v>
      </c>
      <c r="P13" s="8" t="n">
        <v>11.6</v>
      </c>
    </row>
    <row r="14" ht="110" customHeight="1">
      <c r="A14" s="3" t="inlineStr">
        <is>
          <t>12755539</t>
        </is>
      </c>
      <c r="B14" s="3" t="inlineStr">
        <is>
          <t>06-05-2026</t>
        </is>
      </c>
      <c r="C14" s="3" t="inlineStr">
        <is>
          <t>Plaza</t>
        </is>
      </c>
      <c r="D14" s="3" t="inlineStr">
        <is>
          <t>73611</t>
        </is>
      </c>
      <c r="E14" s="4" t="inlineStr">
        <is>
          <t>Skimmia J Rubella</t>
        </is>
      </c>
      <c r="F14" s="4" t="inlineStr"/>
      <c r="G14" s="4" t="inlineStr">
        <is>
          <t>COLOR Granate · ALTURA 45 cm</t>
        </is>
      </c>
      <c r="H14" s="3" t="inlineStr">
        <is>
          <t>Paquete</t>
        </is>
      </c>
      <c r="I14" s="3" t="n">
        <v>5</v>
      </c>
      <c r="J14" s="3" t="inlineStr">
        <is>
          <t>5 пачек</t>
        </is>
      </c>
      <c r="K14" s="4">
        <f>IMAGE("https://cdn.verdnatura.es/image/catalog/1600x900/73611")</f>
        <v/>
      </c>
      <c r="L14" s="5" t="n"/>
      <c r="M14" s="6" t="n"/>
      <c r="N14" s="7" t="n"/>
      <c r="O14" s="8" t="n">
        <v>3.4</v>
      </c>
      <c r="P14" s="8" t="n">
        <v>17</v>
      </c>
    </row>
    <row r="15" ht="110" customHeight="1">
      <c r="A15" s="3" t="inlineStr">
        <is>
          <t>12755539</t>
        </is>
      </c>
      <c r="B15" s="3" t="inlineStr">
        <is>
          <t>06-05-2026</t>
        </is>
      </c>
      <c r="C15" s="3" t="inlineStr">
        <is>
          <t>Plaza</t>
        </is>
      </c>
      <c r="D15" s="3" t="inlineStr">
        <is>
          <t>200042</t>
        </is>
      </c>
      <c r="E15" s="4" t="inlineStr">
        <is>
          <t>TRACH Celeste</t>
        </is>
      </c>
      <c r="F15" s="4" t="inlineStr">
        <is>
          <t>RencaFlor</t>
        </is>
      </c>
      <c r="G15" s="4" t="inlineStr">
        <is>
          <t>COLOR Lavanda · ALTURA 60 cm</t>
        </is>
      </c>
      <c r="H15" s="3" t="inlineStr"/>
      <c r="I15" s="3" t="n">
        <v>20</v>
      </c>
      <c r="J15" s="3" t="inlineStr">
        <is>
          <t>20 шт.</t>
        </is>
      </c>
      <c r="K15" s="4">
        <f>IMAGE("https://cdn.verdnatura.es/image/catalog/1600x900/200042")</f>
        <v/>
      </c>
      <c r="L15" s="5" t="n"/>
      <c r="M15" s="6" t="n"/>
      <c r="N15" s="7" t="n"/>
      <c r="O15" s="8" t="n">
        <v>0.32</v>
      </c>
      <c r="P15" s="8" t="n">
        <v>6.4</v>
      </c>
    </row>
    <row r="16" ht="110" customHeight="1">
      <c r="A16" s="3" t="inlineStr">
        <is>
          <t>12755539</t>
        </is>
      </c>
      <c r="B16" s="3" t="inlineStr">
        <is>
          <t>06-05-2026</t>
        </is>
      </c>
      <c r="C16" s="3" t="inlineStr">
        <is>
          <t>Plaza</t>
        </is>
      </c>
      <c r="D16" s="3" t="inlineStr">
        <is>
          <t>89829</t>
        </is>
      </c>
      <c r="E16" s="4" t="inlineStr">
        <is>
          <t>TUL Tresor</t>
        </is>
      </c>
      <c r="F16" s="4" t="inlineStr"/>
      <c r="G16" s="4" t="inlineStr">
        <is>
          <t>COLOR Rosa · ALTURA 44 cm · PESO/TALLO 46 gr</t>
        </is>
      </c>
      <c r="H16" s="3" t="inlineStr"/>
      <c r="I16" s="3" t="n">
        <v>50</v>
      </c>
      <c r="J16" s="3" t="inlineStr">
        <is>
          <t>50 шт.</t>
        </is>
      </c>
      <c r="K16" s="4">
        <f>IMAGE("https://cdn.verdnatura.es/image/catalog/1600x900/89829")</f>
        <v/>
      </c>
      <c r="L16" s="5" t="n"/>
      <c r="M16" s="6" t="n"/>
      <c r="N16" s="7" t="n"/>
      <c r="O16" s="8" t="n">
        <v>0.57</v>
      </c>
      <c r="P16" s="8" t="n">
        <v>28.5</v>
      </c>
    </row>
    <row r="17" ht="26" customHeight="1">
      <c r="A17" s="2" t="inlineStr">
        <is>
          <t>📦  Накладная #12755630  ·  06-05-2026  ·  Plaza  ·  1 позиций  ·  bultos: 1</t>
        </is>
      </c>
    </row>
    <row r="18" ht="110" customHeight="1">
      <c r="A18" s="3" t="inlineStr">
        <is>
          <t>12755630</t>
        </is>
      </c>
      <c r="B18" s="3" t="inlineStr">
        <is>
          <t>06-05-2026</t>
        </is>
      </c>
      <c r="C18" s="3" t="inlineStr">
        <is>
          <t>Plaza</t>
        </is>
      </c>
      <c r="D18" s="3" t="inlineStr">
        <is>
          <t>189310</t>
        </is>
      </c>
      <c r="E18" s="4" t="inlineStr">
        <is>
          <t>Set de 3 Macetas Duets</t>
        </is>
      </c>
      <c r="F18" s="4" t="inlineStr">
        <is>
          <t>Mega Ceramics</t>
        </is>
      </c>
      <c r="G18" s="4" t="inlineStr">
        <is>
          <t>ALTURA 22 cm · DIAMETRO 24.5 cm · DIAMETRO BOCA 22 cm</t>
        </is>
      </c>
      <c r="H18" s="3" t="inlineStr"/>
      <c r="I18" s="3" t="n">
        <v>2</v>
      </c>
      <c r="J18" s="3" t="inlineStr">
        <is>
          <t>2 шт.</t>
        </is>
      </c>
      <c r="K18" s="4">
        <f>IMAGE("https://cdn.verdnatura.es/image/catalog/1600x900/189310")</f>
        <v/>
      </c>
      <c r="L18" s="5" t="n"/>
      <c r="M18" s="6" t="n"/>
      <c r="N18" s="7" t="n"/>
      <c r="O18" s="8" t="n">
        <v>19.35</v>
      </c>
      <c r="P18" s="8" t="n">
        <v>38.7</v>
      </c>
    </row>
    <row r="19" ht="26" customHeight="1">
      <c r="A19" s="2" t="inlineStr">
        <is>
          <t>📦  Накладная #12756817  ·  06-05-2026  ·  Plaza  ·  9 позиций  ·  bultos: 1</t>
        </is>
      </c>
    </row>
    <row r="20" ht="110" customHeight="1">
      <c r="A20" s="3" t="inlineStr">
        <is>
          <t>12756817</t>
        </is>
      </c>
      <c r="B20" s="3" t="inlineStr">
        <is>
          <t>06-05-2026</t>
        </is>
      </c>
      <c r="C20" s="3" t="inlineStr">
        <is>
          <t>Plaza</t>
        </is>
      </c>
      <c r="D20" s="3" t="inlineStr">
        <is>
          <t>185758</t>
        </is>
      </c>
      <c r="E20" s="4" t="inlineStr">
        <is>
          <t>+ CL Jodie SEL</t>
        </is>
      </c>
      <c r="F20" s="4" t="inlineStr">
        <is>
          <t>Latin Flowers</t>
        </is>
      </c>
      <c r="G20" s="4" t="inlineStr">
        <is>
          <t>COLOR Rosa Claro · ALTURA 70 cm · Nº TALLOS 25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IMAGE("https://cdn.verdnatura.es/image/catalog/1600x900/185758")</f>
        <v/>
      </c>
      <c r="L20" s="5" t="n"/>
      <c r="M20" s="6" t="n"/>
      <c r="N20" s="7" t="n"/>
      <c r="O20" s="8" t="n">
        <v>0.18</v>
      </c>
      <c r="P20" s="8" t="n">
        <v>9</v>
      </c>
    </row>
    <row r="21" ht="110" customHeight="1">
      <c r="A21" s="3" t="inlineStr">
        <is>
          <t>12756817</t>
        </is>
      </c>
      <c r="B21" s="3" t="inlineStr">
        <is>
          <t>06-05-2026</t>
        </is>
      </c>
      <c r="C21" s="3" t="inlineStr">
        <is>
          <t>Plaza</t>
        </is>
      </c>
      <c r="D21" s="3" t="inlineStr">
        <is>
          <t>12592</t>
        </is>
      </c>
      <c r="E21" s="4" t="inlineStr">
        <is>
          <t>ALS Fucsia FCY</t>
        </is>
      </c>
      <c r="F21" s="4" t="inlineStr">
        <is>
          <t>Benchmark</t>
        </is>
      </c>
      <c r="G21" s="4" t="inlineStr">
        <is>
          <t>COLOR Fucsia · ALTURA 60 cm</t>
        </is>
      </c>
      <c r="H21" s="3" t="inlineStr"/>
      <c r="I21" s="3" t="n">
        <v>40</v>
      </c>
      <c r="J21" s="3" t="inlineStr">
        <is>
          <t>40 шт.</t>
        </is>
      </c>
      <c r="K21" s="4">
        <f>IMAGE("https://cdn.verdnatura.es/image/catalog/1600x900/12592")</f>
        <v/>
      </c>
      <c r="L21" s="5" t="n"/>
      <c r="M21" s="6" t="n"/>
      <c r="N21" s="7" t="n"/>
      <c r="O21" s="8" t="n">
        <v>0.23</v>
      </c>
      <c r="P21" s="8" t="n">
        <v>9.199999999999999</v>
      </c>
    </row>
    <row r="22" ht="110" customHeight="1">
      <c r="A22" s="3" t="inlineStr">
        <is>
          <t>12756817</t>
        </is>
      </c>
      <c r="B22" s="3" t="inlineStr">
        <is>
          <t>06-05-2026</t>
        </is>
      </c>
      <c r="C22" s="3" t="inlineStr">
        <is>
          <t>Plaza</t>
        </is>
      </c>
      <c r="D22" s="3" t="inlineStr">
        <is>
          <t>148289</t>
        </is>
      </c>
      <c r="E22" s="4" t="inlineStr">
        <is>
          <t>ALS Red Queen SUP</t>
        </is>
      </c>
      <c r="F22" s="4" t="inlineStr">
        <is>
          <t>Santa Dorotea</t>
        </is>
      </c>
      <c r="G22" s="4" t="inlineStr">
        <is>
          <t>COLOR Rojo · ALTURA 80 cm</t>
        </is>
      </c>
      <c r="H22" s="3" t="inlineStr"/>
      <c r="I22" s="3" t="n">
        <v>30</v>
      </c>
      <c r="J22" s="3" t="inlineStr">
        <is>
          <t>30 шт.</t>
        </is>
      </c>
      <c r="K22" s="4">
        <f>IMAGE("https://cdn.verdnatura.es/image/catalog/1600x900/148289")</f>
        <v/>
      </c>
      <c r="L22" s="5" t="n"/>
      <c r="M22" s="6" t="n"/>
      <c r="N22" s="7" t="n"/>
      <c r="O22" s="8" t="n">
        <v>0.39</v>
      </c>
      <c r="P22" s="8" t="n">
        <v>11.7</v>
      </c>
    </row>
    <row r="23" ht="110" customHeight="1">
      <c r="A23" s="3" t="inlineStr">
        <is>
          <t>12756817</t>
        </is>
      </c>
      <c r="B23" s="3" t="inlineStr">
        <is>
          <t>06-05-2026</t>
        </is>
      </c>
      <c r="C23" s="3" t="inlineStr">
        <is>
          <t>Plaza</t>
        </is>
      </c>
      <c r="D23" s="3" t="inlineStr">
        <is>
          <t>162966</t>
        </is>
      </c>
      <c r="E23" s="4" t="inlineStr">
        <is>
          <t>CL Heaven Teñido</t>
        </is>
      </c>
      <c r="F23" s="4" t="inlineStr">
        <is>
          <t>Santa Dorotea EXPORT</t>
        </is>
      </c>
      <c r="G23" s="4" t="inlineStr">
        <is>
          <t>COLOR Celeste · ALTURA 70 cm · Nº TALLOS 20</t>
        </is>
      </c>
      <c r="H23" s="3" t="inlineStr"/>
      <c r="I23" s="3" t="n">
        <v>20</v>
      </c>
      <c r="J23" s="3" t="inlineStr">
        <is>
          <t>20 шт.</t>
        </is>
      </c>
      <c r="K23" s="4">
        <f>IMAGE("https://cdn.verdnatura.es/image/catalog/1600x900/162966")</f>
        <v/>
      </c>
      <c r="L23" s="5" t="n"/>
      <c r="M23" s="6" t="n"/>
      <c r="N23" s="7" t="n"/>
      <c r="O23" s="8" t="n">
        <v>0.4</v>
      </c>
      <c r="P23" s="8" t="n">
        <v>8</v>
      </c>
    </row>
    <row r="24" ht="110" customHeight="1">
      <c r="A24" s="3" t="inlineStr">
        <is>
          <t>12756817</t>
        </is>
      </c>
      <c r="B24" s="3" t="inlineStr">
        <is>
          <t>06-05-2026</t>
        </is>
      </c>
      <c r="C24" s="3" t="inlineStr">
        <is>
          <t>Plaza</t>
        </is>
      </c>
      <c r="D24" s="3" t="inlineStr">
        <is>
          <t>161719</t>
        </is>
      </c>
      <c r="E24" s="4" t="inlineStr">
        <is>
          <t>CL MIN Brown Sugar SEL</t>
        </is>
      </c>
      <c r="F24" s="4" t="inlineStr">
        <is>
          <t>Colibrí EXPORT</t>
        </is>
      </c>
      <c r="G24" s="4" t="inlineStr">
        <is>
          <t>COLOR Crema/Rosa · ALTURA 70 cm · Nº TALLOS 20</t>
        </is>
      </c>
      <c r="H24" s="3" t="inlineStr"/>
      <c r="I24" s="3" t="n">
        <v>40</v>
      </c>
      <c r="J24" s="3" t="inlineStr">
        <is>
          <t>40 шт.</t>
        </is>
      </c>
      <c r="K24" s="4">
        <f>IMAGE("https://cdn.verdnatura.es/image/catalog/1600x900/161719")</f>
        <v/>
      </c>
      <c r="L24" s="5" t="n"/>
      <c r="M24" s="6" t="n"/>
      <c r="N24" s="7" t="n"/>
      <c r="O24" s="8" t="n">
        <v>0.3</v>
      </c>
      <c r="P24" s="8" t="n">
        <v>12</v>
      </c>
    </row>
    <row r="25" ht="110" customHeight="1">
      <c r="A25" s="3" t="inlineStr">
        <is>
          <t>12756817</t>
        </is>
      </c>
      <c r="B25" s="3" t="inlineStr">
        <is>
          <t>06-05-2026</t>
        </is>
      </c>
      <c r="C25" s="3" t="inlineStr">
        <is>
          <t>Plaza</t>
        </is>
      </c>
      <c r="D25" s="3" t="inlineStr">
        <is>
          <t>36764</t>
        </is>
      </c>
      <c r="E25" s="4" t="inlineStr">
        <is>
          <t>PAN Roja MA 30 gr</t>
        </is>
      </c>
      <c r="F25" s="4" t="inlineStr">
        <is>
          <t>Malima</t>
        </is>
      </c>
      <c r="G25" s="4" t="inlineStr">
        <is>
          <t>COLOR Rojo · ALTURA 75 cm · TAMAÑO FLOR XL</t>
        </is>
      </c>
      <c r="H25" s="3" t="inlineStr"/>
      <c r="I25" s="3" t="n">
        <v>25</v>
      </c>
      <c r="J25" s="3" t="inlineStr">
        <is>
          <t>25 шт.</t>
        </is>
      </c>
      <c r="K25" s="4">
        <f>IMAGE("https://cdn.verdnatura.es/image/catalog/1600x900/36764")</f>
        <v/>
      </c>
      <c r="L25" s="5" t="n"/>
      <c r="M25" s="6" t="n"/>
      <c r="N25" s="7" t="n"/>
      <c r="O25" s="8" t="n">
        <v>0.47</v>
      </c>
      <c r="P25" s="8" t="n">
        <v>11.75</v>
      </c>
    </row>
    <row r="26" ht="110" customHeight="1">
      <c r="A26" s="3" t="inlineStr">
        <is>
          <t>12756817</t>
        </is>
      </c>
      <c r="B26" s="3" t="inlineStr">
        <is>
          <t>06-05-2026</t>
        </is>
      </c>
      <c r="C26" s="3" t="inlineStr">
        <is>
          <t>Plaza</t>
        </is>
      </c>
      <c r="D26" s="3" t="inlineStr">
        <is>
          <t>171538</t>
        </is>
      </c>
      <c r="E26" s="4" t="inlineStr">
        <is>
          <t>PAN Small Bloom SD 30 gr</t>
        </is>
      </c>
      <c r="F26" s="4" t="inlineStr">
        <is>
          <t>Santa Dorotea</t>
        </is>
      </c>
      <c r="G26" s="4" t="inlineStr">
        <is>
          <t>COLOR Blanco · ALTURA 80 cm · TAMAÑO FLOR S</t>
        </is>
      </c>
      <c r="H26" s="3" t="inlineStr"/>
      <c r="I26" s="3" t="n">
        <v>25</v>
      </c>
      <c r="J26" s="3" t="inlineStr">
        <is>
          <t>25 шт.</t>
        </is>
      </c>
      <c r="K26" s="4">
        <f>IMAGE("https://cdn.verdnatura.es/image/catalog/1600x900/171538")</f>
        <v/>
      </c>
      <c r="L26" s="5" t="n"/>
      <c r="M26" s="6" t="n"/>
      <c r="N26" s="7" t="n"/>
      <c r="O26" s="8" t="n">
        <v>0.44</v>
      </c>
      <c r="P26" s="8" t="n">
        <v>11</v>
      </c>
    </row>
    <row r="27" ht="110" customHeight="1">
      <c r="A27" s="3" t="inlineStr">
        <is>
          <t>12756817</t>
        </is>
      </c>
      <c r="B27" s="3" t="inlineStr">
        <is>
          <t>06-05-2026</t>
        </is>
      </c>
      <c r="C27" s="3" t="inlineStr">
        <is>
          <t>Plaza</t>
        </is>
      </c>
      <c r="D27" s="3" t="inlineStr">
        <is>
          <t>127638</t>
        </is>
      </c>
      <c r="E27" s="4" t="inlineStr">
        <is>
          <t>RS Idole EXT</t>
        </is>
      </c>
      <c r="F27" s="4" t="inlineStr">
        <is>
          <t>EQR</t>
        </is>
      </c>
      <c r="G27" s="4" t="inlineStr">
        <is>
          <t>COLOR Amarillo · ALTURA 50 cm · BOTÓN MINIMO 6 cm</t>
        </is>
      </c>
      <c r="H27" s="3" t="inlineStr"/>
      <c r="I27" s="3" t="n">
        <v>25</v>
      </c>
      <c r="J27" s="3" t="inlineStr">
        <is>
          <t>25 шт.</t>
        </is>
      </c>
      <c r="K27" s="4">
        <f>IMAGE("https://cdn.verdnatura.es/image/catalog/1600x900/127638")</f>
        <v/>
      </c>
      <c r="L27" s="5" t="n"/>
      <c r="M27" s="6" t="n"/>
      <c r="N27" s="7" t="n"/>
      <c r="O27" s="8" t="n">
        <v>0.6</v>
      </c>
      <c r="P27" s="8" t="n">
        <v>15</v>
      </c>
    </row>
    <row r="28" ht="110" customHeight="1">
      <c r="A28" s="3" t="inlineStr">
        <is>
          <t>12756817</t>
        </is>
      </c>
      <c r="B28" s="3" t="inlineStr">
        <is>
          <t>06-05-2026</t>
        </is>
      </c>
      <c r="C28" s="3" t="inlineStr">
        <is>
          <t>Plaza</t>
        </is>
      </c>
      <c r="D28" s="3" t="inlineStr">
        <is>
          <t>137268</t>
        </is>
      </c>
      <c r="E28" s="4" t="inlineStr">
        <is>
          <t>RS Mondial EXT</t>
        </is>
      </c>
      <c r="F28" s="4" t="inlineStr">
        <is>
          <t>Santa Dorotea</t>
        </is>
      </c>
      <c r="G28" s="4" t="inlineStr">
        <is>
          <t>COLOR Blanco · ALTURA 60 cm · BOTÓN MINIMO 6 cm</t>
        </is>
      </c>
      <c r="H28" s="3" t="inlineStr"/>
      <c r="I28" s="3" t="n">
        <v>25</v>
      </c>
      <c r="J28" s="3" t="inlineStr">
        <is>
          <t>25 шт.</t>
        </is>
      </c>
      <c r="K28" s="4">
        <f>IMAGE("https://cdn.verdnatura.es/image/catalog/1600x900/137268")</f>
        <v/>
      </c>
      <c r="L28" s="5" t="n"/>
      <c r="M28" s="6" t="n"/>
      <c r="N28" s="7" t="n"/>
      <c r="O28" s="8" t="n">
        <v>0.7</v>
      </c>
      <c r="P28" s="8" t="n">
        <v>17.5</v>
      </c>
    </row>
  </sheetData>
  <mergeCells count="4">
    <mergeCell ref="A17:P17"/>
    <mergeCell ref="A5:P5"/>
    <mergeCell ref="A19:P1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2026-06-22T21:39:04Z</dcterms:created>
  <dcterms:modified xmlns:dcterms="http://purl.org/dc/terms/" xmlns:xsi="http://www.w3.org/2001/XMLSchema-instance" xsi:type="dcterms:W3CDTF">2026-06-22T21:39:04Z</dcterms:modified>
</cp:coreProperties>
</file>