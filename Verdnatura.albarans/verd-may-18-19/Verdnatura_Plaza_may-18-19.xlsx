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#12790401  ·  17-05-2026  ·  Plaza  ·  1 позиций  ·  bultos: 2</t>
        </is>
      </c>
    </row>
    <row r="3" ht="110" customHeight="1">
      <c r="A3" s="3" t="inlineStr">
        <is>
          <t>12790401</t>
        </is>
      </c>
      <c r="B3" s="3" t="inlineStr">
        <is>
          <t>17-05-2026</t>
        </is>
      </c>
      <c r="C3" s="3" t="inlineStr">
        <is>
          <t>Plaza</t>
        </is>
      </c>
      <c r="D3" s="3" t="inlineStr">
        <is>
          <t>202217</t>
        </is>
      </c>
      <c r="E3" s="4" t="inlineStr">
        <is>
          <t>Crassula Ovata</t>
        </is>
      </c>
      <c r="F3" s="4" t="inlineStr">
        <is>
          <t>Amigo Plant</t>
        </is>
      </c>
      <c r="G3" s="4" t="inlineStr">
        <is>
          <t>COLOR Verde · ALTURA 60 cm · MACETA 30</t>
        </is>
      </c>
      <c r="H3" s="3" t="inlineStr"/>
      <c r="I3" s="3" t="n">
        <v>4</v>
      </c>
      <c r="J3" s="3" t="inlineStr">
        <is>
          <t>4 шт.</t>
        </is>
      </c>
      <c r="K3" s="4">
        <f>IMAGE("https://cdn.verdnatura.es/image/catalog/1600x900/202217")</f>
        <v/>
      </c>
      <c r="L3" s="5" t="n"/>
      <c r="M3" s="6" t="n"/>
      <c r="N3" s="7" t="n"/>
      <c r="O3" s="8" t="n">
        <v>19.67</v>
      </c>
      <c r="P3" s="8" t="n">
        <v>78.68000000000001</v>
      </c>
    </row>
    <row r="4" ht="26" customHeight="1">
      <c r="A4" s="2" t="inlineStr">
        <is>
          <t>📦  Накладная #12812664  ·  17-05-2026  ·  Plaza  ·  9 позиций  ·  bultos: 1</t>
        </is>
      </c>
    </row>
    <row r="5" ht="110" customHeight="1">
      <c r="A5" s="3" t="inlineStr">
        <is>
          <t>12812664</t>
        </is>
      </c>
      <c r="B5" s="3" t="inlineStr">
        <is>
          <t>17-05-2026</t>
        </is>
      </c>
      <c r="C5" s="3" t="inlineStr">
        <is>
          <t>Plaza</t>
        </is>
      </c>
      <c r="D5" s="3" t="inlineStr">
        <is>
          <t>114770</t>
        </is>
      </c>
      <c r="E5" s="4" t="inlineStr">
        <is>
          <t>EUC Cinerea 300 gr</t>
        </is>
      </c>
      <c r="F5" s="4" t="inlineStr"/>
      <c r="G5" s="4" t="inlineStr">
        <is>
          <t>COLOR Lividum · ALTURA 70 cm</t>
        </is>
      </c>
      <c r="H5" s="3" t="inlineStr">
        <is>
          <t>Paquete</t>
        </is>
      </c>
      <c r="I5" s="3" t="n">
        <v>3</v>
      </c>
      <c r="J5" s="3" t="inlineStr">
        <is>
          <t>3 пачек</t>
        </is>
      </c>
      <c r="K5" s="4">
        <f>IMAGE("https://cdn.verdnatura.es/image/catalog/1600x900/114770")</f>
        <v/>
      </c>
      <c r="L5" s="5" t="n"/>
      <c r="M5" s="6" t="n"/>
      <c r="N5" s="7" t="n"/>
      <c r="O5" s="8" t="n">
        <v>3.7</v>
      </c>
      <c r="P5" s="8" t="n">
        <v>11.1</v>
      </c>
    </row>
    <row r="6" ht="110" customHeight="1">
      <c r="A6" s="3" t="inlineStr">
        <is>
          <t>12812664</t>
        </is>
      </c>
      <c r="B6" s="3" t="inlineStr">
        <is>
          <t>17-05-2026</t>
        </is>
      </c>
      <c r="C6" s="3" t="inlineStr">
        <is>
          <t>Plaza</t>
        </is>
      </c>
      <c r="D6" s="3" t="inlineStr">
        <is>
          <t>201547</t>
        </is>
      </c>
      <c r="E6" s="4" t="inlineStr">
        <is>
          <t>LIM N SIN Joy Pink</t>
        </is>
      </c>
      <c r="F6" s="4" t="inlineStr">
        <is>
          <t>Group Leader</t>
        </is>
      </c>
      <c r="G6" s="4" t="inlineStr">
        <is>
          <t>COLOR Rosa · ALTURA 80 cm · PESO/TALLO 40 gr</t>
        </is>
      </c>
      <c r="H6" s="3" t="inlineStr"/>
      <c r="I6" s="3" t="n">
        <v>25</v>
      </c>
      <c r="J6" s="3" t="inlineStr">
        <is>
          <t>25 шт.</t>
        </is>
      </c>
      <c r="K6" s="4">
        <f>IMAGE("https://cdn.verdnatura.es/image/catalog/1600x900/201547")</f>
        <v/>
      </c>
      <c r="L6" s="5" t="n"/>
      <c r="M6" s="6" t="n"/>
      <c r="N6" s="7" t="n"/>
      <c r="O6" s="8" t="n">
        <v>0.6899999999999999</v>
      </c>
      <c r="P6" s="8" t="n">
        <v>17.25</v>
      </c>
    </row>
    <row r="7" ht="110" customHeight="1">
      <c r="A7" s="3" t="inlineStr">
        <is>
          <t>12812664</t>
        </is>
      </c>
      <c r="B7" s="3" t="inlineStr">
        <is>
          <t>17-05-2026</t>
        </is>
      </c>
      <c r="C7" s="3" t="inlineStr">
        <is>
          <t>Plaza</t>
        </is>
      </c>
      <c r="D7" s="3" t="inlineStr">
        <is>
          <t>59040</t>
        </is>
      </c>
      <c r="E7" s="4" t="inlineStr">
        <is>
          <t>PAN Amarilla MA 30 gr</t>
        </is>
      </c>
      <c r="F7" s="4" t="inlineStr">
        <is>
          <t>Malima</t>
        </is>
      </c>
      <c r="G7" s="4" t="inlineStr">
        <is>
          <t>COLOR Amarillo · ALTURA 75 cm · TAMAÑO FLOR XL</t>
        </is>
      </c>
      <c r="H7" s="3" t="inlineStr"/>
      <c r="I7" s="3" t="n">
        <v>25</v>
      </c>
      <c r="J7" s="3" t="inlineStr">
        <is>
          <t>25 шт.</t>
        </is>
      </c>
      <c r="K7" s="4">
        <f>IMAGE("https://cdn.verdnatura.es/image/catalog/1600x900/59040")</f>
        <v/>
      </c>
      <c r="L7" s="5" t="n"/>
      <c r="M7" s="6" t="n"/>
      <c r="N7" s="7" t="n"/>
      <c r="O7" s="8" t="n">
        <v>0.48</v>
      </c>
      <c r="P7" s="8" t="n">
        <v>12</v>
      </c>
    </row>
    <row r="8" ht="110" customHeight="1">
      <c r="A8" s="3" t="inlineStr">
        <is>
          <t>12812664</t>
        </is>
      </c>
      <c r="B8" s="3" t="inlineStr">
        <is>
          <t>17-05-2026</t>
        </is>
      </c>
      <c r="C8" s="3" t="inlineStr">
        <is>
          <t>Plaza</t>
        </is>
      </c>
      <c r="D8" s="3" t="inlineStr">
        <is>
          <t>201655</t>
        </is>
      </c>
      <c r="E8" s="4" t="inlineStr">
        <is>
          <t>PAN Discovery NAC 40 gr</t>
        </is>
      </c>
      <c r="F8" s="4" t="inlineStr">
        <is>
          <t>Los Ritas</t>
        </is>
      </c>
      <c r="G8" s="4" t="inlineStr">
        <is>
          <t>COLOR Blanco · ALTURA 80 cm · TAMAÑO FLOR S</t>
        </is>
      </c>
      <c r="H8" s="3" t="inlineStr"/>
      <c r="I8" s="3" t="n">
        <v>25</v>
      </c>
      <c r="J8" s="3" t="inlineStr">
        <is>
          <t>25 шт.</t>
        </is>
      </c>
      <c r="K8" s="4">
        <f>IMAGE("https://cdn.verdnatura.es/image/catalog/1600x900/201655")</f>
        <v/>
      </c>
      <c r="L8" s="5" t="n"/>
      <c r="M8" s="6" t="n"/>
      <c r="N8" s="7" t="n"/>
      <c r="O8" s="8" t="n">
        <v>0.34</v>
      </c>
      <c r="P8" s="8" t="n">
        <v>8.5</v>
      </c>
    </row>
    <row r="9" ht="110" customHeight="1">
      <c r="A9" s="3" t="inlineStr">
        <is>
          <t>12812664</t>
        </is>
      </c>
      <c r="B9" s="3" t="inlineStr">
        <is>
          <t>17-05-2026</t>
        </is>
      </c>
      <c r="C9" s="3" t="inlineStr">
        <is>
          <t>Plaza</t>
        </is>
      </c>
      <c r="D9" s="3" t="inlineStr">
        <is>
          <t>36764</t>
        </is>
      </c>
      <c r="E9" s="4" t="inlineStr">
        <is>
          <t>PAN Roja MA 30 gr</t>
        </is>
      </c>
      <c r="F9" s="4" t="inlineStr">
        <is>
          <t>Malima</t>
        </is>
      </c>
      <c r="G9" s="4" t="inlineStr">
        <is>
          <t>COLOR Rojo · ALTURA 75 cm · TAMAÑO FLOR XL</t>
        </is>
      </c>
      <c r="H9" s="3" t="inlineStr"/>
      <c r="I9" s="3" t="n">
        <v>25</v>
      </c>
      <c r="J9" s="3" t="inlineStr">
        <is>
          <t>25 шт.</t>
        </is>
      </c>
      <c r="K9" s="4">
        <f>IMAGE("https://cdn.verdnatura.es/image/catalog/1600x900/36764")</f>
        <v/>
      </c>
      <c r="L9" s="5" t="n"/>
      <c r="M9" s="6" t="n"/>
      <c r="N9" s="7" t="n"/>
      <c r="O9" s="8" t="n">
        <v>0.48</v>
      </c>
      <c r="P9" s="8" t="n">
        <v>12</v>
      </c>
    </row>
    <row r="10" ht="110" customHeight="1">
      <c r="A10" s="3" t="inlineStr">
        <is>
          <t>12812664</t>
        </is>
      </c>
      <c r="B10" s="3" t="inlineStr">
        <is>
          <t>17-05-2026</t>
        </is>
      </c>
      <c r="C10" s="3" t="inlineStr">
        <is>
          <t>Plaza</t>
        </is>
      </c>
      <c r="D10" s="3" t="inlineStr">
        <is>
          <t>137268</t>
        </is>
      </c>
      <c r="E10" s="4" t="inlineStr">
        <is>
          <t>RS Mondial EXT</t>
        </is>
      </c>
      <c r="F10" s="4" t="inlineStr">
        <is>
          <t>Santa Dorotea</t>
        </is>
      </c>
      <c r="G10" s="4" t="inlineStr">
        <is>
          <t>COLOR Blanco · ALTURA 60 cm · BOTÓN MINIMO 6 cm</t>
        </is>
      </c>
      <c r="H10" s="3" t="inlineStr"/>
      <c r="I10" s="3" t="n">
        <v>25</v>
      </c>
      <c r="J10" s="3" t="inlineStr">
        <is>
          <t>25 шт.</t>
        </is>
      </c>
      <c r="K10" s="4">
        <f>IMAGE("https://cdn.verdnatura.es/image/catalog/1600x900/137268")</f>
        <v/>
      </c>
      <c r="L10" s="5" t="n"/>
      <c r="M10" s="6" t="n"/>
      <c r="N10" s="7" t="n"/>
      <c r="O10" s="8" t="n">
        <v>0.7</v>
      </c>
      <c r="P10" s="8" t="n">
        <v>17.5</v>
      </c>
    </row>
    <row r="11" ht="110" customHeight="1">
      <c r="A11" s="3" t="inlineStr">
        <is>
          <t>12812664</t>
        </is>
      </c>
      <c r="B11" s="3" t="inlineStr">
        <is>
          <t>17-05-2026</t>
        </is>
      </c>
      <c r="C11" s="3" t="inlineStr">
        <is>
          <t>Plaza</t>
        </is>
      </c>
      <c r="D11" s="3" t="inlineStr">
        <is>
          <t>176144</t>
        </is>
      </c>
      <c r="E11" s="4" t="inlineStr">
        <is>
          <t>RS Redvolution SEL</t>
        </is>
      </c>
      <c r="F11" s="4" t="inlineStr">
        <is>
          <t>Agrivaldani</t>
        </is>
      </c>
      <c r="G11" s="4" t="inlineStr">
        <is>
          <t>COLOR Rojo · ALTURA 60 cm · BOTÓN MINIMO 5.5 cm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IMAGE("https://cdn.verdnatura.es/image/catalog/1600x900/176144")</f>
        <v/>
      </c>
      <c r="L11" s="5" t="n"/>
      <c r="M11" s="6" t="n"/>
      <c r="N11" s="7" t="n"/>
      <c r="O11" s="8" t="n">
        <v>0.63</v>
      </c>
      <c r="P11" s="8" t="n">
        <v>15.75</v>
      </c>
    </row>
    <row r="12" ht="110" customHeight="1">
      <c r="A12" s="3" t="inlineStr">
        <is>
          <t>12812664</t>
        </is>
      </c>
      <c r="B12" s="3" t="inlineStr">
        <is>
          <t>17-05-2026</t>
        </is>
      </c>
      <c r="C12" s="3" t="inlineStr">
        <is>
          <t>Plaza</t>
        </is>
      </c>
      <c r="D12" s="3" t="inlineStr">
        <is>
          <t>162291</t>
        </is>
      </c>
      <c r="E12" s="4" t="inlineStr">
        <is>
          <t>TUL Cairns Fringed</t>
        </is>
      </c>
      <c r="F12" s="4" t="inlineStr"/>
      <c r="G12" s="4" t="inlineStr">
        <is>
          <t>COLOR Rosa · ALTURA 34 cm · PESO/TALLO 40 gr</t>
        </is>
      </c>
      <c r="H12" s="3" t="inlineStr"/>
      <c r="I12" s="3" t="n">
        <v>50</v>
      </c>
      <c r="J12" s="3" t="inlineStr">
        <is>
          <t>50 шт.</t>
        </is>
      </c>
      <c r="K12" s="4">
        <f>IMAGE("https://cdn.verdnatura.es/image/catalog/1600x900/162291")</f>
        <v/>
      </c>
      <c r="L12" s="5" t="n"/>
      <c r="M12" s="6" t="n"/>
      <c r="N12" s="7" t="n"/>
      <c r="O12" s="8" t="n">
        <v>0.5</v>
      </c>
      <c r="P12" s="8" t="n">
        <v>25</v>
      </c>
    </row>
    <row r="13" ht="110" customHeight="1">
      <c r="A13" s="3" t="inlineStr">
        <is>
          <t>12812664</t>
        </is>
      </c>
      <c r="B13" s="3" t="inlineStr">
        <is>
          <t>17-05-2026</t>
        </is>
      </c>
      <c r="C13" s="3" t="inlineStr">
        <is>
          <t>Plaza</t>
        </is>
      </c>
      <c r="D13" s="3" t="inlineStr">
        <is>
          <t>201746</t>
        </is>
      </c>
      <c r="E13" s="4" t="inlineStr">
        <is>
          <t>TUL Everton</t>
        </is>
      </c>
      <c r="F13" s="4" t="inlineStr"/>
      <c r="G13" s="4" t="inlineStr">
        <is>
          <t>COLOR Rojo · ALTURA 38 cm · PESO/TALLO 38 gr</t>
        </is>
      </c>
      <c r="H13" s="3" t="inlineStr"/>
      <c r="I13" s="3" t="n">
        <v>100</v>
      </c>
      <c r="J13" s="3" t="inlineStr">
        <is>
          <t>100 шт.</t>
        </is>
      </c>
      <c r="K13" s="4">
        <f>IMAGE("https://cdn.verdnatura.es/image/catalog/1600x900/201746")</f>
        <v/>
      </c>
      <c r="L13" s="5" t="n"/>
      <c r="M13" s="6" t="n"/>
      <c r="N13" s="7" t="n"/>
      <c r="O13" s="8" t="n">
        <v>0.39</v>
      </c>
      <c r="P13" s="8" t="n">
        <v>39</v>
      </c>
    </row>
    <row r="14" ht="26" customHeight="1">
      <c r="A14" s="2" t="inlineStr">
        <is>
          <t>📦  Накладная #12813446  ·  17-05-2026  ·  Plaza  ·  1 позиций  ·  bultos: 1</t>
        </is>
      </c>
    </row>
    <row r="15" ht="110" customHeight="1">
      <c r="A15" s="3" t="inlineStr">
        <is>
          <t>12813446</t>
        </is>
      </c>
      <c r="B15" s="3" t="inlineStr">
        <is>
          <t>17-05-2026</t>
        </is>
      </c>
      <c r="C15" s="3" t="inlineStr">
        <is>
          <t>Plaza</t>
        </is>
      </c>
      <c r="D15" s="3" t="inlineStr">
        <is>
          <t>195608</t>
        </is>
      </c>
      <c r="E15" s="4" t="inlineStr">
        <is>
          <t>Set de 3 Cestas Gala Cylinder</t>
        </is>
      </c>
      <c r="F15" s="4" t="inlineStr">
        <is>
          <t>Mega Ceramics</t>
        </is>
      </c>
      <c r="G15" s="4" t="inlineStr">
        <is>
          <t>ALTURA 30 cm · DIAMETRO 35 cm · DIAMETRO BOCA 33 cm</t>
        </is>
      </c>
      <c r="H15" s="3" t="inlineStr"/>
      <c r="I15" s="3" t="n">
        <v>2</v>
      </c>
      <c r="J15" s="3" t="inlineStr">
        <is>
          <t>2 шт.</t>
        </is>
      </c>
      <c r="K15" s="4">
        <f>IMAGE("https://cdn.verdnatura.es/image/catalog/1600x900/195608")</f>
        <v/>
      </c>
      <c r="L15" s="5" t="n"/>
      <c r="M15" s="6" t="n"/>
      <c r="N15" s="7" t="n"/>
      <c r="O15" s="8" t="n">
        <v>29.43</v>
      </c>
      <c r="P15" s="8" t="n">
        <v>58.86</v>
      </c>
    </row>
    <row r="16" ht="26" customHeight="1">
      <c r="A16" s="2" t="inlineStr">
        <is>
          <t>📦  Накладная #12814390  ·  17-05-2026  ·  Plaza  ·  1 позиций  ·  bultos: 1</t>
        </is>
      </c>
    </row>
    <row r="17" ht="110" customHeight="1">
      <c r="A17" s="3" t="inlineStr">
        <is>
          <t>12814390</t>
        </is>
      </c>
      <c r="B17" s="3" t="inlineStr">
        <is>
          <t>17-05-2026</t>
        </is>
      </c>
      <c r="C17" s="3" t="inlineStr">
        <is>
          <t>Plaza</t>
        </is>
      </c>
      <c r="D17" s="3" t="inlineStr">
        <is>
          <t>139272</t>
        </is>
      </c>
      <c r="E17" s="4" t="inlineStr">
        <is>
          <t>Calas Julia Mix</t>
        </is>
      </c>
      <c r="F17" s="4" t="inlineStr">
        <is>
          <t>Dynaplant</t>
        </is>
      </c>
      <c r="G17" s="4" t="inlineStr">
        <is>
          <t>COLOR Mixto · ALTURA 40 cm · MACETA 15</t>
        </is>
      </c>
      <c r="H17" s="3" t="inlineStr"/>
      <c r="I17" s="3" t="n">
        <v>6</v>
      </c>
      <c r="J17" s="3" t="inlineStr">
        <is>
          <t>6 шт.</t>
        </is>
      </c>
      <c r="K17" s="4">
        <f>IMAGE("https://cdn.verdnatura.es/image/catalog/1600x900/139272")</f>
        <v/>
      </c>
      <c r="L17" s="5" t="n"/>
      <c r="M17" s="6" t="n"/>
      <c r="N17" s="7" t="n"/>
      <c r="O17" s="8" t="n">
        <v>8.640000000000001</v>
      </c>
      <c r="P17" s="8" t="n">
        <v>51.84</v>
      </c>
    </row>
  </sheetData>
  <mergeCells count="4">
    <mergeCell ref="A16:P16"/>
    <mergeCell ref="A14:P14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2026-06-22T21:39:05Z</dcterms:created>
  <dcterms:modified xmlns:dcterms="http://purl.org/dc/terms/" xmlns:xsi="http://www.w3.org/2001/XMLSchema-instance" xsi:type="dcterms:W3CDTF">2026-06-22T21:39:05Z</dcterms:modified>
</cp:coreProperties>
</file>