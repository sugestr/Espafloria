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#12790392  ·  17-05-2026  ·  Blau  ·  1 позиций  ·  bultos: 2</t>
        </is>
      </c>
    </row>
    <row r="3" ht="110" customHeight="1">
      <c r="A3" s="3" t="inlineStr">
        <is>
          <t>12790392</t>
        </is>
      </c>
      <c r="B3" s="3" t="inlineStr">
        <is>
          <t>17-05-2026</t>
        </is>
      </c>
      <c r="C3" s="3" t="inlineStr">
        <is>
          <t>Blau</t>
        </is>
      </c>
      <c r="D3" s="3" t="inlineStr">
        <is>
          <t>202217</t>
        </is>
      </c>
      <c r="E3" s="4" t="inlineStr">
        <is>
          <t>Crassula Ovata</t>
        </is>
      </c>
      <c r="F3" s="4" t="inlineStr">
        <is>
          <t>Amigo Plant</t>
        </is>
      </c>
      <c r="G3" s="4" t="inlineStr">
        <is>
          <t>COLOR Verde · ALTURA 60 cm · MACETA 30</t>
        </is>
      </c>
      <c r="H3" s="3" t="inlineStr"/>
      <c r="I3" s="3" t="n">
        <v>4</v>
      </c>
      <c r="J3" s="3" t="inlineStr">
        <is>
          <t>4 шт.</t>
        </is>
      </c>
      <c r="K3" s="4">
        <f>IMAGE("https://cdn.verdnatura.es/image/catalog/1600x900/202217")</f>
        <v/>
      </c>
      <c r="L3" s="5" t="n"/>
      <c r="M3" s="6" t="n"/>
      <c r="N3" s="7" t="n"/>
      <c r="O3" s="8" t="n">
        <v>20.51</v>
      </c>
      <c r="P3" s="8" t="n">
        <v>82.04000000000001</v>
      </c>
    </row>
    <row r="4" ht="26" customHeight="1">
      <c r="A4" s="2" t="inlineStr">
        <is>
          <t>📦  Накладная #12813445  ·  17-05-2026  ·  Blau  ·  1 позиций  ·  bultos: 1</t>
        </is>
      </c>
    </row>
    <row r="5" ht="110" customHeight="1">
      <c r="A5" s="3" t="inlineStr">
        <is>
          <t>12813445</t>
        </is>
      </c>
      <c r="B5" s="3" t="inlineStr">
        <is>
          <t>17-05-2026</t>
        </is>
      </c>
      <c r="C5" s="3" t="inlineStr">
        <is>
          <t>Blau</t>
        </is>
      </c>
      <c r="D5" s="3" t="inlineStr">
        <is>
          <t>195608</t>
        </is>
      </c>
      <c r="E5" s="4" t="inlineStr">
        <is>
          <t>Set de 3 Cestas Gala Cylinder</t>
        </is>
      </c>
      <c r="F5" s="4" t="inlineStr">
        <is>
          <t>Mega Ceramics</t>
        </is>
      </c>
      <c r="G5" s="4" t="inlineStr">
        <is>
          <t>ALTURA 30 cm · DIAMETRO 35 cm · DIAMETRO BOCA 33 cm</t>
        </is>
      </c>
      <c r="H5" s="3" t="inlineStr"/>
      <c r="I5" s="3" t="n">
        <v>2</v>
      </c>
      <c r="J5" s="3" t="inlineStr">
        <is>
          <t>2 шт.</t>
        </is>
      </c>
      <c r="K5" s="4">
        <f>IMAGE("https://cdn.verdnatura.es/image/catalog/1600x900/195608")</f>
        <v/>
      </c>
      <c r="L5" s="5" t="n"/>
      <c r="M5" s="6" t="n"/>
      <c r="N5" s="7" t="n"/>
      <c r="O5" s="8" t="n">
        <v>29.43</v>
      </c>
      <c r="P5" s="8" t="n">
        <v>58.86</v>
      </c>
    </row>
    <row r="6" ht="26" customHeight="1">
      <c r="A6" s="2" t="inlineStr">
        <is>
          <t>📦  Накладная #12814389  ·  17-05-2026  ·  Blau  ·  2 позиций  ·  bultos: 2</t>
        </is>
      </c>
    </row>
    <row r="7" ht="110" customHeight="1">
      <c r="A7" s="3" t="inlineStr">
        <is>
          <t>12814389</t>
        </is>
      </c>
      <c r="B7" s="3" t="inlineStr">
        <is>
          <t>17-05-2026</t>
        </is>
      </c>
      <c r="C7" s="3" t="inlineStr">
        <is>
          <t>Blau</t>
        </is>
      </c>
      <c r="D7" s="3" t="inlineStr">
        <is>
          <t>139272</t>
        </is>
      </c>
      <c r="E7" s="4" t="inlineStr">
        <is>
          <t>Calas Julia Mix</t>
        </is>
      </c>
      <c r="F7" s="4" t="inlineStr">
        <is>
          <t>Dynaplant</t>
        </is>
      </c>
      <c r="G7" s="4" t="inlineStr">
        <is>
          <t>COLOR Mixto · ALTURA 40 cm · MACETA 15</t>
        </is>
      </c>
      <c r="H7" s="3" t="inlineStr"/>
      <c r="I7" s="3" t="n">
        <v>6</v>
      </c>
      <c r="J7" s="3" t="inlineStr">
        <is>
          <t>6 шт.</t>
        </is>
      </c>
      <c r="K7" s="4">
        <f>IMAGE("https://cdn.verdnatura.es/image/catalog/1600x900/139272")</f>
        <v/>
      </c>
      <c r="L7" s="5" t="n"/>
      <c r="M7" s="6" t="n"/>
      <c r="N7" s="7" t="n"/>
      <c r="O7" s="8" t="n">
        <v>8.640000000000001</v>
      </c>
      <c r="P7" s="8" t="n">
        <v>51.84</v>
      </c>
    </row>
    <row r="8" ht="110" customHeight="1">
      <c r="A8" s="3" t="inlineStr">
        <is>
          <t>12814389</t>
        </is>
      </c>
      <c r="B8" s="3" t="inlineStr">
        <is>
          <t>17-05-2026</t>
        </is>
      </c>
      <c r="C8" s="3" t="inlineStr">
        <is>
          <t>Blau</t>
        </is>
      </c>
      <c r="D8" s="3" t="inlineStr">
        <is>
          <t>114094</t>
        </is>
      </c>
      <c r="E8" s="4" t="inlineStr">
        <is>
          <t>Copa Emperatriz</t>
        </is>
      </c>
      <c r="F8" s="4" t="inlineStr">
        <is>
          <t>Verdnatura</t>
        </is>
      </c>
      <c r="G8" s="4" t="inlineStr">
        <is>
          <t>ALTURA 17.7 cm · DIAMETRO 28.5 cm · DIAMETRO BOCA 25.5 cm</t>
        </is>
      </c>
      <c r="H8" s="3" t="inlineStr"/>
      <c r="I8" s="3" t="n">
        <v>4</v>
      </c>
      <c r="J8" s="3" t="inlineStr">
        <is>
          <t>4 шт.</t>
        </is>
      </c>
      <c r="K8" s="4">
        <f>IMAGE("https://cdn.verdnatura.es/image/catalog/1600x900/114094")</f>
        <v/>
      </c>
      <c r="L8" s="5" t="n"/>
      <c r="M8" s="6" t="n"/>
      <c r="N8" s="7" t="n"/>
      <c r="O8" s="8" t="n">
        <v>9.1</v>
      </c>
      <c r="P8" s="8" t="n">
        <v>36.4</v>
      </c>
    </row>
    <row r="9" ht="26" customHeight="1">
      <c r="A9" s="2" t="inlineStr">
        <is>
          <t>📦  Накладная #12814489  ·  17-05-2026  ·  Blau  ·  1 позиций  ·  bultos: 1</t>
        </is>
      </c>
    </row>
    <row r="10" ht="110" customHeight="1">
      <c r="A10" s="3" t="inlineStr">
        <is>
          <t>12814489</t>
        </is>
      </c>
      <c r="B10" s="3" t="inlineStr">
        <is>
          <t>17-05-2026</t>
        </is>
      </c>
      <c r="C10" s="3" t="inlineStr">
        <is>
          <t>Blau</t>
        </is>
      </c>
      <c r="D10" s="3" t="inlineStr">
        <is>
          <t>16141</t>
        </is>
      </c>
      <c r="E10" s="4" t="inlineStr">
        <is>
          <t>Kentia Howea</t>
        </is>
      </c>
      <c r="F10" s="4" t="inlineStr">
        <is>
          <t>Ornamentales Atlántico SL</t>
        </is>
      </c>
      <c r="G10" s="4" t="inlineStr">
        <is>
          <t>COLOR Verde · ALTURA 140-150 cm · MACETA 20</t>
        </is>
      </c>
      <c r="H10" s="3" t="inlineStr"/>
      <c r="I10" s="3" t="n">
        <v>2</v>
      </c>
      <c r="J10" s="3" t="inlineStr">
        <is>
          <t>2 шт.</t>
        </is>
      </c>
      <c r="K10" s="4">
        <f>IMAGE("https://cdn.verdnatura.es/image/catalog/1600x900/16141")</f>
        <v/>
      </c>
      <c r="L10" s="5" t="n"/>
      <c r="M10" s="6" t="n"/>
      <c r="N10" s="7" t="n"/>
      <c r="O10" s="8" t="n">
        <v>26.65</v>
      </c>
      <c r="P10" s="8" t="n">
        <v>53.3</v>
      </c>
    </row>
    <row r="11" ht="26" customHeight="1">
      <c r="A11" s="2" t="inlineStr">
        <is>
          <t>📦  Накладная #12805785  ·  18-05-2026  ·  Blau  ·  4 позиций  ·  bultos: 0</t>
        </is>
      </c>
    </row>
    <row r="12" ht="110" customHeight="1">
      <c r="A12" s="3" t="inlineStr">
        <is>
          <t>12805785</t>
        </is>
      </c>
      <c r="B12" s="3" t="inlineStr">
        <is>
          <t>18-05-2026</t>
        </is>
      </c>
      <c r="C12" s="3" t="inlineStr">
        <is>
          <t>Blau</t>
        </is>
      </c>
      <c r="D12" s="3" t="inlineStr">
        <is>
          <t>182618</t>
        </is>
      </c>
      <c r="E12" s="4" t="inlineStr">
        <is>
          <t>PHAL 3T Cerámica Kolibri Mix (</t>
        </is>
      </c>
      <c r="F12" s="4" t="inlineStr">
        <is>
          <t>OK Plant</t>
        </is>
      </c>
      <c r="G12" s="4" t="inlineStr">
        <is>
          <t>COLOR Mixto · ALTURA 40 cm · MACETA 9</t>
        </is>
      </c>
      <c r="H12" s="3" t="inlineStr"/>
      <c r="I12" s="3" t="n">
        <v>6</v>
      </c>
      <c r="J12" s="3" t="inlineStr">
        <is>
          <t>6 шт.</t>
        </is>
      </c>
      <c r="K12" s="4">
        <f>IMAGE("https://cdn.verdnatura.es/image/catalog/1600x900/182618")</f>
        <v/>
      </c>
      <c r="L12" s="5" t="n"/>
      <c r="M12" s="6" t="n"/>
      <c r="N12" s="7" t="n"/>
      <c r="O12" s="8" t="n">
        <v>8.41</v>
      </c>
      <c r="P12" s="8" t="n">
        <v>50.46</v>
      </c>
    </row>
    <row r="13" ht="110" customHeight="1">
      <c r="A13" s="3" t="inlineStr">
        <is>
          <t>12805785</t>
        </is>
      </c>
      <c r="B13" s="3" t="inlineStr">
        <is>
          <t>18-05-2026</t>
        </is>
      </c>
      <c r="C13" s="3" t="inlineStr">
        <is>
          <t>Blau</t>
        </is>
      </c>
      <c r="D13" s="3" t="inlineStr">
        <is>
          <t>121494</t>
        </is>
      </c>
      <c r="E13" s="4" t="inlineStr">
        <is>
          <t>Set de 2 Macetas Duna</t>
        </is>
      </c>
      <c r="F13" s="4" t="inlineStr">
        <is>
          <t>Verdnatura</t>
        </is>
      </c>
      <c r="G13" s="4" t="inlineStr">
        <is>
          <t>ALTURA 17.5 cm · DIAMETRO 22 cm · DIAMETRO BOCA 16.8 cm</t>
        </is>
      </c>
      <c r="H13" s="3" t="inlineStr"/>
      <c r="I13" s="3" t="n">
        <v>4</v>
      </c>
      <c r="J13" s="3" t="inlineStr">
        <is>
          <t>4 шт.</t>
        </is>
      </c>
      <c r="K13" s="4">
        <f>IMAGE("https://cdn.verdnatura.es/image/catalog/1600x900/121494")</f>
        <v/>
      </c>
      <c r="L13" s="5" t="n"/>
      <c r="M13" s="6" t="n"/>
      <c r="N13" s="7" t="n"/>
      <c r="O13" s="8" t="n">
        <v>10.32</v>
      </c>
      <c r="P13" s="8" t="n">
        <v>41.28</v>
      </c>
    </row>
    <row r="14" ht="110" customHeight="1">
      <c r="A14" s="3" t="inlineStr">
        <is>
          <t>12805785</t>
        </is>
      </c>
      <c r="B14" s="3" t="inlineStr">
        <is>
          <t>18-05-2026</t>
        </is>
      </c>
      <c r="C14" s="3" t="inlineStr">
        <is>
          <t>Blau</t>
        </is>
      </c>
      <c r="D14" s="3" t="inlineStr">
        <is>
          <t>121538</t>
        </is>
      </c>
      <c r="E14" s="4" t="inlineStr">
        <is>
          <t>Set de 2 Macetas Duna</t>
        </is>
      </c>
      <c r="F14" s="4" t="inlineStr">
        <is>
          <t>Verdnatura</t>
        </is>
      </c>
      <c r="G14" s="4" t="inlineStr">
        <is>
          <t>ALTURA 17.5 cm · DIAMETRO 22 cm · DIAMETRO BOCA 16.8 cm</t>
        </is>
      </c>
      <c r="H14" s="3" t="inlineStr"/>
      <c r="I14" s="3" t="n">
        <v>4</v>
      </c>
      <c r="J14" s="3" t="inlineStr">
        <is>
          <t>4 шт.</t>
        </is>
      </c>
      <c r="K14" s="4">
        <f>IMAGE("https://cdn.verdnatura.es/image/catalog/1600x900/121538")</f>
        <v/>
      </c>
      <c r="L14" s="5" t="n"/>
      <c r="M14" s="6" t="n"/>
      <c r="N14" s="7" t="n"/>
      <c r="O14" s="8" t="n">
        <v>10.32</v>
      </c>
      <c r="P14" s="8" t="n">
        <v>41.28</v>
      </c>
    </row>
    <row r="15" ht="110" customHeight="1">
      <c r="A15" s="3" t="inlineStr">
        <is>
          <t>12805785</t>
        </is>
      </c>
      <c r="B15" s="3" t="inlineStr">
        <is>
          <t>18-05-2026</t>
        </is>
      </c>
      <c r="C15" s="3" t="inlineStr">
        <is>
          <t>Blau</t>
        </is>
      </c>
      <c r="D15" s="3" t="inlineStr">
        <is>
          <t>121788</t>
        </is>
      </c>
      <c r="E15" s="4" t="inlineStr">
        <is>
          <t>Set de 3 Macetas Reptil</t>
        </is>
      </c>
      <c r="F15" s="4" t="inlineStr">
        <is>
          <t>Verdnatura</t>
        </is>
      </c>
      <c r="G15" s="4" t="inlineStr">
        <is>
          <t>ALTURA 19 cm · DIAMETRO 19 cm · DIAMETRO BOCA 16 cm</t>
        </is>
      </c>
      <c r="H15" s="3" t="inlineStr"/>
      <c r="I15" s="3" t="n">
        <v>4</v>
      </c>
      <c r="J15" s="3" t="inlineStr">
        <is>
          <t>4 шт.</t>
        </is>
      </c>
      <c r="K15" s="4">
        <f>IMAGE("https://cdn.verdnatura.es/image/catalog/1600x900/121788")</f>
        <v/>
      </c>
      <c r="L15" s="5" t="n"/>
      <c r="M15" s="6" t="n"/>
      <c r="N15" s="7" t="n"/>
      <c r="O15" s="8" t="n">
        <v>10.26</v>
      </c>
      <c r="P15" s="8" t="n">
        <v>41.04</v>
      </c>
    </row>
    <row r="16" ht="26" customHeight="1">
      <c r="A16" s="2" t="inlineStr">
        <is>
          <t>📦  Накладная #12818498  ·  18-05-2026  ·  Blau  ·  12 позиций  ·  bultos: 0</t>
        </is>
      </c>
    </row>
    <row r="17" ht="110" customHeight="1">
      <c r="A17" s="3" t="inlineStr">
        <is>
          <t>12818498</t>
        </is>
      </c>
      <c r="B17" s="3" t="inlineStr">
        <is>
          <t>18-05-2026</t>
        </is>
      </c>
      <c r="C17" s="3" t="inlineStr">
        <is>
          <t>Blau</t>
        </is>
      </c>
      <c r="D17" s="3" t="inlineStr">
        <is>
          <t>8100</t>
        </is>
      </c>
      <c r="E17" s="4" t="inlineStr">
        <is>
          <t>ASP Tree Fern SUP</t>
        </is>
      </c>
      <c r="F17" s="4" t="inlineStr"/>
      <c r="G17" s="4" t="inlineStr">
        <is>
          <t>COLOR Verde · ALTURA 60 cm</t>
        </is>
      </c>
      <c r="H17" s="3" t="inlineStr">
        <is>
          <t>Paquete</t>
        </is>
      </c>
      <c r="I17" s="3" t="n">
        <v>2</v>
      </c>
      <c r="J17" s="3" t="inlineStr">
        <is>
          <t>2 пачек</t>
        </is>
      </c>
      <c r="K17" s="4">
        <f>IMAGE("https://cdn.verdnatura.es/image/catalog/1600x900/8100")</f>
        <v/>
      </c>
      <c r="L17" s="5" t="n"/>
      <c r="M17" s="6" t="n"/>
      <c r="N17" s="7" t="n"/>
      <c r="O17" s="8" t="n">
        <v>3.38</v>
      </c>
      <c r="P17" s="8" t="n">
        <v>6.76</v>
      </c>
    </row>
    <row r="18" ht="110" customHeight="1">
      <c r="A18" s="3" t="inlineStr">
        <is>
          <t>12818498</t>
        </is>
      </c>
      <c r="B18" s="3" t="inlineStr">
        <is>
          <t>18-05-2026</t>
        </is>
      </c>
      <c r="C18" s="3" t="inlineStr">
        <is>
          <t>Blau</t>
        </is>
      </c>
      <c r="D18" s="3" t="inlineStr">
        <is>
          <t>130170</t>
        </is>
      </c>
      <c r="E18" s="4" t="inlineStr">
        <is>
          <t>Aster Double Date Pink</t>
        </is>
      </c>
      <c r="F18" s="4" t="inlineStr">
        <is>
          <t>Marginpar / KR</t>
        </is>
      </c>
      <c r="G18" s="4" t="inlineStr">
        <is>
          <t>COLOR Rosa · ALTURA 60 cm · PESO/TALLO 15 gr</t>
        </is>
      </c>
      <c r="H18" s="3" t="inlineStr"/>
      <c r="I18" s="3" t="n">
        <v>25</v>
      </c>
      <c r="J18" s="3" t="inlineStr">
        <is>
          <t>25 шт.</t>
        </is>
      </c>
      <c r="K18" s="4">
        <f>IMAGE("https://cdn.verdnatura.es/image/catalog/1600x900/130170")</f>
        <v/>
      </c>
      <c r="L18" s="5" t="n"/>
      <c r="M18" s="6" t="n"/>
      <c r="N18" s="7" t="n"/>
      <c r="O18" s="8" t="n">
        <v>0.27</v>
      </c>
      <c r="P18" s="8" t="n">
        <v>6.75</v>
      </c>
    </row>
    <row r="19" ht="110" customHeight="1">
      <c r="A19" s="3" t="inlineStr">
        <is>
          <t>12818498</t>
        </is>
      </c>
      <c r="B19" s="3" t="inlineStr">
        <is>
          <t>18-05-2026</t>
        </is>
      </c>
      <c r="C19" s="3" t="inlineStr">
        <is>
          <t>Blau</t>
        </is>
      </c>
      <c r="D19" s="3" t="inlineStr">
        <is>
          <t>187068</t>
        </is>
      </c>
      <c r="E19" s="4" t="inlineStr">
        <is>
          <t>Aster Flash</t>
        </is>
      </c>
      <c r="F19" s="4" t="inlineStr">
        <is>
          <t>Marginpar / KR</t>
        </is>
      </c>
      <c r="G19" s="4" t="inlineStr">
        <is>
          <t>COLOR Fucsia · ALTURA 60 cm · PESO/TALLO 15 gr</t>
        </is>
      </c>
      <c r="H19" s="3" t="inlineStr"/>
      <c r="I19" s="3" t="n">
        <v>25</v>
      </c>
      <c r="J19" s="3" t="inlineStr">
        <is>
          <t>25 шт.</t>
        </is>
      </c>
      <c r="K19" s="4">
        <f>IMAGE("https://cdn.verdnatura.es/image/catalog/1600x900/187068")</f>
        <v/>
      </c>
      <c r="L19" s="5" t="n"/>
      <c r="M19" s="6" t="n"/>
      <c r="N19" s="7" t="n"/>
      <c r="O19" s="8" t="n">
        <v>0.35</v>
      </c>
      <c r="P19" s="8" t="n">
        <v>8.75</v>
      </c>
    </row>
    <row r="20" ht="110" customHeight="1">
      <c r="A20" s="3" t="inlineStr">
        <is>
          <t>12818498</t>
        </is>
      </c>
      <c r="B20" s="3" t="inlineStr">
        <is>
          <t>18-05-2026</t>
        </is>
      </c>
      <c r="C20" s="3" t="inlineStr">
        <is>
          <t>Blau</t>
        </is>
      </c>
      <c r="D20" s="3" t="inlineStr">
        <is>
          <t>165063</t>
        </is>
      </c>
      <c r="E20" s="4" t="inlineStr">
        <is>
          <t>CR Commander Pink</t>
        </is>
      </c>
      <c r="F20" s="4" t="inlineStr">
        <is>
          <t>Zentoo</t>
        </is>
      </c>
      <c r="G20" s="4" t="inlineStr">
        <is>
          <t>COLOR Rosa · ALTURA 70 cm · PESO/TALLO 75 gr</t>
        </is>
      </c>
      <c r="H20" s="3" t="inlineStr"/>
      <c r="I20" s="3" t="n">
        <v>20</v>
      </c>
      <c r="J20" s="3" t="inlineStr">
        <is>
          <t>20 шт.</t>
        </is>
      </c>
      <c r="K20" s="4">
        <f>IMAGE("https://cdn.verdnatura.es/image/catalog/1600x900/165063")</f>
        <v/>
      </c>
      <c r="L20" s="5" t="n"/>
      <c r="M20" s="6" t="n"/>
      <c r="N20" s="7" t="n"/>
      <c r="O20" s="8" t="n">
        <v>0.91</v>
      </c>
      <c r="P20" s="8" t="n">
        <v>18.2</v>
      </c>
    </row>
    <row r="21" ht="110" customHeight="1">
      <c r="A21" s="3" t="inlineStr">
        <is>
          <t>12818498</t>
        </is>
      </c>
      <c r="B21" s="3" t="inlineStr">
        <is>
          <t>18-05-2026</t>
        </is>
      </c>
      <c r="C21" s="3" t="inlineStr">
        <is>
          <t>Blau</t>
        </is>
      </c>
      <c r="D21" s="3" t="inlineStr">
        <is>
          <t>202475</t>
        </is>
      </c>
      <c r="E21" s="4" t="inlineStr">
        <is>
          <t>CR SANT Sun Up</t>
        </is>
      </c>
      <c r="F21" s="4" t="inlineStr">
        <is>
          <t>Zentoo</t>
        </is>
      </c>
      <c r="G21" s="4" t="inlineStr">
        <is>
          <t>COLOR Blanco · ALTURA 55 cm · PESO/PAQUETE 1300 gr</t>
        </is>
      </c>
      <c r="H21" s="3" t="inlineStr"/>
      <c r="I21" s="3" t="n">
        <v>25</v>
      </c>
      <c r="J21" s="3" t="inlineStr">
        <is>
          <t>25 шт.</t>
        </is>
      </c>
      <c r="K21" s="4">
        <f>IMAGE("https://cdn.verdnatura.es/image/catalog/1600x900/202475")</f>
        <v/>
      </c>
      <c r="L21" s="5" t="n"/>
      <c r="M21" s="6" t="n"/>
      <c r="N21" s="7" t="n"/>
      <c r="O21" s="8" t="n">
        <v>0.6</v>
      </c>
      <c r="P21" s="8" t="n">
        <v>15</v>
      </c>
    </row>
    <row r="22" ht="110" customHeight="1">
      <c r="A22" s="3" t="inlineStr">
        <is>
          <t>12818498</t>
        </is>
      </c>
      <c r="B22" s="3" t="inlineStr">
        <is>
          <t>18-05-2026</t>
        </is>
      </c>
      <c r="C22" s="3" t="inlineStr">
        <is>
          <t>Blau</t>
        </is>
      </c>
      <c r="D22" s="3" t="inlineStr">
        <is>
          <t>95420</t>
        </is>
      </c>
      <c r="E22" s="4" t="inlineStr">
        <is>
          <t>CYMBID Braemar</t>
        </is>
      </c>
      <c r="F22" s="4" t="inlineStr"/>
      <c r="G22" s="4" t="inlineStr">
        <is>
          <t>COLOR Rosa · ALTURA 80 cm · Nº FLORES 13</t>
        </is>
      </c>
      <c r="H22" s="3" t="inlineStr"/>
      <c r="I22" s="3" t="n">
        <v>1</v>
      </c>
      <c r="J22" s="3" t="inlineStr">
        <is>
          <t>1 шт.</t>
        </is>
      </c>
      <c r="K22" s="4">
        <f>IMAGE("https://cdn.verdnatura.es/image/catalog/1600x900/95420")</f>
        <v/>
      </c>
      <c r="L22" s="5" t="n"/>
      <c r="M22" s="6" t="n"/>
      <c r="N22" s="7" t="n"/>
      <c r="O22" s="8" t="n">
        <v>11.47</v>
      </c>
      <c r="P22" s="8" t="n">
        <v>11.47</v>
      </c>
    </row>
    <row r="23" ht="110" customHeight="1">
      <c r="A23" s="3" t="inlineStr">
        <is>
          <t>12818498</t>
        </is>
      </c>
      <c r="B23" s="3" t="inlineStr">
        <is>
          <t>18-05-2026</t>
        </is>
      </c>
      <c r="C23" s="3" t="inlineStr">
        <is>
          <t>Blau</t>
        </is>
      </c>
      <c r="D23" s="3" t="inlineStr">
        <is>
          <t>151942</t>
        </is>
      </c>
      <c r="E23" s="4" t="inlineStr">
        <is>
          <t>CYMBID Delmonte</t>
        </is>
      </c>
      <c r="F23" s="4" t="inlineStr"/>
      <c r="G23" s="4" t="inlineStr">
        <is>
          <t>COLOR Rosa Claro · ALTURA 50 cm · Nº FLORES 6</t>
        </is>
      </c>
      <c r="H23" s="3" t="inlineStr"/>
      <c r="I23" s="3" t="n">
        <v>3</v>
      </c>
      <c r="J23" s="3" t="inlineStr">
        <is>
          <t>3 шт.</t>
        </is>
      </c>
      <c r="K23" s="4">
        <f>IMAGE("https://cdn.verdnatura.es/image/catalog/1600x900/151942")</f>
        <v/>
      </c>
      <c r="L23" s="5" t="n"/>
      <c r="M23" s="6" t="n"/>
      <c r="N23" s="7" t="n"/>
      <c r="O23" s="8" t="n">
        <v>4.56</v>
      </c>
      <c r="P23" s="8" t="n">
        <v>13.68</v>
      </c>
    </row>
    <row r="24" ht="110" customHeight="1">
      <c r="A24" s="3" t="inlineStr">
        <is>
          <t>12818498</t>
        </is>
      </c>
      <c r="B24" s="3" t="inlineStr">
        <is>
          <t>18-05-2026</t>
        </is>
      </c>
      <c r="C24" s="3" t="inlineStr">
        <is>
          <t>Blau</t>
        </is>
      </c>
      <c r="D24" s="3" t="inlineStr">
        <is>
          <t>114770</t>
        </is>
      </c>
      <c r="E24" s="4" t="inlineStr">
        <is>
          <t>EUC Cinerea 300 gr</t>
        </is>
      </c>
      <c r="F24" s="4" t="inlineStr"/>
      <c r="G24" s="4" t="inlineStr">
        <is>
          <t>COLOR Lividum · ALTURA 70 cm</t>
        </is>
      </c>
      <c r="H24" s="3" t="inlineStr">
        <is>
          <t>Paquete</t>
        </is>
      </c>
      <c r="I24" s="3" t="n">
        <v>5</v>
      </c>
      <c r="J24" s="3" t="inlineStr">
        <is>
          <t>5 пачек</t>
        </is>
      </c>
      <c r="K24" s="4">
        <f>IMAGE("https://cdn.verdnatura.es/image/catalog/1600x900/114770")</f>
        <v/>
      </c>
      <c r="L24" s="5" t="n"/>
      <c r="M24" s="6" t="n"/>
      <c r="N24" s="7" t="n"/>
      <c r="O24" s="8" t="n">
        <v>3.7</v>
      </c>
      <c r="P24" s="8" t="n">
        <v>18.5</v>
      </c>
    </row>
    <row r="25" ht="110" customHeight="1">
      <c r="A25" s="3" t="inlineStr">
        <is>
          <t>12818498</t>
        </is>
      </c>
      <c r="B25" s="3" t="inlineStr">
        <is>
          <t>18-05-2026</t>
        </is>
      </c>
      <c r="C25" s="3" t="inlineStr">
        <is>
          <t>Blau</t>
        </is>
      </c>
      <c r="D25" s="3" t="inlineStr">
        <is>
          <t>189686</t>
        </is>
      </c>
      <c r="E25" s="4" t="inlineStr">
        <is>
          <t>F Arroz Blanco/Rosa</t>
        </is>
      </c>
      <c r="F25" s="4" t="inlineStr">
        <is>
          <t>SANREMO GREEN HOUSE</t>
        </is>
      </c>
      <c r="G25" s="4" t="inlineStr">
        <is>
          <t>COLOR Blanco/Rosa · ALTURA 65 cm</t>
        </is>
      </c>
      <c r="H25" s="3" t="inlineStr"/>
      <c r="I25" s="3" t="n">
        <v>5</v>
      </c>
      <c r="J25" s="3" t="inlineStr">
        <is>
          <t>5 шт.</t>
        </is>
      </c>
      <c r="K25" s="4">
        <f>IMAGE("https://cdn.verdnatura.es/image/catalog/1600x900/189686")</f>
        <v/>
      </c>
      <c r="L25" s="5" t="n"/>
      <c r="M25" s="6" t="n"/>
      <c r="N25" s="7" t="n"/>
      <c r="O25" s="8" t="n">
        <v>2.89</v>
      </c>
      <c r="P25" s="8" t="n">
        <v>14.45</v>
      </c>
    </row>
    <row r="26" ht="110" customHeight="1">
      <c r="A26" s="3" t="inlineStr">
        <is>
          <t>12818498</t>
        </is>
      </c>
      <c r="B26" s="3" t="inlineStr">
        <is>
          <t>18-05-2026</t>
        </is>
      </c>
      <c r="C26" s="3" t="inlineStr">
        <is>
          <t>Blau</t>
        </is>
      </c>
      <c r="D26" s="3" t="inlineStr">
        <is>
          <t>2388</t>
        </is>
      </c>
      <c r="E26" s="4" t="inlineStr">
        <is>
          <t>Lentisco BCN</t>
        </is>
      </c>
      <c r="F26" s="4" t="inlineStr"/>
      <c r="G26" s="4" t="inlineStr">
        <is>
          <t>COLOR Verde · ALTURA 45 cm</t>
        </is>
      </c>
      <c r="H26" s="3" t="inlineStr">
        <is>
          <t>Paquete</t>
        </is>
      </c>
      <c r="I26" s="3" t="n">
        <v>15</v>
      </c>
      <c r="J26" s="3" t="inlineStr">
        <is>
          <t>15 пачек</t>
        </is>
      </c>
      <c r="K26" s="4">
        <f>IMAGE("https://cdn.verdnatura.es/image/catalog/1600x900/2388")</f>
        <v/>
      </c>
      <c r="L26" s="5" t="n"/>
      <c r="M26" s="6" t="n"/>
      <c r="N26" s="7" t="n"/>
      <c r="O26" s="8" t="n">
        <v>0.67</v>
      </c>
      <c r="P26" s="8" t="n">
        <v>10.05</v>
      </c>
    </row>
    <row r="27" ht="110" customHeight="1">
      <c r="A27" s="3" t="inlineStr">
        <is>
          <t>12818498</t>
        </is>
      </c>
      <c r="B27" s="3" t="inlineStr">
        <is>
          <t>18-05-2026</t>
        </is>
      </c>
      <c r="C27" s="3" t="inlineStr">
        <is>
          <t>Blau</t>
        </is>
      </c>
      <c r="D27" s="3" t="inlineStr">
        <is>
          <t>149</t>
        </is>
      </c>
      <c r="E27" s="4" t="inlineStr">
        <is>
          <t>PITT Nigra 150 gr</t>
        </is>
      </c>
      <c r="F27" s="4" t="inlineStr"/>
      <c r="G27" s="4" t="inlineStr">
        <is>
          <t>COLOR Matizado · ALTURA 50 cm</t>
        </is>
      </c>
      <c r="H27" s="3" t="inlineStr">
        <is>
          <t>Paquete</t>
        </is>
      </c>
      <c r="I27" s="3" t="n">
        <v>5</v>
      </c>
      <c r="J27" s="3" t="inlineStr">
        <is>
          <t>5 пачек</t>
        </is>
      </c>
      <c r="K27" s="4">
        <f>IMAGE("https://cdn.verdnatura.es/image/catalog/1600x900/149")</f>
        <v/>
      </c>
      <c r="L27" s="5" t="n"/>
      <c r="M27" s="6" t="n"/>
      <c r="N27" s="7" t="n"/>
      <c r="O27" s="8" t="n">
        <v>2.41</v>
      </c>
      <c r="P27" s="8" t="n">
        <v>12.05</v>
      </c>
    </row>
    <row r="28" ht="110" customHeight="1">
      <c r="A28" s="3" t="inlineStr">
        <is>
          <t>12818498</t>
        </is>
      </c>
      <c r="B28" s="3" t="inlineStr">
        <is>
          <t>18-05-2026</t>
        </is>
      </c>
      <c r="C28" s="3" t="inlineStr">
        <is>
          <t>Blau</t>
        </is>
      </c>
      <c r="D28" s="3" t="inlineStr">
        <is>
          <t>201746</t>
        </is>
      </c>
      <c r="E28" s="4" t="inlineStr">
        <is>
          <t>TUL Everton</t>
        </is>
      </c>
      <c r="F28" s="4" t="inlineStr"/>
      <c r="G28" s="4" t="inlineStr">
        <is>
          <t>COLOR Rojo · ALTURA 38 cm · PESO/TALLO 38 gr</t>
        </is>
      </c>
      <c r="H28" s="3" t="inlineStr"/>
      <c r="I28" s="3" t="n">
        <v>50</v>
      </c>
      <c r="J28" s="3" t="inlineStr">
        <is>
          <t>50 шт.</t>
        </is>
      </c>
      <c r="K28" s="4">
        <f>IMAGE("https://cdn.verdnatura.es/image/catalog/1600x900/201746")</f>
        <v/>
      </c>
      <c r="L28" s="5" t="n"/>
      <c r="M28" s="6" t="n"/>
      <c r="N28" s="7" t="n"/>
      <c r="O28" s="8" t="n">
        <v>0.39</v>
      </c>
      <c r="P28" s="8" t="n">
        <v>19.5</v>
      </c>
    </row>
    <row r="29" ht="26" customHeight="1">
      <c r="A29" s="2" t="inlineStr">
        <is>
          <t>📦  Накладная #12819465  ·  18-05-2026  ·  Blau  ·  1 позиций  ·  bultos: 1</t>
        </is>
      </c>
    </row>
    <row r="30" ht="110" customHeight="1">
      <c r="A30" s="3" t="inlineStr">
        <is>
          <t>12819465</t>
        </is>
      </c>
      <c r="B30" s="3" t="inlineStr">
        <is>
          <t>18-05-2026</t>
        </is>
      </c>
      <c r="C30" s="3" t="inlineStr">
        <is>
          <t>Blau</t>
        </is>
      </c>
      <c r="D30" s="3" t="inlineStr">
        <is>
          <t>181550</t>
        </is>
      </c>
      <c r="E30" s="4" t="inlineStr">
        <is>
          <t>PHAL 4T Mix (7 Colors) PRO</t>
        </is>
      </c>
      <c r="F30" s="4" t="inlineStr">
        <is>
          <t>Kw. Piet Vijverberg</t>
        </is>
      </c>
      <c r="G30" s="4" t="inlineStr">
        <is>
          <t>COLOR Mixto · ALTURA 70 cm · MACETA 12</t>
        </is>
      </c>
      <c r="H30" s="3" t="inlineStr"/>
      <c r="I30" s="3" t="n">
        <v>12</v>
      </c>
      <c r="J30" s="3" t="inlineStr">
        <is>
          <t>12 шт.</t>
        </is>
      </c>
      <c r="K30" s="4">
        <f>IMAGE("https://cdn.verdnatura.es/image/catalog/1600x900/181550")</f>
        <v/>
      </c>
      <c r="L30" s="5" t="n"/>
      <c r="M30" s="6" t="n"/>
      <c r="N30" s="7" t="n"/>
      <c r="O30" s="8" t="n">
        <v>12.6</v>
      </c>
      <c r="P30" s="8" t="n">
        <v>151.2</v>
      </c>
    </row>
    <row r="31" ht="26" customHeight="1">
      <c r="A31" s="2" t="inlineStr">
        <is>
          <t>📦  Накладная #12819760  ·  18-05-2026  ·  Blau  ·  3 позиций  ·  bultos: 0</t>
        </is>
      </c>
    </row>
    <row r="32" ht="110" customHeight="1">
      <c r="A32" s="3" t="inlineStr">
        <is>
          <t>12819760</t>
        </is>
      </c>
      <c r="B32" s="3" t="inlineStr">
        <is>
          <t>18-05-2026</t>
        </is>
      </c>
      <c r="C32" s="3" t="inlineStr">
        <is>
          <t>Blau</t>
        </is>
      </c>
      <c r="D32" s="3" t="inlineStr">
        <is>
          <t>185681</t>
        </is>
      </c>
      <c r="E32" s="4" t="inlineStr">
        <is>
          <t>RS Explorer SEL</t>
        </is>
      </c>
      <c r="F32" s="4" t="inlineStr">
        <is>
          <t>Santa Dorotea</t>
        </is>
      </c>
      <c r="G32" s="4" t="inlineStr">
        <is>
          <t>COLOR Rojo · ALTURA 60 cm · BOTÓN MINIMO 6.5 cm</t>
        </is>
      </c>
      <c r="H32" s="3" t="inlineStr"/>
      <c r="I32" s="3" t="n">
        <v>50</v>
      </c>
      <c r="J32" s="3" t="inlineStr">
        <is>
          <t>50 шт.</t>
        </is>
      </c>
      <c r="K32" s="4">
        <f>IMAGE("https://cdn.verdnatura.es/image/catalog/1600x900/185681")</f>
        <v/>
      </c>
      <c r="L32" s="5" t="n"/>
      <c r="M32" s="6" t="n"/>
      <c r="N32" s="7" t="n"/>
      <c r="O32" s="8" t="n">
        <v>0.74</v>
      </c>
      <c r="P32" s="8" t="n">
        <v>37</v>
      </c>
    </row>
    <row r="33" ht="110" customHeight="1">
      <c r="A33" s="3" t="inlineStr">
        <is>
          <t>12819760</t>
        </is>
      </c>
      <c r="B33" s="3" t="inlineStr">
        <is>
          <t>18-05-2026</t>
        </is>
      </c>
      <c r="C33" s="3" t="inlineStr">
        <is>
          <t>Blau</t>
        </is>
      </c>
      <c r="D33" s="3" t="inlineStr">
        <is>
          <t>137268</t>
        </is>
      </c>
      <c r="E33" s="4" t="inlineStr">
        <is>
          <t>RS Mondial EXT</t>
        </is>
      </c>
      <c r="F33" s="4" t="inlineStr">
        <is>
          <t>Santa Dorotea</t>
        </is>
      </c>
      <c r="G33" s="4" t="inlineStr">
        <is>
          <t>COLOR Blanco · ALTURA 60 cm · BOTÓN MINIMO 6 cm</t>
        </is>
      </c>
      <c r="H33" s="3" t="inlineStr"/>
      <c r="I33" s="3" t="n">
        <v>50</v>
      </c>
      <c r="J33" s="3" t="inlineStr">
        <is>
          <t>50 шт.</t>
        </is>
      </c>
      <c r="K33" s="4">
        <f>IMAGE("https://cdn.verdnatura.es/image/catalog/1600x900/137268")</f>
        <v/>
      </c>
      <c r="L33" s="5" t="n"/>
      <c r="M33" s="6" t="n"/>
      <c r="N33" s="7" t="n"/>
      <c r="O33" s="8" t="n">
        <v>0.6899999999999999</v>
      </c>
      <c r="P33" s="8" t="n">
        <v>34.5</v>
      </c>
    </row>
    <row r="34" ht="110" customHeight="1">
      <c r="A34" s="3" t="inlineStr">
        <is>
          <t>12819760</t>
        </is>
      </c>
      <c r="B34" s="3" t="inlineStr">
        <is>
          <t>18-05-2026</t>
        </is>
      </c>
      <c r="C34" s="3" t="inlineStr">
        <is>
          <t>Blau</t>
        </is>
      </c>
      <c r="D34" s="3" t="inlineStr">
        <is>
          <t>16045</t>
        </is>
      </c>
      <c r="E34" s="4" t="inlineStr">
        <is>
          <t>Solidago Tara</t>
        </is>
      </c>
      <c r="F34" s="4" t="inlineStr">
        <is>
          <t>Cultivos Manzanares</t>
        </is>
      </c>
      <c r="G34" s="4" t="inlineStr">
        <is>
          <t>COLOR Amarillo · ALTURA 70 cm · PESO/TALLO 25 gr</t>
        </is>
      </c>
      <c r="H34" s="3" t="inlineStr"/>
      <c r="I34" s="3" t="n">
        <v>30</v>
      </c>
      <c r="J34" s="3" t="inlineStr">
        <is>
          <t>30 шт.</t>
        </is>
      </c>
      <c r="K34" s="4">
        <f>IMAGE("https://cdn.verdnatura.es/image/catalog/1600x900/16045")</f>
        <v/>
      </c>
      <c r="L34" s="5" t="n"/>
      <c r="M34" s="6" t="n"/>
      <c r="N34" s="7" t="n"/>
      <c r="O34" s="8" t="n">
        <v>0.22</v>
      </c>
      <c r="P34" s="8" t="n">
        <v>6.6</v>
      </c>
    </row>
  </sheetData>
  <mergeCells count="8">
    <mergeCell ref="A11:P11"/>
    <mergeCell ref="A9:P9"/>
    <mergeCell ref="A31:P31"/>
    <mergeCell ref="A6:P6"/>
    <mergeCell ref="A4:P4"/>
    <mergeCell ref="A16:P16"/>
    <mergeCell ref="A29:P29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2026-06-22T21:39:05Z</dcterms:created>
  <dcterms:modified xmlns:dcterms="http://purl.org/dc/terms/" xmlns:xsi="http://www.w3.org/2001/XMLSchema-instance" xsi:type="dcterms:W3CDTF">2026-06-22T21:39:05Z</dcterms:modified>
</cp:coreProperties>
</file>