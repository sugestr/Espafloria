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#12790380  ·  17-05-2026  ·  Gloria  ·  2 позиций  ·  bultos: 5</t>
        </is>
      </c>
    </row>
    <row r="3" ht="110" customHeight="1">
      <c r="A3" s="3" t="inlineStr">
        <is>
          <t>12790380</t>
        </is>
      </c>
      <c r="B3" s="3" t="inlineStr">
        <is>
          <t>17-05-2026</t>
        </is>
      </c>
      <c r="C3" s="3" t="inlineStr">
        <is>
          <t>Gloria</t>
        </is>
      </c>
      <c r="D3" s="3" t="inlineStr">
        <is>
          <t>130076</t>
        </is>
      </c>
      <c r="E3" s="4" t="inlineStr">
        <is>
          <t>Crassula Overig</t>
        </is>
      </c>
      <c r="F3" s="4" t="inlineStr">
        <is>
          <t>Kwekerij Molenkade</t>
        </is>
      </c>
      <c r="G3" s="4" t="inlineStr">
        <is>
          <t>COLOR Verde · ALTURA 60 cm · MACETA 27</t>
        </is>
      </c>
      <c r="H3" s="3" t="inlineStr"/>
      <c r="I3" s="3" t="n">
        <v>7</v>
      </c>
      <c r="J3" s="3" t="inlineStr">
        <is>
          <t>7 шт.</t>
        </is>
      </c>
      <c r="K3" s="4">
        <f>IMAGE("https://cdn.verdnatura.es/image/catalog/1600x900/130076")</f>
        <v/>
      </c>
      <c r="L3" s="5" t="n"/>
      <c r="M3" s="6" t="n"/>
      <c r="N3" s="7" t="n"/>
      <c r="O3" s="8" t="n">
        <v>15.41</v>
      </c>
      <c r="P3" s="8" t="n">
        <v>107.87</v>
      </c>
    </row>
    <row r="4" ht="110" customHeight="1">
      <c r="A4" s="3" t="inlineStr">
        <is>
          <t>12790380</t>
        </is>
      </c>
      <c r="B4" s="3" t="inlineStr">
        <is>
          <t>17-05-2026</t>
        </is>
      </c>
      <c r="C4" s="3" t="inlineStr">
        <is>
          <t>Gloria</t>
        </is>
      </c>
      <c r="D4" s="3" t="inlineStr">
        <is>
          <t>202049</t>
        </is>
      </c>
      <c r="E4" s="4" t="inlineStr">
        <is>
          <t>PHAL 1T Eleg Cascade Evolution</t>
        </is>
      </c>
      <c r="F4" s="4" t="inlineStr">
        <is>
          <t>T &amp; L Variety Plants BV</t>
        </is>
      </c>
      <c r="G4" s="4" t="inlineStr">
        <is>
          <t>COLOR Fucsia · ALTURA 50 cm · MACETA 12</t>
        </is>
      </c>
      <c r="H4" s="3" t="inlineStr"/>
      <c r="I4" s="3" t="n">
        <v>6</v>
      </c>
      <c r="J4" s="3" t="inlineStr">
        <is>
          <t>6 шт.</t>
        </is>
      </c>
      <c r="K4" s="4">
        <f>IMAGE("https://cdn.verdnatura.es/image/catalog/1600x900/202049")</f>
        <v/>
      </c>
      <c r="L4" s="5" t="n"/>
      <c r="M4" s="6" t="n"/>
      <c r="N4" s="7" t="n"/>
      <c r="O4" s="8" t="n">
        <v>7</v>
      </c>
      <c r="P4" s="8" t="n">
        <v>42</v>
      </c>
    </row>
    <row r="5" ht="26" customHeight="1">
      <c r="A5" s="2" t="inlineStr">
        <is>
          <t>📦  Накладная #12812673  ·  17-05-2026  ·  Gloria  ·  6 позиций  ·  bultos: 1</t>
        </is>
      </c>
    </row>
    <row r="6" ht="110" customHeight="1">
      <c r="A6" s="3" t="inlineStr">
        <is>
          <t>12812673</t>
        </is>
      </c>
      <c r="B6" s="3" t="inlineStr">
        <is>
          <t>17-05-2026</t>
        </is>
      </c>
      <c r="C6" s="3" t="inlineStr">
        <is>
          <t>Gloria</t>
        </is>
      </c>
      <c r="D6" s="3" t="inlineStr">
        <is>
          <t>190877</t>
        </is>
      </c>
      <c r="E6" s="4" t="inlineStr">
        <is>
          <t>Cosmos Bipinnatus Apricot</t>
        </is>
      </c>
      <c r="F6" s="4" t="inlineStr"/>
      <c r="G6" s="4" t="inlineStr">
        <is>
          <t>COLOR Salmón · ALTURA 40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IMAGE("https://cdn.verdnatura.es/image/catalog/1600x900/190877")</f>
        <v/>
      </c>
      <c r="L6" s="5" t="n"/>
      <c r="M6" s="6" t="n"/>
      <c r="N6" s="7" t="n"/>
      <c r="O6" s="8" t="n">
        <v>0.48</v>
      </c>
      <c r="P6" s="8" t="n">
        <v>14.4</v>
      </c>
    </row>
    <row r="7" ht="110" customHeight="1">
      <c r="A7" s="3" t="inlineStr">
        <is>
          <t>12812673</t>
        </is>
      </c>
      <c r="B7" s="3" t="inlineStr">
        <is>
          <t>17-05-2026</t>
        </is>
      </c>
      <c r="C7" s="3" t="inlineStr">
        <is>
          <t>Gloria</t>
        </is>
      </c>
      <c r="D7" s="3" t="inlineStr">
        <is>
          <t>202541</t>
        </is>
      </c>
      <c r="E7" s="4" t="inlineStr">
        <is>
          <t>Dahlia Orange</t>
        </is>
      </c>
      <c r="F7" s="4" t="inlineStr">
        <is>
          <t>Del Golfo</t>
        </is>
      </c>
      <c r="G7" s="4" t="inlineStr">
        <is>
          <t>COLOR Naranja claro · ALTURA 45 cm</t>
        </is>
      </c>
      <c r="H7" s="3" t="inlineStr"/>
      <c r="I7" s="3" t="n">
        <v>50</v>
      </c>
      <c r="J7" s="3" t="inlineStr">
        <is>
          <t>50 шт.</t>
        </is>
      </c>
      <c r="K7" s="4">
        <f>IMAGE("https://cdn.verdnatura.es/image/catalog/1600x900/202541")</f>
        <v/>
      </c>
      <c r="L7" s="5" t="n"/>
      <c r="M7" s="6" t="n"/>
      <c r="N7" s="7" t="n"/>
      <c r="O7" s="8" t="n">
        <v>1.01</v>
      </c>
      <c r="P7" s="8" t="n">
        <v>50.5</v>
      </c>
    </row>
    <row r="8" ht="110" customHeight="1">
      <c r="A8" s="3" t="inlineStr">
        <is>
          <t>12812673</t>
        </is>
      </c>
      <c r="B8" s="3" t="inlineStr">
        <is>
          <t>17-05-2026</t>
        </is>
      </c>
      <c r="C8" s="3" t="inlineStr">
        <is>
          <t>Gloria</t>
        </is>
      </c>
      <c r="D8" s="3" t="inlineStr">
        <is>
          <t>114770</t>
        </is>
      </c>
      <c r="E8" s="4" t="inlineStr">
        <is>
          <t>EUC Cinerea 300 gr</t>
        </is>
      </c>
      <c r="F8" s="4" t="inlineStr"/>
      <c r="G8" s="4" t="inlineStr">
        <is>
          <t>COLOR Lividum · ALTURA 70 cm</t>
        </is>
      </c>
      <c r="H8" s="3" t="inlineStr">
        <is>
          <t>Paquete</t>
        </is>
      </c>
      <c r="I8" s="3" t="n">
        <v>2</v>
      </c>
      <c r="J8" s="3" t="inlineStr">
        <is>
          <t>2 пачек</t>
        </is>
      </c>
      <c r="K8" s="4">
        <f>IMAGE("https://cdn.verdnatura.es/image/catalog/1600x900/114770")</f>
        <v/>
      </c>
      <c r="L8" s="5" t="n"/>
      <c r="M8" s="6" t="n"/>
      <c r="N8" s="7" t="n"/>
      <c r="O8" s="8" t="n">
        <v>3.7</v>
      </c>
      <c r="P8" s="8" t="n">
        <v>7.4</v>
      </c>
    </row>
    <row r="9" ht="110" customHeight="1">
      <c r="A9" s="3" t="inlineStr">
        <is>
          <t>12812673</t>
        </is>
      </c>
      <c r="B9" s="3" t="inlineStr">
        <is>
          <t>17-05-2026</t>
        </is>
      </c>
      <c r="C9" s="3" t="inlineStr">
        <is>
          <t>Gloria</t>
        </is>
      </c>
      <c r="D9" s="3" t="inlineStr">
        <is>
          <t>162291</t>
        </is>
      </c>
      <c r="E9" s="4" t="inlineStr">
        <is>
          <t>TUL Cairns Fringed</t>
        </is>
      </c>
      <c r="F9" s="4" t="inlineStr"/>
      <c r="G9" s="4" t="inlineStr">
        <is>
          <t>COLOR Rosa · ALTURA 34 cm · PESO/TALLO 40 gr</t>
        </is>
      </c>
      <c r="H9" s="3" t="inlineStr"/>
      <c r="I9" s="3" t="n">
        <v>50</v>
      </c>
      <c r="J9" s="3" t="inlineStr">
        <is>
          <t>50 шт.</t>
        </is>
      </c>
      <c r="K9" s="4">
        <f>IMAGE("https://cdn.verdnatura.es/image/catalog/1600x900/162291")</f>
        <v/>
      </c>
      <c r="L9" s="5" t="n"/>
      <c r="M9" s="6" t="n"/>
      <c r="N9" s="7" t="n"/>
      <c r="O9" s="8" t="n">
        <v>0.5</v>
      </c>
      <c r="P9" s="8" t="n">
        <v>25</v>
      </c>
    </row>
    <row r="10" ht="110" customHeight="1">
      <c r="A10" s="3" t="inlineStr">
        <is>
          <t>12812673</t>
        </is>
      </c>
      <c r="B10" s="3" t="inlineStr">
        <is>
          <t>17-05-2026</t>
        </is>
      </c>
      <c r="C10" s="3" t="inlineStr">
        <is>
          <t>Gloria</t>
        </is>
      </c>
      <c r="D10" s="3" t="inlineStr">
        <is>
          <t>201746</t>
        </is>
      </c>
      <c r="E10" s="4" t="inlineStr">
        <is>
          <t>TUL Everton</t>
        </is>
      </c>
      <c r="F10" s="4" t="inlineStr"/>
      <c r="G10" s="4" t="inlineStr">
        <is>
          <t>COLOR Rojo · ALTURA 38 cm · PESO/TALLO 38 gr</t>
        </is>
      </c>
      <c r="H10" s="3" t="inlineStr"/>
      <c r="I10" s="3" t="n">
        <v>100</v>
      </c>
      <c r="J10" s="3" t="inlineStr">
        <is>
          <t>100 шт.</t>
        </is>
      </c>
      <c r="K10" s="4">
        <f>IMAGE("https://cdn.verdnatura.es/image/catalog/1600x900/201746")</f>
        <v/>
      </c>
      <c r="L10" s="5" t="n"/>
      <c r="M10" s="6" t="n"/>
      <c r="N10" s="7" t="n"/>
      <c r="O10" s="8" t="n">
        <v>0.39</v>
      </c>
      <c r="P10" s="8" t="n">
        <v>39</v>
      </c>
    </row>
    <row r="11" ht="110" customHeight="1">
      <c r="A11" s="3" t="inlineStr">
        <is>
          <t>12812673</t>
        </is>
      </c>
      <c r="B11" s="3" t="inlineStr">
        <is>
          <t>17-05-2026</t>
        </is>
      </c>
      <c r="C11" s="3" t="inlineStr">
        <is>
          <t>Gloria</t>
        </is>
      </c>
      <c r="D11" s="3" t="inlineStr">
        <is>
          <t>202255</t>
        </is>
      </c>
      <c r="E11" s="4" t="inlineStr">
        <is>
          <t>Viburn Compactum 200 gr</t>
        </is>
      </c>
      <c r="F11" s="4" t="inlineStr"/>
      <c r="G11" s="4" t="inlineStr">
        <is>
          <t>COLOR Blanco/Verde · ALTURA 65 cm</t>
        </is>
      </c>
      <c r="H11" s="3" t="inlineStr">
        <is>
          <t>Garba</t>
        </is>
      </c>
      <c r="I11" s="3" t="n">
        <v>3</v>
      </c>
      <c r="J11" s="3" t="inlineStr">
        <is>
          <t>3 шт.</t>
        </is>
      </c>
      <c r="K11" s="4">
        <f>IMAGE("https://cdn.verdnatura.es/image/catalog/1600x900/202255")</f>
        <v/>
      </c>
      <c r="L11" s="5" t="n"/>
      <c r="M11" s="6" t="n"/>
      <c r="N11" s="7" t="n"/>
      <c r="O11" s="8" t="n">
        <v>3.26</v>
      </c>
      <c r="P11" s="8" t="n">
        <v>9.779999999999999</v>
      </c>
    </row>
    <row r="12" ht="26" customHeight="1">
      <c r="A12" s="2" t="inlineStr">
        <is>
          <t>📦  Накладная #12813444  ·  17-05-2026  ·  Gloria  ·  3 позиций  ·  bultos: 1</t>
        </is>
      </c>
    </row>
    <row r="13" ht="110" customHeight="1">
      <c r="A13" s="3" t="inlineStr">
        <is>
          <t>12813444</t>
        </is>
      </c>
      <c r="B13" s="3" t="inlineStr">
        <is>
          <t>17-05-2026</t>
        </is>
      </c>
      <c r="C13" s="3" t="inlineStr">
        <is>
          <t>Gloria</t>
        </is>
      </c>
      <c r="D13" s="3" t="inlineStr">
        <is>
          <t>171754</t>
        </is>
      </c>
      <c r="E13" s="4" t="inlineStr">
        <is>
          <t>Cesta Hierba marina Redonda</t>
        </is>
      </c>
      <c r="F13" s="4" t="inlineStr">
        <is>
          <t>Verdnatura</t>
        </is>
      </c>
      <c r="G13" s="4" t="inlineStr">
        <is>
          <t>ALTURA 13 cm · DIAMETRO 14 cm · DIAMETRO BOCA 13.5 cm</t>
        </is>
      </c>
      <c r="H13" s="3" t="inlineStr"/>
      <c r="I13" s="3" t="n">
        <v>12</v>
      </c>
      <c r="J13" s="3" t="inlineStr">
        <is>
          <t>12 шт.</t>
        </is>
      </c>
      <c r="K13" s="4">
        <f>IMAGE("https://cdn.verdnatura.es/image/catalog/1600x900/171754")</f>
        <v/>
      </c>
      <c r="L13" s="5" t="n"/>
      <c r="M13" s="6" t="n"/>
      <c r="N13" s="7" t="n"/>
      <c r="O13" s="8" t="n">
        <v>1.74</v>
      </c>
      <c r="P13" s="8" t="n">
        <v>20.88</v>
      </c>
    </row>
    <row r="14" ht="110" customHeight="1">
      <c r="A14" s="3" t="inlineStr">
        <is>
          <t>12813444</t>
        </is>
      </c>
      <c r="B14" s="3" t="inlineStr">
        <is>
          <t>17-05-2026</t>
        </is>
      </c>
      <c r="C14" s="3" t="inlineStr">
        <is>
          <t>Gloria</t>
        </is>
      </c>
      <c r="D14" s="3" t="inlineStr">
        <is>
          <t>171755</t>
        </is>
      </c>
      <c r="E14" s="4" t="inlineStr">
        <is>
          <t>Cesta Hierba marina Redonda</t>
        </is>
      </c>
      <c r="F14" s="4" t="inlineStr">
        <is>
          <t>Verdnatura</t>
        </is>
      </c>
      <c r="G14" s="4" t="inlineStr">
        <is>
          <t>ALTURA 14 cm · DIAMETRO 16 cm · DIAMETRO BOCA 15 cm</t>
        </is>
      </c>
      <c r="H14" s="3" t="inlineStr"/>
      <c r="I14" s="3" t="n">
        <v>6</v>
      </c>
      <c r="J14" s="3" t="inlineStr">
        <is>
          <t>6 шт.</t>
        </is>
      </c>
      <c r="K14" s="4">
        <f>IMAGE("https://cdn.verdnatura.es/image/catalog/1600x900/171755")</f>
        <v/>
      </c>
      <c r="L14" s="5" t="n"/>
      <c r="M14" s="6" t="n"/>
      <c r="N14" s="7" t="n"/>
      <c r="O14" s="8" t="n">
        <v>2.25</v>
      </c>
      <c r="P14" s="8" t="n">
        <v>13.5</v>
      </c>
    </row>
    <row r="15" ht="110" customHeight="1">
      <c r="A15" s="3" t="inlineStr">
        <is>
          <t>12813444</t>
        </is>
      </c>
      <c r="B15" s="3" t="inlineStr">
        <is>
          <t>17-05-2026</t>
        </is>
      </c>
      <c r="C15" s="3" t="inlineStr">
        <is>
          <t>Gloria</t>
        </is>
      </c>
      <c r="D15" s="3" t="inlineStr">
        <is>
          <t>195018</t>
        </is>
      </c>
      <c r="E15" s="4" t="inlineStr">
        <is>
          <t>Maceta Color Dots</t>
        </is>
      </c>
      <c r="F15" s="4" t="inlineStr">
        <is>
          <t>G. Wurm</t>
        </is>
      </c>
      <c r="G15" s="4" t="inlineStr">
        <is>
          <t>ALTURA 10.5 cm · DIAMETRO 14.5 cm · DIAMETRO BOCA 9 cm</t>
        </is>
      </c>
      <c r="H15" s="3" t="inlineStr"/>
      <c r="I15" s="3" t="n">
        <v>4</v>
      </c>
      <c r="J15" s="3" t="inlineStr">
        <is>
          <t>4 шт.</t>
        </is>
      </c>
      <c r="K15" s="4">
        <f>IMAGE("https://cdn.verdnatura.es/image/catalog/1600x900/195018")</f>
        <v/>
      </c>
      <c r="L15" s="5" t="n"/>
      <c r="M15" s="6" t="n"/>
      <c r="N15" s="7" t="n"/>
      <c r="O15" s="8" t="n">
        <v>7.23</v>
      </c>
      <c r="P15" s="8" t="n">
        <v>28.92</v>
      </c>
    </row>
    <row r="16" ht="26" customHeight="1">
      <c r="A16" s="2" t="inlineStr">
        <is>
          <t>📦  Накладная #12814272  ·  17-05-2026  ·  Gloria  ·  5 позиций  ·  bultos: 1</t>
        </is>
      </c>
    </row>
    <row r="17" ht="110" customHeight="1">
      <c r="A17" s="3" t="inlineStr">
        <is>
          <t>12814272</t>
        </is>
      </c>
      <c r="B17" s="3" t="inlineStr">
        <is>
          <t>17-05-2026</t>
        </is>
      </c>
      <c r="C17" s="3" t="inlineStr">
        <is>
          <t>Gloria</t>
        </is>
      </c>
      <c r="D17" s="3" t="inlineStr">
        <is>
          <t>148945</t>
        </is>
      </c>
      <c r="E17" s="4" t="inlineStr">
        <is>
          <t>Cono Gyps Kraft</t>
        </is>
      </c>
      <c r="F17" s="4" t="inlineStr">
        <is>
          <t>Piovaccari</t>
        </is>
      </c>
      <c r="G17" s="4" t="inlineStr">
        <is>
          <t>COLOR Natural · ALTURA 35 cm · DIÁMETRO 15 cm</t>
        </is>
      </c>
      <c r="H17" s="3" t="inlineStr"/>
      <c r="I17" s="3" t="n">
        <v>30</v>
      </c>
      <c r="J17" s="3" t="inlineStr">
        <is>
          <t>30 шт.</t>
        </is>
      </c>
      <c r="K17" s="4">
        <f>IMAGE("https://cdn.verdnatura.es/image/catalog/1600x900/148945")</f>
        <v/>
      </c>
      <c r="L17" s="5" t="n"/>
      <c r="M17" s="6" t="n"/>
      <c r="N17" s="7" t="n"/>
      <c r="O17" s="8" t="n">
        <v>0.3</v>
      </c>
      <c r="P17" s="8" t="n">
        <v>9</v>
      </c>
    </row>
    <row r="18" ht="110" customHeight="1">
      <c r="A18" s="3" t="inlineStr">
        <is>
          <t>12814272</t>
        </is>
      </c>
      <c r="B18" s="3" t="inlineStr">
        <is>
          <t>17-05-2026</t>
        </is>
      </c>
      <c r="C18" s="3" t="inlineStr">
        <is>
          <t>Gloria</t>
        </is>
      </c>
      <c r="D18" s="3" t="inlineStr">
        <is>
          <t>180334</t>
        </is>
      </c>
      <c r="E18" s="4" t="inlineStr">
        <is>
          <t>RS Country Blues PRE</t>
        </is>
      </c>
      <c r="F18" s="4" t="inlineStr">
        <is>
          <t>Agrivaldani</t>
        </is>
      </c>
      <c r="G18" s="4" t="inlineStr">
        <is>
          <t>COLOR Rosa · ALTURA 50 cm · BOTÓN MINIMO 5 cm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IMAGE("https://cdn.verdnatura.es/image/catalog/1600x900/180334")</f>
        <v/>
      </c>
      <c r="L18" s="5" t="n"/>
      <c r="M18" s="6" t="n"/>
      <c r="N18" s="7" t="n"/>
      <c r="O18" s="8" t="n">
        <v>0.66</v>
      </c>
      <c r="P18" s="8" t="n">
        <v>16.5</v>
      </c>
    </row>
    <row r="19" ht="110" customHeight="1">
      <c r="A19" s="3" t="inlineStr">
        <is>
          <t>12814272</t>
        </is>
      </c>
      <c r="B19" s="3" t="inlineStr">
        <is>
          <t>17-05-2026</t>
        </is>
      </c>
      <c r="C19" s="3" t="inlineStr">
        <is>
          <t>Gloria</t>
        </is>
      </c>
      <c r="D19" s="3" t="inlineStr">
        <is>
          <t>137268</t>
        </is>
      </c>
      <c r="E19" s="4" t="inlineStr">
        <is>
          <t>RS Mondial EXT</t>
        </is>
      </c>
      <c r="F19" s="4" t="inlineStr">
        <is>
          <t>Santa Dorotea</t>
        </is>
      </c>
      <c r="G19" s="4" t="inlineStr">
        <is>
          <t>COLOR Blanco · ALTURA 60 cm · BOTÓN MINIMO 6 cm</t>
        </is>
      </c>
      <c r="H19" s="3" t="inlineStr"/>
      <c r="I19" s="3" t="n">
        <v>50</v>
      </c>
      <c r="J19" s="3" t="inlineStr">
        <is>
          <t>50 шт.</t>
        </is>
      </c>
      <c r="K19" s="4">
        <f>IMAGE("https://cdn.verdnatura.es/image/catalog/1600x900/137268")</f>
        <v/>
      </c>
      <c r="L19" s="5" t="n"/>
      <c r="M19" s="6" t="n"/>
      <c r="N19" s="7" t="n"/>
      <c r="O19" s="8" t="n">
        <v>0.6899999999999999</v>
      </c>
      <c r="P19" s="8" t="n">
        <v>34.5</v>
      </c>
    </row>
    <row r="20" ht="110" customHeight="1">
      <c r="A20" s="3" t="inlineStr">
        <is>
          <t>12814272</t>
        </is>
      </c>
      <c r="B20" s="3" t="inlineStr">
        <is>
          <t>17-05-2026</t>
        </is>
      </c>
      <c r="C20" s="3" t="inlineStr">
        <is>
          <t>Gloria</t>
        </is>
      </c>
      <c r="D20" s="3" t="inlineStr">
        <is>
          <t>186072</t>
        </is>
      </c>
      <c r="E20" s="4" t="inlineStr">
        <is>
          <t>RS Red Panther SEL</t>
        </is>
      </c>
      <c r="F20" s="4" t="inlineStr">
        <is>
          <t>Ecuador</t>
        </is>
      </c>
      <c r="G20" s="4" t="inlineStr">
        <is>
          <t>COLOR Rojo/Rosa · ALTURA 60 cm · BOTÓN MINIMO 6.5 cm</t>
        </is>
      </c>
      <c r="H20" s="3" t="inlineStr"/>
      <c r="I20" s="3" t="n">
        <v>25</v>
      </c>
      <c r="J20" s="3" t="inlineStr">
        <is>
          <t>25 шт.</t>
        </is>
      </c>
      <c r="K20" s="4">
        <f>IMAGE("https://cdn.verdnatura.es/image/catalog/1600x900/186072")</f>
        <v/>
      </c>
      <c r="L20" s="5" t="n"/>
      <c r="M20" s="6" t="n"/>
      <c r="N20" s="7" t="n"/>
      <c r="O20" s="8" t="n">
        <v>0.74</v>
      </c>
      <c r="P20" s="8" t="n">
        <v>18.5</v>
      </c>
    </row>
    <row r="21" ht="110" customHeight="1">
      <c r="A21" s="3" t="inlineStr">
        <is>
          <t>12814272</t>
        </is>
      </c>
      <c r="B21" s="3" t="inlineStr">
        <is>
          <t>17-05-2026</t>
        </is>
      </c>
      <c r="C21" s="3" t="inlineStr">
        <is>
          <t>Gloria</t>
        </is>
      </c>
      <c r="D21" s="3" t="inlineStr">
        <is>
          <t>172301</t>
        </is>
      </c>
      <c r="E21" s="4" t="inlineStr">
        <is>
          <t>RS Redvolution SEL</t>
        </is>
      </c>
      <c r="F21" s="4" t="inlineStr">
        <is>
          <t>Agrivaldani</t>
        </is>
      </c>
      <c r="G21" s="4" t="inlineStr">
        <is>
          <t>COLOR Rojo · ALTURA 50 cm · BOTÓN MINIMO 5 cm</t>
        </is>
      </c>
      <c r="H21" s="3" t="inlineStr"/>
      <c r="I21" s="3" t="n">
        <v>25</v>
      </c>
      <c r="J21" s="3" t="inlineStr">
        <is>
          <t>25 шт.</t>
        </is>
      </c>
      <c r="K21" s="4">
        <f>IMAGE("https://cdn.verdnatura.es/image/catalog/1600x900/172301")</f>
        <v/>
      </c>
      <c r="L21" s="5" t="n"/>
      <c r="M21" s="6" t="n"/>
      <c r="N21" s="7" t="n"/>
      <c r="O21" s="8" t="n">
        <v>0.5600000000000001</v>
      </c>
      <c r="P21" s="8" t="n">
        <v>14</v>
      </c>
    </row>
    <row r="22" ht="26" customHeight="1">
      <c r="A22" s="2" t="inlineStr">
        <is>
          <t>📦  Накладная #12814385  ·  17-05-2026  ·  Gloria  ·  5 позиций  ·  bultos: 5</t>
        </is>
      </c>
    </row>
    <row r="23" ht="110" customHeight="1">
      <c r="A23" s="3" t="inlineStr">
        <is>
          <t>12814385</t>
        </is>
      </c>
      <c r="B23" s="3" t="inlineStr">
        <is>
          <t>17-05-2026</t>
        </is>
      </c>
      <c r="C23" s="3" t="inlineStr">
        <is>
          <t>Gloria</t>
        </is>
      </c>
      <c r="D23" s="3" t="inlineStr">
        <is>
          <t>178046</t>
        </is>
      </c>
      <c r="E23" s="4" t="inlineStr">
        <is>
          <t>BONS Retusa x6</t>
        </is>
      </c>
      <c r="F23" s="4" t="inlineStr">
        <is>
          <t>C.F.F. Bakker/Mondo Verde</t>
        </is>
      </c>
      <c r="G23" s="4" t="inlineStr">
        <is>
          <t>COLOR Verde · ALTURA 30 cm · MACETA 12</t>
        </is>
      </c>
      <c r="H23" s="3" t="inlineStr"/>
      <c r="I23" s="3" t="n">
        <v>6</v>
      </c>
      <c r="J23" s="3" t="inlineStr">
        <is>
          <t>6 шт.</t>
        </is>
      </c>
      <c r="K23" s="4">
        <f>IMAGE("https://cdn.verdnatura.es/image/catalog/1600x900/178046")</f>
        <v/>
      </c>
      <c r="L23" s="5" t="n"/>
      <c r="M23" s="6" t="n"/>
      <c r="N23" s="7" t="n"/>
      <c r="O23" s="8" t="n">
        <v>5.71</v>
      </c>
      <c r="P23" s="8" t="n">
        <v>34.26</v>
      </c>
    </row>
    <row r="24" ht="110" customHeight="1">
      <c r="A24" s="3" t="inlineStr">
        <is>
          <t>12814385</t>
        </is>
      </c>
      <c r="B24" s="3" t="inlineStr">
        <is>
          <t>17-05-2026</t>
        </is>
      </c>
      <c r="C24" s="3" t="inlineStr">
        <is>
          <t>Gloria</t>
        </is>
      </c>
      <c r="D24" s="3" t="inlineStr">
        <is>
          <t>114094</t>
        </is>
      </c>
      <c r="E24" s="4" t="inlineStr">
        <is>
          <t>Copa Emperatriz</t>
        </is>
      </c>
      <c r="F24" s="4" t="inlineStr">
        <is>
          <t>Verdnatura</t>
        </is>
      </c>
      <c r="G24" s="4" t="inlineStr">
        <is>
          <t>ALTURA 17.7 cm · DIAMETRO 28.5 cm · DIAMETRO BOCA 25.5 cm</t>
        </is>
      </c>
      <c r="H24" s="3" t="inlineStr"/>
      <c r="I24" s="3" t="n">
        <v>4</v>
      </c>
      <c r="J24" s="3" t="inlineStr">
        <is>
          <t>4 шт.</t>
        </is>
      </c>
      <c r="K24" s="4">
        <f>IMAGE("https://cdn.verdnatura.es/image/catalog/1600x900/114094")</f>
        <v/>
      </c>
      <c r="L24" s="5" t="n"/>
      <c r="M24" s="6" t="n"/>
      <c r="N24" s="7" t="n"/>
      <c r="O24" s="8" t="n">
        <v>9.1</v>
      </c>
      <c r="P24" s="8" t="n">
        <v>36.4</v>
      </c>
    </row>
    <row r="25" ht="110" customHeight="1">
      <c r="A25" s="3" t="inlineStr">
        <is>
          <t>12814385</t>
        </is>
      </c>
      <c r="B25" s="3" t="inlineStr">
        <is>
          <t>17-05-2026</t>
        </is>
      </c>
      <c r="C25" s="3" t="inlineStr">
        <is>
          <t>Gloria</t>
        </is>
      </c>
      <c r="D25" s="3" t="inlineStr">
        <is>
          <t>118191</t>
        </is>
      </c>
      <c r="E25" s="4" t="inlineStr">
        <is>
          <t>Copa Querubín</t>
        </is>
      </c>
      <c r="F25" s="4" t="inlineStr">
        <is>
          <t>Verdnatura</t>
        </is>
      </c>
      <c r="G25" s="4" t="inlineStr">
        <is>
          <t>ALTURA 17 cm · DIAMETRO 15.5 cm · DIAMETRO BOCA 12.3 cm</t>
        </is>
      </c>
      <c r="H25" s="3" t="inlineStr"/>
      <c r="I25" s="3" t="n">
        <v>6</v>
      </c>
      <c r="J25" s="3" t="inlineStr">
        <is>
          <t>6 шт.</t>
        </is>
      </c>
      <c r="K25" s="4">
        <f>IMAGE("https://cdn.verdnatura.es/image/catalog/1600x900/118191")</f>
        <v/>
      </c>
      <c r="L25" s="5" t="n"/>
      <c r="M25" s="6" t="n"/>
      <c r="N25" s="7" t="n"/>
      <c r="O25" s="8" t="n">
        <v>2.47</v>
      </c>
      <c r="P25" s="8" t="n">
        <v>14.82</v>
      </c>
    </row>
    <row r="26" ht="110" customHeight="1">
      <c r="A26" s="3" t="inlineStr">
        <is>
          <t>12814385</t>
        </is>
      </c>
      <c r="B26" s="3" t="inlineStr">
        <is>
          <t>17-05-2026</t>
        </is>
      </c>
      <c r="C26" s="3" t="inlineStr">
        <is>
          <t>Gloria</t>
        </is>
      </c>
      <c r="D26" s="3" t="inlineStr">
        <is>
          <t>137291</t>
        </is>
      </c>
      <c r="E26" s="4" t="inlineStr">
        <is>
          <t>Pedestal Candelabro</t>
        </is>
      </c>
      <c r="F26" s="4" t="inlineStr"/>
      <c r="G26" s="4" t="inlineStr">
        <is>
          <t>COLOR Negro · ALTURA 100 cm</t>
        </is>
      </c>
      <c r="H26" s="3" t="inlineStr"/>
      <c r="I26" s="3" t="n">
        <v>1</v>
      </c>
      <c r="J26" s="3" t="inlineStr">
        <is>
          <t>1 шт.</t>
        </is>
      </c>
      <c r="K26" s="4">
        <f>IMAGE("https://cdn.verdnatura.es/image/catalog/1600x900/137291")</f>
        <v/>
      </c>
      <c r="L26" s="5" t="n"/>
      <c r="M26" s="6" t="n"/>
      <c r="N26" s="7" t="n"/>
      <c r="O26" s="8" t="n">
        <v>69.45</v>
      </c>
      <c r="P26" s="8" t="n">
        <v>69.45</v>
      </c>
    </row>
    <row r="27" ht="110" customHeight="1">
      <c r="A27" s="3" t="inlineStr">
        <is>
          <t>12814385</t>
        </is>
      </c>
      <c r="B27" s="3" t="inlineStr">
        <is>
          <t>17-05-2026</t>
        </is>
      </c>
      <c r="C27" s="3" t="inlineStr">
        <is>
          <t>Gloria</t>
        </is>
      </c>
      <c r="D27" s="3" t="inlineStr">
        <is>
          <t>196284</t>
        </is>
      </c>
      <c r="E27" s="4" t="inlineStr">
        <is>
          <t>Scind Pictus Argyraeus Colgant</t>
        </is>
      </c>
      <c r="F27" s="4" t="inlineStr">
        <is>
          <t>BK Plant</t>
        </is>
      </c>
      <c r="G27" s="4" t="inlineStr">
        <is>
          <t>COLOR Verde · ALTURA 15 cm · MACETA 14</t>
        </is>
      </c>
      <c r="H27" s="3" t="inlineStr"/>
      <c r="I27" s="3" t="n">
        <v>6</v>
      </c>
      <c r="J27" s="3" t="inlineStr">
        <is>
          <t>6 шт.</t>
        </is>
      </c>
      <c r="K27" s="4">
        <f>IMAGE("https://cdn.verdnatura.es/image/catalog/1600x900/196284")</f>
        <v/>
      </c>
      <c r="L27" s="5" t="n"/>
      <c r="M27" s="6" t="n"/>
      <c r="N27" s="7" t="n"/>
      <c r="O27" s="8" t="n">
        <v>5.32</v>
      </c>
      <c r="P27" s="8" t="n">
        <v>31.92</v>
      </c>
    </row>
    <row r="28" ht="26" customHeight="1">
      <c r="A28" s="2" t="inlineStr">
        <is>
          <t>📦  Накладная #12814488  ·  17-05-2026  ·  Gloria  ·  1 позиций  ·  bultos: 1</t>
        </is>
      </c>
    </row>
    <row r="29" ht="110" customHeight="1">
      <c r="A29" s="3" t="inlineStr">
        <is>
          <t>12814488</t>
        </is>
      </c>
      <c r="B29" s="3" t="inlineStr">
        <is>
          <t>17-05-2026</t>
        </is>
      </c>
      <c r="C29" s="3" t="inlineStr">
        <is>
          <t>Gloria</t>
        </is>
      </c>
      <c r="D29" s="3" t="inlineStr">
        <is>
          <t>201493</t>
        </is>
      </c>
      <c r="E29" s="4" t="inlineStr">
        <is>
          <t>DRAC Marg Bicolor A1</t>
        </is>
      </c>
      <c r="F29" s="4" t="inlineStr">
        <is>
          <t>Vireo-Hedera Plant</t>
        </is>
      </c>
      <c r="G29" s="4" t="inlineStr">
        <is>
          <t>COLOR Matizado · ALTURA 110 cm · MACETA 24</t>
        </is>
      </c>
      <c r="H29" s="3" t="inlineStr"/>
      <c r="I29" s="3" t="n">
        <v>2</v>
      </c>
      <c r="J29" s="3" t="inlineStr">
        <is>
          <t>2 шт.</t>
        </is>
      </c>
      <c r="K29" s="4">
        <f>IMAGE("https://cdn.verdnatura.es/image/catalog/1600x900/201493")</f>
        <v/>
      </c>
      <c r="L29" s="5" t="n"/>
      <c r="M29" s="6" t="n"/>
      <c r="N29" s="7" t="n"/>
      <c r="O29" s="8" t="n">
        <v>25.57</v>
      </c>
      <c r="P29" s="8" t="n">
        <v>51.14</v>
      </c>
    </row>
    <row r="30" ht="26" customHeight="1">
      <c r="A30" s="2" t="inlineStr">
        <is>
          <t>📦  Накладная #12810710  ·  18-05-2026  ·  Gloria  ·  1 позиций  ·  bultos: 0</t>
        </is>
      </c>
    </row>
    <row r="31" ht="110" customHeight="1">
      <c r="A31" s="3" t="inlineStr">
        <is>
          <t>12810710</t>
        </is>
      </c>
      <c r="B31" s="3" t="inlineStr">
        <is>
          <t>18-05-2026</t>
        </is>
      </c>
      <c r="C31" s="3" t="inlineStr">
        <is>
          <t>Gloria</t>
        </is>
      </c>
      <c r="D31" s="3" t="inlineStr">
        <is>
          <t>182618</t>
        </is>
      </c>
      <c r="E31" s="4" t="inlineStr">
        <is>
          <t>PHAL 3T Cerámica Kolibri Mix (</t>
        </is>
      </c>
      <c r="F31" s="4" t="inlineStr">
        <is>
          <t>OK Plant</t>
        </is>
      </c>
      <c r="G31" s="4" t="inlineStr">
        <is>
          <t>COLOR Mixto · ALTURA 40 cm · MACETA 9</t>
        </is>
      </c>
      <c r="H31" s="3" t="inlineStr"/>
      <c r="I31" s="3" t="n">
        <v>6</v>
      </c>
      <c r="J31" s="3" t="inlineStr">
        <is>
          <t>6 шт.</t>
        </is>
      </c>
      <c r="K31" s="4">
        <f>IMAGE("https://cdn.verdnatura.es/image/catalog/1600x900/182618")</f>
        <v/>
      </c>
      <c r="L31" s="5" t="n"/>
      <c r="M31" s="6" t="n"/>
      <c r="N31" s="7" t="n"/>
      <c r="O31" s="8" t="n">
        <v>8.41</v>
      </c>
      <c r="P31" s="8" t="n">
        <v>50.46</v>
      </c>
    </row>
    <row r="32" ht="26" customHeight="1">
      <c r="A32" s="2" t="inlineStr">
        <is>
          <t>📦  Накладная #12818490  ·  18-05-2026  ·  Gloria  ·  21 позиций  ·  bultos: 0</t>
        </is>
      </c>
    </row>
    <row r="33" ht="110" customHeight="1">
      <c r="A33" s="3" t="inlineStr">
        <is>
          <t>12818490</t>
        </is>
      </c>
      <c r="B33" s="3" t="inlineStr">
        <is>
          <t>18-05-2026</t>
        </is>
      </c>
      <c r="C33" s="3" t="inlineStr">
        <is>
          <t>Gloria</t>
        </is>
      </c>
      <c r="D33" s="3" t="inlineStr">
        <is>
          <t>177148</t>
        </is>
      </c>
      <c r="E33" s="4" t="inlineStr">
        <is>
          <t>+ LIM N NOR Blush Diamond</t>
        </is>
      </c>
      <c r="F33" s="4" t="inlineStr">
        <is>
          <t>Fers Flowers</t>
        </is>
      </c>
      <c r="G33" s="4" t="inlineStr">
        <is>
          <t>COLOR Rosa · ALTURA 70 cm · PESO/TALLO 30 gr</t>
        </is>
      </c>
      <c r="H33" s="3" t="inlineStr"/>
      <c r="I33" s="3" t="n">
        <v>25</v>
      </c>
      <c r="J33" s="3" t="inlineStr">
        <is>
          <t>25 шт.</t>
        </is>
      </c>
      <c r="K33" s="4">
        <f>IMAGE("https://cdn.verdnatura.es/image/catalog/1600x900/177148")</f>
        <v/>
      </c>
      <c r="L33" s="5" t="n"/>
      <c r="M33" s="6" t="n"/>
      <c r="N33" s="7" t="n"/>
      <c r="O33" s="8" t="n">
        <v>0.61</v>
      </c>
      <c r="P33" s="8" t="n">
        <v>15.25</v>
      </c>
    </row>
    <row r="34" ht="110" customHeight="1">
      <c r="A34" s="3" t="inlineStr">
        <is>
          <t>12818490</t>
        </is>
      </c>
      <c r="B34" s="3" t="inlineStr">
        <is>
          <t>18-05-2026</t>
        </is>
      </c>
      <c r="C34" s="3" t="inlineStr">
        <is>
          <t>Gloria</t>
        </is>
      </c>
      <c r="D34" s="3" t="inlineStr">
        <is>
          <t>8100</t>
        </is>
      </c>
      <c r="E34" s="4" t="inlineStr">
        <is>
          <t>ASP Tree Fern SUP</t>
        </is>
      </c>
      <c r="F34" s="4" t="inlineStr"/>
      <c r="G34" s="4" t="inlineStr">
        <is>
          <t>COLOR Verde · ALTURA 60 cm</t>
        </is>
      </c>
      <c r="H34" s="3" t="inlineStr">
        <is>
          <t>Paquete</t>
        </is>
      </c>
      <c r="I34" s="3" t="n">
        <v>2</v>
      </c>
      <c r="J34" s="3" t="inlineStr">
        <is>
          <t>2 пачек</t>
        </is>
      </c>
      <c r="K34" s="4">
        <f>IMAGE("https://cdn.verdnatura.es/image/catalog/1600x900/8100")</f>
        <v/>
      </c>
      <c r="L34" s="5" t="n"/>
      <c r="M34" s="6" t="n"/>
      <c r="N34" s="7" t="n"/>
      <c r="O34" s="8" t="n">
        <v>3.38</v>
      </c>
      <c r="P34" s="8" t="n">
        <v>6.76</v>
      </c>
    </row>
    <row r="35" ht="110" customHeight="1">
      <c r="A35" s="3" t="inlineStr">
        <is>
          <t>12818490</t>
        </is>
      </c>
      <c r="B35" s="3" t="inlineStr">
        <is>
          <t>18-05-2026</t>
        </is>
      </c>
      <c r="C35" s="3" t="inlineStr">
        <is>
          <t>Gloria</t>
        </is>
      </c>
      <c r="D35" s="3" t="inlineStr">
        <is>
          <t>130170</t>
        </is>
      </c>
      <c r="E35" s="4" t="inlineStr">
        <is>
          <t>Aster Double Date Pink</t>
        </is>
      </c>
      <c r="F35" s="4" t="inlineStr">
        <is>
          <t>Marginpar / KR</t>
        </is>
      </c>
      <c r="G35" s="4" t="inlineStr">
        <is>
          <t>COLOR Rosa · ALTURA 60 cm · PESO/TALLO 15 gr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IMAGE("https://cdn.verdnatura.es/image/catalog/1600x900/130170")</f>
        <v/>
      </c>
      <c r="L35" s="5" t="n"/>
      <c r="M35" s="6" t="n"/>
      <c r="N35" s="7" t="n"/>
      <c r="O35" s="8" t="n">
        <v>0.27</v>
      </c>
      <c r="P35" s="8" t="n">
        <v>6.75</v>
      </c>
    </row>
    <row r="36" ht="110" customHeight="1">
      <c r="A36" s="3" t="inlineStr">
        <is>
          <t>12818490</t>
        </is>
      </c>
      <c r="B36" s="3" t="inlineStr">
        <is>
          <t>18-05-2026</t>
        </is>
      </c>
      <c r="C36" s="3" t="inlineStr">
        <is>
          <t>Gloria</t>
        </is>
      </c>
      <c r="D36" s="3" t="inlineStr">
        <is>
          <t>187068</t>
        </is>
      </c>
      <c r="E36" s="4" t="inlineStr">
        <is>
          <t>Aster Flash</t>
        </is>
      </c>
      <c r="F36" s="4" t="inlineStr">
        <is>
          <t>Marginpar / KR</t>
        </is>
      </c>
      <c r="G36" s="4" t="inlineStr">
        <is>
          <t>COLOR Fucsia · ALTURA 60 cm · PESO/TALLO 15 gr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IMAGE("https://cdn.verdnatura.es/image/catalog/1600x900/187068")</f>
        <v/>
      </c>
      <c r="L36" s="5" t="n"/>
      <c r="M36" s="6" t="n"/>
      <c r="N36" s="7" t="n"/>
      <c r="O36" s="8" t="n">
        <v>0.35</v>
      </c>
      <c r="P36" s="8" t="n">
        <v>8.75</v>
      </c>
    </row>
    <row r="37" ht="110" customHeight="1">
      <c r="A37" s="3" t="inlineStr">
        <is>
          <t>12818490</t>
        </is>
      </c>
      <c r="B37" s="3" t="inlineStr">
        <is>
          <t>18-05-2026</t>
        </is>
      </c>
      <c r="C37" s="3" t="inlineStr">
        <is>
          <t>Gloria</t>
        </is>
      </c>
      <c r="D37" s="3" t="inlineStr">
        <is>
          <t>129801</t>
        </is>
      </c>
      <c r="E37" s="4" t="inlineStr">
        <is>
          <t>CL Barb Green Ball</t>
        </is>
      </c>
      <c r="F37" s="4" t="inlineStr"/>
      <c r="G37" s="4" t="inlineStr">
        <is>
          <t>COLOR Verde · ALTURA 70 cm</t>
        </is>
      </c>
      <c r="H37" s="3" t="inlineStr"/>
      <c r="I37" s="3" t="n">
        <v>20</v>
      </c>
      <c r="J37" s="3" t="inlineStr">
        <is>
          <t>20 шт.</t>
        </is>
      </c>
      <c r="K37" s="4">
        <f>IMAGE("https://cdn.verdnatura.es/image/catalog/1600x900/129801")</f>
        <v/>
      </c>
      <c r="L37" s="5" t="n"/>
      <c r="M37" s="6" t="n"/>
      <c r="N37" s="7" t="n"/>
      <c r="O37" s="8" t="n">
        <v>0.45</v>
      </c>
      <c r="P37" s="8" t="n">
        <v>9</v>
      </c>
    </row>
    <row r="38" ht="110" customHeight="1">
      <c r="A38" s="3" t="inlineStr">
        <is>
          <t>12818490</t>
        </is>
      </c>
      <c r="B38" s="3" t="inlineStr">
        <is>
          <t>18-05-2026</t>
        </is>
      </c>
      <c r="C38" s="3" t="inlineStr">
        <is>
          <t>Gloria</t>
        </is>
      </c>
      <c r="D38" s="3" t="inlineStr">
        <is>
          <t>165063</t>
        </is>
      </c>
      <c r="E38" s="4" t="inlineStr">
        <is>
          <t>CR Commander Pink</t>
        </is>
      </c>
      <c r="F38" s="4" t="inlineStr">
        <is>
          <t>Zentoo</t>
        </is>
      </c>
      <c r="G38" s="4" t="inlineStr">
        <is>
          <t>COLOR Rosa · ALTURA 70 cm · PESO/TALLO 75 gr</t>
        </is>
      </c>
      <c r="H38" s="3" t="inlineStr"/>
      <c r="I38" s="3" t="n">
        <v>20</v>
      </c>
      <c r="J38" s="3" t="inlineStr">
        <is>
          <t>20 шт.</t>
        </is>
      </c>
      <c r="K38" s="4">
        <f>IMAGE("https://cdn.verdnatura.es/image/catalog/1600x900/165063")</f>
        <v/>
      </c>
      <c r="L38" s="5" t="n"/>
      <c r="M38" s="6" t="n"/>
      <c r="N38" s="7" t="n"/>
      <c r="O38" s="8" t="n">
        <v>0.91</v>
      </c>
      <c r="P38" s="8" t="n">
        <v>18.2</v>
      </c>
    </row>
    <row r="39" ht="110" customHeight="1">
      <c r="A39" s="3" t="inlineStr">
        <is>
          <t>12818490</t>
        </is>
      </c>
      <c r="B39" s="3" t="inlineStr">
        <is>
          <t>18-05-2026</t>
        </is>
      </c>
      <c r="C39" s="3" t="inlineStr">
        <is>
          <t>Gloria</t>
        </is>
      </c>
      <c r="D39" s="3" t="inlineStr">
        <is>
          <t>200196</t>
        </is>
      </c>
      <c r="E39" s="4" t="inlineStr">
        <is>
          <t>CR SANT Inzell</t>
        </is>
      </c>
      <c r="F39" s="4" t="inlineStr">
        <is>
          <t>Van Helvoort Company</t>
        </is>
      </c>
      <c r="G39" s="4" t="inlineStr">
        <is>
          <t>COLOR Blanco · ALTURA 55 cm · PESO/PAQUETE 1100 gr</t>
        </is>
      </c>
      <c r="H39" s="3" t="inlineStr"/>
      <c r="I39" s="3" t="n">
        <v>25</v>
      </c>
      <c r="J39" s="3" t="inlineStr">
        <is>
          <t>25 шт.</t>
        </is>
      </c>
      <c r="K39" s="4">
        <f>IMAGE("https://cdn.verdnatura.es/image/catalog/1600x900/200196")</f>
        <v/>
      </c>
      <c r="L39" s="5" t="n"/>
      <c r="M39" s="6" t="n"/>
      <c r="N39" s="7" t="n"/>
      <c r="O39" s="8" t="n">
        <v>0.66</v>
      </c>
      <c r="P39" s="8" t="n">
        <v>16.5</v>
      </c>
    </row>
    <row r="40" ht="110" customHeight="1">
      <c r="A40" s="3" t="inlineStr">
        <is>
          <t>12818490</t>
        </is>
      </c>
      <c r="B40" s="3" t="inlineStr">
        <is>
          <t>18-05-2026</t>
        </is>
      </c>
      <c r="C40" s="3" t="inlineStr">
        <is>
          <t>Gloria</t>
        </is>
      </c>
      <c r="D40" s="3" t="inlineStr">
        <is>
          <t>95420</t>
        </is>
      </c>
      <c r="E40" s="4" t="inlineStr">
        <is>
          <t>CYMBID Braemar</t>
        </is>
      </c>
      <c r="F40" s="4" t="inlineStr"/>
      <c r="G40" s="4" t="inlineStr">
        <is>
          <t>COLOR Rosa · ALTURA 80 cm · Nº FLORES 13</t>
        </is>
      </c>
      <c r="H40" s="3" t="inlineStr"/>
      <c r="I40" s="3" t="n">
        <v>1</v>
      </c>
      <c r="J40" s="3" t="inlineStr">
        <is>
          <t>1 шт.</t>
        </is>
      </c>
      <c r="K40" s="4">
        <f>IMAGE("https://cdn.verdnatura.es/image/catalog/1600x900/95420")</f>
        <v/>
      </c>
      <c r="L40" s="5" t="n"/>
      <c r="M40" s="6" t="n"/>
      <c r="N40" s="7" t="n"/>
      <c r="O40" s="8" t="n">
        <v>11.47</v>
      </c>
      <c r="P40" s="8" t="n">
        <v>11.47</v>
      </c>
    </row>
    <row r="41" ht="110" customHeight="1">
      <c r="A41" s="3" t="inlineStr">
        <is>
          <t>12818490</t>
        </is>
      </c>
      <c r="B41" s="3" t="inlineStr">
        <is>
          <t>18-05-2026</t>
        </is>
      </c>
      <c r="C41" s="3" t="inlineStr">
        <is>
          <t>Gloria</t>
        </is>
      </c>
      <c r="D41" s="3" t="inlineStr">
        <is>
          <t>151942</t>
        </is>
      </c>
      <c r="E41" s="4" t="inlineStr">
        <is>
          <t>CYMBID Delmonte</t>
        </is>
      </c>
      <c r="F41" s="4" t="inlineStr"/>
      <c r="G41" s="4" t="inlineStr">
        <is>
          <t>COLOR Rosa Claro · ALTURA 50 cm · Nº FLORES 6</t>
        </is>
      </c>
      <c r="H41" s="3" t="inlineStr"/>
      <c r="I41" s="3" t="n">
        <v>3</v>
      </c>
      <c r="J41" s="3" t="inlineStr">
        <is>
          <t>3 шт.</t>
        </is>
      </c>
      <c r="K41" s="4">
        <f>IMAGE("https://cdn.verdnatura.es/image/catalog/1600x900/151942")</f>
        <v/>
      </c>
      <c r="L41" s="5" t="n"/>
      <c r="M41" s="6" t="n"/>
      <c r="N41" s="7" t="n"/>
      <c r="O41" s="8" t="n">
        <v>4.56</v>
      </c>
      <c r="P41" s="8" t="n">
        <v>13.68</v>
      </c>
    </row>
    <row r="42" ht="110" customHeight="1">
      <c r="A42" s="3" t="inlineStr">
        <is>
          <t>12818490</t>
        </is>
      </c>
      <c r="B42" s="3" t="inlineStr">
        <is>
          <t>18-05-2026</t>
        </is>
      </c>
      <c r="C42" s="3" t="inlineStr">
        <is>
          <t>Gloria</t>
        </is>
      </c>
      <c r="D42" s="3" t="inlineStr">
        <is>
          <t>202476</t>
        </is>
      </c>
      <c r="E42" s="4" t="inlineStr">
        <is>
          <t>EUC CIN Pintado Hot Pink 300 g</t>
        </is>
      </c>
      <c r="F42" s="4" t="inlineStr"/>
      <c r="G42" s="4" t="inlineStr">
        <is>
          <t>ALTURA 65 cm · COLOR Fucsia</t>
        </is>
      </c>
      <c r="H42" s="3" t="inlineStr">
        <is>
          <t>Paquete</t>
        </is>
      </c>
      <c r="I42" s="3" t="n">
        <v>2</v>
      </c>
      <c r="J42" s="3" t="inlineStr">
        <is>
          <t>2 пачек</t>
        </is>
      </c>
      <c r="K42" s="4">
        <f>IMAGE("https://cdn.verdnatura.es/image/catalog/1600x900/202476")</f>
        <v/>
      </c>
      <c r="L42" s="5" t="n"/>
      <c r="M42" s="6" t="n"/>
      <c r="N42" s="7" t="n"/>
      <c r="O42" s="8" t="n">
        <v>5.76</v>
      </c>
      <c r="P42" s="8" t="n">
        <v>11.52</v>
      </c>
    </row>
    <row r="43" ht="110" customHeight="1">
      <c r="A43" s="3" t="inlineStr">
        <is>
          <t>12818490</t>
        </is>
      </c>
      <c r="B43" s="3" t="inlineStr">
        <is>
          <t>18-05-2026</t>
        </is>
      </c>
      <c r="C43" s="3" t="inlineStr">
        <is>
          <t>Gloria</t>
        </is>
      </c>
      <c r="D43" s="3" t="inlineStr">
        <is>
          <t>114770</t>
        </is>
      </c>
      <c r="E43" s="4" t="inlineStr">
        <is>
          <t>EUC Cinerea 300 gr</t>
        </is>
      </c>
      <c r="F43" s="4" t="inlineStr"/>
      <c r="G43" s="4" t="inlineStr">
        <is>
          <t>COLOR Lividum · ALTURA 70 cm</t>
        </is>
      </c>
      <c r="H43" s="3" t="inlineStr">
        <is>
          <t>Paquete</t>
        </is>
      </c>
      <c r="I43" s="3" t="n">
        <v>5</v>
      </c>
      <c r="J43" s="3" t="inlineStr">
        <is>
          <t>5 пачек</t>
        </is>
      </c>
      <c r="K43" s="4">
        <f>IMAGE("https://cdn.verdnatura.es/image/catalog/1600x900/114770")</f>
        <v/>
      </c>
      <c r="L43" s="5" t="n"/>
      <c r="M43" s="6" t="n"/>
      <c r="N43" s="7" t="n"/>
      <c r="O43" s="8" t="n">
        <v>3.7</v>
      </c>
      <c r="P43" s="8" t="n">
        <v>18.5</v>
      </c>
    </row>
    <row r="44" ht="110" customHeight="1">
      <c r="A44" s="3" t="inlineStr">
        <is>
          <t>12818490</t>
        </is>
      </c>
      <c r="B44" s="3" t="inlineStr">
        <is>
          <t>18-05-2026</t>
        </is>
      </c>
      <c r="C44" s="3" t="inlineStr">
        <is>
          <t>Gloria</t>
        </is>
      </c>
      <c r="D44" s="3" t="inlineStr">
        <is>
          <t>189686</t>
        </is>
      </c>
      <c r="E44" s="4" t="inlineStr">
        <is>
          <t>F Arroz Blanco/Rosa</t>
        </is>
      </c>
      <c r="F44" s="4" t="inlineStr">
        <is>
          <t>SANREMO GREEN HOUSE</t>
        </is>
      </c>
      <c r="G44" s="4" t="inlineStr">
        <is>
          <t>COLOR Blanco/Rosa · ALTURA 65 cm</t>
        </is>
      </c>
      <c r="H44" s="3" t="inlineStr"/>
      <c r="I44" s="3" t="n">
        <v>5</v>
      </c>
      <c r="J44" s="3" t="inlineStr">
        <is>
          <t>5 шт.</t>
        </is>
      </c>
      <c r="K44" s="4">
        <f>IMAGE("https://cdn.verdnatura.es/image/catalog/1600x900/189686")</f>
        <v/>
      </c>
      <c r="L44" s="5" t="n"/>
      <c r="M44" s="6" t="n"/>
      <c r="N44" s="7" t="n"/>
      <c r="O44" s="8" t="n">
        <v>2.89</v>
      </c>
      <c r="P44" s="8" t="n">
        <v>14.45</v>
      </c>
    </row>
    <row r="45" ht="110" customHeight="1">
      <c r="A45" s="3" t="inlineStr">
        <is>
          <t>12818490</t>
        </is>
      </c>
      <c r="B45" s="3" t="inlineStr">
        <is>
          <t>18-05-2026</t>
        </is>
      </c>
      <c r="C45" s="3" t="inlineStr">
        <is>
          <t>Gloria</t>
        </is>
      </c>
      <c r="D45" s="3" t="inlineStr">
        <is>
          <t>8821</t>
        </is>
      </c>
      <c r="E45" s="4" t="inlineStr">
        <is>
          <t>Forsythia</t>
        </is>
      </c>
      <c r="F45" s="4" t="inlineStr"/>
      <c r="G45" s="4" t="inlineStr">
        <is>
          <t>COLOR Amarillo · ALTURA 60 cm</t>
        </is>
      </c>
      <c r="H45" s="3" t="inlineStr">
        <is>
          <t>Tallo</t>
        </is>
      </c>
      <c r="I45" s="3" t="n">
        <v>10</v>
      </c>
      <c r="J45" s="3" t="inlineStr">
        <is>
          <t>10 стеблей</t>
        </is>
      </c>
      <c r="K45" s="4">
        <f>IMAGE("https://cdn.verdnatura.es/image/catalog/1600x900/8821")</f>
        <v/>
      </c>
      <c r="L45" s="5" t="n"/>
      <c r="M45" s="6" t="n"/>
      <c r="N45" s="7" t="n"/>
      <c r="O45" s="8" t="n">
        <v>0.68</v>
      </c>
      <c r="P45" s="8" t="n">
        <v>6.8</v>
      </c>
    </row>
    <row r="46" ht="110" customHeight="1">
      <c r="A46" s="3" t="inlineStr">
        <is>
          <t>12818490</t>
        </is>
      </c>
      <c r="B46" s="3" t="inlineStr">
        <is>
          <t>18-05-2026</t>
        </is>
      </c>
      <c r="C46" s="3" t="inlineStr">
        <is>
          <t>Gloria</t>
        </is>
      </c>
      <c r="D46" s="3" t="inlineStr">
        <is>
          <t>137387</t>
        </is>
      </c>
      <c r="E46" s="4" t="inlineStr">
        <is>
          <t>GE MI Tweety</t>
        </is>
      </c>
      <c r="F46" s="4" t="inlineStr">
        <is>
          <t>Van der Wilt Gerbera's</t>
        </is>
      </c>
      <c r="G46" s="4" t="inlineStr">
        <is>
          <t>COLOR Naranja · ALTURA 50 cm · DIAMETRO 8 cm</t>
        </is>
      </c>
      <c r="H46" s="3" t="inlineStr"/>
      <c r="I46" s="3" t="n">
        <v>20</v>
      </c>
      <c r="J46" s="3" t="inlineStr">
        <is>
          <t>20 шт.</t>
        </is>
      </c>
      <c r="K46" s="4">
        <f>IMAGE("https://cdn.verdnatura.es/image/catalog/1600x900/137387")</f>
        <v/>
      </c>
      <c r="L46" s="5" t="n"/>
      <c r="M46" s="6" t="n"/>
      <c r="N46" s="7" t="n"/>
      <c r="O46" s="8" t="n">
        <v>0.19</v>
      </c>
      <c r="P46" s="8" t="n">
        <v>3.8</v>
      </c>
    </row>
    <row r="47" ht="110" customHeight="1">
      <c r="A47" s="3" t="inlineStr">
        <is>
          <t>12818490</t>
        </is>
      </c>
      <c r="B47" s="3" t="inlineStr">
        <is>
          <t>18-05-2026</t>
        </is>
      </c>
      <c r="C47" s="3" t="inlineStr">
        <is>
          <t>Gloria</t>
        </is>
      </c>
      <c r="D47" s="3" t="inlineStr">
        <is>
          <t>193325</t>
        </is>
      </c>
      <c r="E47" s="4" t="inlineStr">
        <is>
          <t>GE Nano Piccolini San Remo</t>
        </is>
      </c>
      <c r="F47" s="4" t="inlineStr">
        <is>
          <t>Gerbera United</t>
        </is>
      </c>
      <c r="G47" s="4" t="inlineStr">
        <is>
          <t>COLOR Rosa · ALTURA 50 cm · DIAMETRO 4 cm</t>
        </is>
      </c>
      <c r="H47" s="3" t="inlineStr"/>
      <c r="I47" s="3" t="n">
        <v>20</v>
      </c>
      <c r="J47" s="3" t="inlineStr">
        <is>
          <t>20 шт.</t>
        </is>
      </c>
      <c r="K47" s="4">
        <f>IMAGE("https://cdn.verdnatura.es/image/catalog/1600x900/193325")</f>
        <v/>
      </c>
      <c r="L47" s="5" t="n"/>
      <c r="M47" s="6" t="n"/>
      <c r="N47" s="7" t="n"/>
      <c r="O47" s="8" t="n">
        <v>0.23</v>
      </c>
      <c r="P47" s="8" t="n">
        <v>4.6</v>
      </c>
    </row>
    <row r="48" ht="110" customHeight="1">
      <c r="A48" s="3" t="inlineStr">
        <is>
          <t>12818490</t>
        </is>
      </c>
      <c r="B48" s="3" t="inlineStr">
        <is>
          <t>18-05-2026</t>
        </is>
      </c>
      <c r="C48" s="3" t="inlineStr">
        <is>
          <t>Gloria</t>
        </is>
      </c>
      <c r="D48" s="3" t="inlineStr">
        <is>
          <t>134889</t>
        </is>
      </c>
      <c r="E48" s="4" t="inlineStr">
        <is>
          <t>Girasol Vincent s Choice</t>
        </is>
      </c>
      <c r="F48" s="4" t="inlineStr">
        <is>
          <t>Canaraflor</t>
        </is>
      </c>
      <c r="G48" s="4" t="inlineStr">
        <is>
          <t>COLOR Naranja claro · ALTURA 70 cm</t>
        </is>
      </c>
      <c r="H48" s="3" t="inlineStr"/>
      <c r="I48" s="3" t="n">
        <v>20</v>
      </c>
      <c r="J48" s="3" t="inlineStr">
        <is>
          <t>20 шт.</t>
        </is>
      </c>
      <c r="K48" s="4">
        <f>IMAGE("https://cdn.verdnatura.es/image/catalog/1600x900/134889")</f>
        <v/>
      </c>
      <c r="L48" s="5" t="n"/>
      <c r="M48" s="6" t="n"/>
      <c r="N48" s="7" t="n"/>
      <c r="O48" s="8" t="n">
        <v>0.63</v>
      </c>
      <c r="P48" s="8" t="n">
        <v>12.6</v>
      </c>
    </row>
    <row r="49" ht="110" customHeight="1">
      <c r="A49" s="3" t="inlineStr">
        <is>
          <t>12818490</t>
        </is>
      </c>
      <c r="B49" s="3" t="inlineStr">
        <is>
          <t>18-05-2026</t>
        </is>
      </c>
      <c r="C49" s="3" t="inlineStr">
        <is>
          <t>Gloria</t>
        </is>
      </c>
      <c r="D49" s="3" t="inlineStr">
        <is>
          <t>179340</t>
        </is>
      </c>
      <c r="E49" s="4" t="inlineStr">
        <is>
          <t>Peonia Dr Alex Fleming</t>
        </is>
      </c>
      <c r="F49" s="4" t="inlineStr">
        <is>
          <t>Bigot Fleurs</t>
        </is>
      </c>
      <c r="G49" s="4" t="inlineStr">
        <is>
          <t>COLOR Fucsia · ALTURA 50 cm · APERTURA 2-3</t>
        </is>
      </c>
      <c r="H49" s="3" t="inlineStr"/>
      <c r="I49" s="3" t="n">
        <v>30</v>
      </c>
      <c r="J49" s="3" t="inlineStr">
        <is>
          <t>30 шт.</t>
        </is>
      </c>
      <c r="K49" s="4">
        <f>IMAGE("https://cdn.verdnatura.es/image/catalog/1600x900/179340")</f>
        <v/>
      </c>
      <c r="L49" s="5" t="n"/>
      <c r="M49" s="6" t="n"/>
      <c r="N49" s="7" t="n"/>
      <c r="O49" s="8" t="n">
        <v>1.06</v>
      </c>
      <c r="P49" s="8" t="n">
        <v>31.8</v>
      </c>
    </row>
    <row r="50" ht="110" customHeight="1">
      <c r="A50" s="3" t="inlineStr">
        <is>
          <t>12818490</t>
        </is>
      </c>
      <c r="B50" s="3" t="inlineStr">
        <is>
          <t>18-05-2026</t>
        </is>
      </c>
      <c r="C50" s="3" t="inlineStr">
        <is>
          <t>Gloria</t>
        </is>
      </c>
      <c r="D50" s="3" t="inlineStr">
        <is>
          <t>149</t>
        </is>
      </c>
      <c r="E50" s="4" t="inlineStr">
        <is>
          <t>PITT Nigra 150 gr</t>
        </is>
      </c>
      <c r="F50" s="4" t="inlineStr"/>
      <c r="G50" s="4" t="inlineStr">
        <is>
          <t>COLOR Matizado · ALTURA 50 cm</t>
        </is>
      </c>
      <c r="H50" s="3" t="inlineStr">
        <is>
          <t>Paquete</t>
        </is>
      </c>
      <c r="I50" s="3" t="n">
        <v>5</v>
      </c>
      <c r="J50" s="3" t="inlineStr">
        <is>
          <t>5 пачек</t>
        </is>
      </c>
      <c r="K50" s="4">
        <f>IMAGE("https://cdn.verdnatura.es/image/catalog/1600x900/149")</f>
        <v/>
      </c>
      <c r="L50" s="5" t="n"/>
      <c r="M50" s="6" t="n"/>
      <c r="N50" s="7" t="n"/>
      <c r="O50" s="8" t="n">
        <v>2.41</v>
      </c>
      <c r="P50" s="8" t="n">
        <v>12.05</v>
      </c>
    </row>
    <row r="51" ht="110" customHeight="1">
      <c r="A51" s="3" t="inlineStr">
        <is>
          <t>12818490</t>
        </is>
      </c>
      <c r="B51" s="3" t="inlineStr">
        <is>
          <t>18-05-2026</t>
        </is>
      </c>
      <c r="C51" s="3" t="inlineStr">
        <is>
          <t>Gloria</t>
        </is>
      </c>
      <c r="D51" s="3" t="inlineStr">
        <is>
          <t>189428</t>
        </is>
      </c>
      <c r="E51" s="4" t="inlineStr">
        <is>
          <t>RS Rainbow Mix</t>
        </is>
      </c>
      <c r="F51" s="4" t="inlineStr">
        <is>
          <t>Alpha Flora</t>
        </is>
      </c>
      <c r="G51" s="4" t="inlineStr">
        <is>
          <t>COLOR Mixto · ALTURA 40 cm</t>
        </is>
      </c>
      <c r="H51" s="3" t="inlineStr"/>
      <c r="I51" s="3" t="n">
        <v>60</v>
      </c>
      <c r="J51" s="3" t="inlineStr">
        <is>
          <t>60 шт.</t>
        </is>
      </c>
      <c r="K51" s="4">
        <f>IMAGE("https://cdn.verdnatura.es/image/catalog/1600x900/189428")</f>
        <v/>
      </c>
      <c r="L51" s="5" t="n"/>
      <c r="M51" s="6" t="n"/>
      <c r="N51" s="7" t="n"/>
      <c r="O51" s="8" t="n">
        <v>0.25</v>
      </c>
      <c r="P51" s="8" t="n">
        <v>15</v>
      </c>
    </row>
    <row r="52" ht="110" customHeight="1">
      <c r="A52" s="3" t="inlineStr">
        <is>
          <t>12818490</t>
        </is>
      </c>
      <c r="B52" s="3" t="inlineStr">
        <is>
          <t>18-05-2026</t>
        </is>
      </c>
      <c r="C52" s="3" t="inlineStr">
        <is>
          <t>Gloria</t>
        </is>
      </c>
      <c r="D52" s="3" t="inlineStr">
        <is>
          <t>27909</t>
        </is>
      </c>
      <c r="E52" s="4" t="inlineStr">
        <is>
          <t>Statice Arlequin</t>
        </is>
      </c>
      <c r="F52" s="4" t="inlineStr">
        <is>
          <t>Santa Dorotea</t>
        </is>
      </c>
      <c r="G52" s="4" t="inlineStr">
        <is>
          <t>COLOR Mixto · ALTURA 70 cm · PESO/TALLO 30 gr</t>
        </is>
      </c>
      <c r="H52" s="3" t="inlineStr"/>
      <c r="I52" s="3" t="n">
        <v>25</v>
      </c>
      <c r="J52" s="3" t="inlineStr">
        <is>
          <t>25 шт.</t>
        </is>
      </c>
      <c r="K52" s="4">
        <f>IMAGE("https://cdn.verdnatura.es/image/catalog/1600x900/27909")</f>
        <v/>
      </c>
      <c r="L52" s="5" t="n"/>
      <c r="M52" s="6" t="n"/>
      <c r="N52" s="7" t="n"/>
      <c r="O52" s="8" t="n">
        <v>0.31</v>
      </c>
      <c r="P52" s="8" t="n">
        <v>7.75</v>
      </c>
    </row>
    <row r="53" ht="110" customHeight="1">
      <c r="A53" s="3" t="inlineStr">
        <is>
          <t>12818490</t>
        </is>
      </c>
      <c r="B53" s="3" t="inlineStr">
        <is>
          <t>18-05-2026</t>
        </is>
      </c>
      <c r="C53" s="3" t="inlineStr">
        <is>
          <t>Gloria</t>
        </is>
      </c>
      <c r="D53" s="3" t="inlineStr">
        <is>
          <t>62404</t>
        </is>
      </c>
      <c r="E53" s="4" t="inlineStr">
        <is>
          <t>Viburnum Roseum</t>
        </is>
      </c>
      <c r="F53" s="4" t="inlineStr"/>
      <c r="G53" s="4" t="inlineStr">
        <is>
          <t>COLOR Verde Claro · ALTURA 60 cm · Nº FLORES 2</t>
        </is>
      </c>
      <c r="H53" s="3" t="inlineStr"/>
      <c r="I53" s="3" t="n">
        <v>10</v>
      </c>
      <c r="J53" s="3" t="inlineStr">
        <is>
          <t>10 шт.</t>
        </is>
      </c>
      <c r="K53" s="4">
        <f>IMAGE("https://cdn.verdnatura.es/image/catalog/1600x900/62404")</f>
        <v/>
      </c>
      <c r="L53" s="5" t="n"/>
      <c r="M53" s="6" t="n"/>
      <c r="N53" s="7" t="n"/>
      <c r="O53" s="8" t="n">
        <v>1.17</v>
      </c>
      <c r="P53" s="8" t="n">
        <v>11.7</v>
      </c>
    </row>
    <row r="54" ht="26" customHeight="1">
      <c r="A54" s="2" t="inlineStr">
        <is>
          <t>📦  Накладная #12818838  ·  18-05-2026  ·  Gloria  ·  4 позиций  ·  bultos: 0</t>
        </is>
      </c>
    </row>
    <row r="55" ht="110" customHeight="1">
      <c r="A55" s="3" t="inlineStr">
        <is>
          <t>12818838</t>
        </is>
      </c>
      <c r="B55" s="3" t="inlineStr">
        <is>
          <t>18-05-2026</t>
        </is>
      </c>
      <c r="C55" s="3" t="inlineStr">
        <is>
          <t>Gloria</t>
        </is>
      </c>
      <c r="D55" s="3" t="inlineStr">
        <is>
          <t>171750</t>
        </is>
      </c>
      <c r="E55" s="4" t="inlineStr">
        <is>
          <t>Cesta Hierba marina Redonda</t>
        </is>
      </c>
      <c r="F55" s="4" t="inlineStr">
        <is>
          <t>Verdnatura</t>
        </is>
      </c>
      <c r="G55" s="4" t="inlineStr">
        <is>
          <t>ALTURA 10.5 cm · DIAMETRO 12.5 cm · DIAMETRO BOCA 11.5 cm</t>
        </is>
      </c>
      <c r="H55" s="3" t="inlineStr"/>
      <c r="I55" s="3" t="n">
        <v>12</v>
      </c>
      <c r="J55" s="3" t="inlineStr">
        <is>
          <t>12 шт.</t>
        </is>
      </c>
      <c r="K55" s="4">
        <f>IMAGE("https://cdn.verdnatura.es/image/catalog/1600x900/171750")</f>
        <v/>
      </c>
      <c r="L55" s="5" t="n"/>
      <c r="M55" s="6" t="n"/>
      <c r="N55" s="7" t="n"/>
      <c r="O55" s="8" t="n">
        <v>1.16</v>
      </c>
      <c r="P55" s="8" t="n">
        <v>13.92</v>
      </c>
    </row>
    <row r="56" ht="110" customHeight="1">
      <c r="A56" s="3" t="inlineStr">
        <is>
          <t>12818838</t>
        </is>
      </c>
      <c r="B56" s="3" t="inlineStr">
        <is>
          <t>18-05-2026</t>
        </is>
      </c>
      <c r="C56" s="3" t="inlineStr">
        <is>
          <t>Gloria</t>
        </is>
      </c>
      <c r="D56" s="3" t="inlineStr">
        <is>
          <t>171755</t>
        </is>
      </c>
      <c r="E56" s="4" t="inlineStr">
        <is>
          <t>Cesta Hierba marina Redonda</t>
        </is>
      </c>
      <c r="F56" s="4" t="inlineStr">
        <is>
          <t>Verdnatura</t>
        </is>
      </c>
      <c r="G56" s="4" t="inlineStr">
        <is>
          <t>ALTURA 14 cm · DIAMETRO 16 cm · DIAMETRO BOCA 15 cm</t>
        </is>
      </c>
      <c r="H56" s="3" t="inlineStr"/>
      <c r="I56" s="3" t="n">
        <v>6</v>
      </c>
      <c r="J56" s="3" t="inlineStr">
        <is>
          <t>6 шт.</t>
        </is>
      </c>
      <c r="K56" s="4">
        <f>IMAGE("https://cdn.verdnatura.es/image/catalog/1600x900/171755")</f>
        <v/>
      </c>
      <c r="L56" s="5" t="n"/>
      <c r="M56" s="6" t="n"/>
      <c r="N56" s="7" t="n"/>
      <c r="O56" s="8" t="n">
        <v>2.25</v>
      </c>
      <c r="P56" s="8" t="n">
        <v>13.5</v>
      </c>
    </row>
    <row r="57" ht="110" customHeight="1">
      <c r="A57" s="3" t="inlineStr">
        <is>
          <t>12818838</t>
        </is>
      </c>
      <c r="B57" s="3" t="inlineStr">
        <is>
          <t>18-05-2026</t>
        </is>
      </c>
      <c r="C57" s="3" t="inlineStr">
        <is>
          <t>Gloria</t>
        </is>
      </c>
      <c r="D57" s="3" t="inlineStr">
        <is>
          <t>171756</t>
        </is>
      </c>
      <c r="E57" s="4" t="inlineStr">
        <is>
          <t>Cesta Hierba marina Redonda</t>
        </is>
      </c>
      <c r="F57" s="4" t="inlineStr">
        <is>
          <t>Verdnatura</t>
        </is>
      </c>
      <c r="G57" s="4" t="inlineStr">
        <is>
          <t>ALTURA 17 cm · DIAMETRO 18 cm · COLOR Natural</t>
        </is>
      </c>
      <c r="H57" s="3" t="inlineStr"/>
      <c r="I57" s="3" t="n">
        <v>6</v>
      </c>
      <c r="J57" s="3" t="inlineStr">
        <is>
          <t>6 шт.</t>
        </is>
      </c>
      <c r="K57" s="4">
        <f>IMAGE("https://cdn.verdnatura.es/image/catalog/1600x900/171756")</f>
        <v/>
      </c>
      <c r="L57" s="5" t="n"/>
      <c r="M57" s="6" t="n"/>
      <c r="N57" s="7" t="n"/>
      <c r="O57" s="8" t="n">
        <v>2.82</v>
      </c>
      <c r="P57" s="8" t="n">
        <v>16.92</v>
      </c>
    </row>
    <row r="58" ht="110" customHeight="1">
      <c r="A58" s="3" t="inlineStr">
        <is>
          <t>12818838</t>
        </is>
      </c>
      <c r="B58" s="3" t="inlineStr">
        <is>
          <t>18-05-2026</t>
        </is>
      </c>
      <c r="C58" s="3" t="inlineStr">
        <is>
          <t>Gloria</t>
        </is>
      </c>
      <c r="D58" s="3" t="inlineStr">
        <is>
          <t>195608</t>
        </is>
      </c>
      <c r="E58" s="4" t="inlineStr">
        <is>
          <t>Set de 3 Cestas Gala Cylinder</t>
        </is>
      </c>
      <c r="F58" s="4" t="inlineStr">
        <is>
          <t>Mega Ceramics</t>
        </is>
      </c>
      <c r="G58" s="4" t="inlineStr">
        <is>
          <t>ALTURA 30 cm · DIAMETRO 35 cm · DIAMETRO BOCA 33 cm</t>
        </is>
      </c>
      <c r="H58" s="3" t="inlineStr"/>
      <c r="I58" s="3" t="n">
        <v>2</v>
      </c>
      <c r="J58" s="3" t="inlineStr">
        <is>
          <t>2 шт.</t>
        </is>
      </c>
      <c r="K58" s="4">
        <f>IMAGE("https://cdn.verdnatura.es/image/catalog/1600x900/195608")</f>
        <v/>
      </c>
      <c r="L58" s="5" t="n"/>
      <c r="M58" s="6" t="n"/>
      <c r="N58" s="7" t="n"/>
      <c r="O58" s="8" t="n">
        <v>29.43</v>
      </c>
      <c r="P58" s="8" t="n">
        <v>58.86</v>
      </c>
    </row>
    <row r="59" ht="26" customHeight="1">
      <c r="A59" s="2" t="inlineStr">
        <is>
          <t>📦  Накладная #12819464  ·  18-05-2026  ·  Gloria  ·  1 позиций  ·  bultos: 1</t>
        </is>
      </c>
    </row>
    <row r="60" ht="110" customHeight="1">
      <c r="A60" s="3" t="inlineStr">
        <is>
          <t>12819464</t>
        </is>
      </c>
      <c r="B60" s="3" t="inlineStr">
        <is>
          <t>18-05-2026</t>
        </is>
      </c>
      <c r="C60" s="3" t="inlineStr">
        <is>
          <t>Gloria</t>
        </is>
      </c>
      <c r="D60" s="3" t="inlineStr">
        <is>
          <t>126131</t>
        </is>
      </c>
      <c r="E60" s="4" t="inlineStr">
        <is>
          <t>PHAL 3T Mix PRO (Caja) Decorum</t>
        </is>
      </c>
      <c r="F60" s="4" t="inlineStr">
        <is>
          <t>Bernhard Orchids</t>
        </is>
      </c>
      <c r="G60" s="4" t="inlineStr">
        <is>
          <t>COLOR Mixto · ALTURA 65 cm · MACETA 12</t>
        </is>
      </c>
      <c r="H60" s="3" t="inlineStr"/>
      <c r="I60" s="3" t="n">
        <v>12</v>
      </c>
      <c r="J60" s="3" t="inlineStr">
        <is>
          <t>12 шт.</t>
        </is>
      </c>
      <c r="K60" s="4">
        <f>IMAGE("https://cdn.verdnatura.es/image/catalog/1600x900/126131")</f>
        <v/>
      </c>
      <c r="L60" s="5" t="n"/>
      <c r="M60" s="6" t="n"/>
      <c r="N60" s="7" t="n"/>
      <c r="O60" s="8" t="n">
        <v>11.19</v>
      </c>
      <c r="P60" s="8" t="n">
        <v>134.28</v>
      </c>
    </row>
    <row r="61" ht="26" customHeight="1">
      <c r="A61" s="2" t="inlineStr">
        <is>
          <t>📦  Накладная #12819759  ·  18-05-2026  ·  Gloria  ·  13 позиций  ·  bultos: 0</t>
        </is>
      </c>
    </row>
    <row r="62" ht="110" customHeight="1">
      <c r="A62" s="3" t="inlineStr">
        <is>
          <t>12819759</t>
        </is>
      </c>
      <c r="B62" s="3" t="inlineStr">
        <is>
          <t>18-05-2026</t>
        </is>
      </c>
      <c r="C62" s="3" t="inlineStr">
        <is>
          <t>Gloria</t>
        </is>
      </c>
      <c r="D62" s="3" t="inlineStr">
        <is>
          <t>116170</t>
        </is>
      </c>
      <c r="E62" s="4" t="inlineStr">
        <is>
          <t>Anti Geranio Taladro</t>
        </is>
      </c>
      <c r="F62" s="4" t="inlineStr">
        <is>
          <t>Protect Garden</t>
        </is>
      </c>
      <c r="G62" s="4" t="inlineStr">
        <is>
          <t>COLOR Rojo/Verde</t>
        </is>
      </c>
      <c r="H62" s="3" t="inlineStr"/>
      <c r="I62" s="3" t="n">
        <v>2</v>
      </c>
      <c r="J62" s="3" t="inlineStr">
        <is>
          <t>2 шт.</t>
        </is>
      </c>
      <c r="K62" s="4">
        <f>IMAGE("https://cdn.verdnatura.es/image/catalog/1600x900/116170")</f>
        <v/>
      </c>
      <c r="L62" s="5" t="n"/>
      <c r="M62" s="6" t="n"/>
      <c r="N62" s="7" t="n"/>
      <c r="O62" s="8" t="n">
        <v>8.25</v>
      </c>
      <c r="P62" s="8" t="n">
        <v>16.5</v>
      </c>
    </row>
    <row r="63" ht="110" customHeight="1">
      <c r="A63" s="3" t="inlineStr">
        <is>
          <t>12819759</t>
        </is>
      </c>
      <c r="B63" s="3" t="inlineStr">
        <is>
          <t>18-05-2026</t>
        </is>
      </c>
      <c r="C63" s="3" t="inlineStr">
        <is>
          <t>Gloria</t>
        </is>
      </c>
      <c r="D63" s="3" t="inlineStr">
        <is>
          <t>16908</t>
        </is>
      </c>
      <c r="E63" s="4" t="inlineStr">
        <is>
          <t>Anti Hormigas</t>
        </is>
      </c>
      <c r="F63" s="4" t="inlineStr">
        <is>
          <t>Flower</t>
        </is>
      </c>
      <c r="G63" s="4" t="inlineStr">
        <is>
          <t>COLOR Morado · CONTENIDO 750 ml</t>
        </is>
      </c>
      <c r="H63" s="3" t="inlineStr"/>
      <c r="I63" s="3" t="n">
        <v>1</v>
      </c>
      <c r="J63" s="3" t="inlineStr">
        <is>
          <t>1 шт.</t>
        </is>
      </c>
      <c r="K63" s="4">
        <f>IMAGE("https://cdn.verdnatura.es/image/catalog/1600x900/16908")</f>
        <v/>
      </c>
      <c r="L63" s="5" t="n"/>
      <c r="M63" s="6" t="n"/>
      <c r="N63" s="7" t="n"/>
      <c r="O63" s="8" t="n">
        <v>8.41</v>
      </c>
      <c r="P63" s="8" t="n">
        <v>8.41</v>
      </c>
    </row>
    <row r="64" ht="110" customHeight="1">
      <c r="A64" s="3" t="inlineStr">
        <is>
          <t>12819759</t>
        </is>
      </c>
      <c r="B64" s="3" t="inlineStr">
        <is>
          <t>18-05-2026</t>
        </is>
      </c>
      <c r="C64" s="3" t="inlineStr">
        <is>
          <t>Gloria</t>
        </is>
      </c>
      <c r="D64" s="3" t="inlineStr">
        <is>
          <t>200760</t>
        </is>
      </c>
      <c r="E64" s="4" t="inlineStr">
        <is>
          <t>Fertilizante ONE Granulado</t>
        </is>
      </c>
      <c r="F64" s="4" t="inlineStr"/>
      <c r="G64" s="4" t="inlineStr">
        <is>
          <t>COLOR Amarillo · CONTENIDO 750 gr</t>
        </is>
      </c>
      <c r="H64" s="3" t="inlineStr"/>
      <c r="I64" s="3" t="n">
        <v>1</v>
      </c>
      <c r="J64" s="3" t="inlineStr">
        <is>
          <t>1 шт.</t>
        </is>
      </c>
      <c r="K64" s="4">
        <f>IMAGE("https://cdn.verdnatura.es/image/catalog/1600x900/200760")</f>
        <v/>
      </c>
      <c r="L64" s="5" t="n"/>
      <c r="M64" s="6" t="n"/>
      <c r="N64" s="7" t="n"/>
      <c r="O64" s="8" t="n">
        <v>7.67</v>
      </c>
      <c r="P64" s="8" t="n">
        <v>7.67</v>
      </c>
    </row>
    <row r="65" ht="110" customHeight="1">
      <c r="A65" s="3" t="inlineStr">
        <is>
          <t>12819759</t>
        </is>
      </c>
      <c r="B65" s="3" t="inlineStr">
        <is>
          <t>18-05-2026</t>
        </is>
      </c>
      <c r="C65" s="3" t="inlineStr">
        <is>
          <t>Gloria</t>
        </is>
      </c>
      <c r="D65" s="3" t="inlineStr">
        <is>
          <t>116192</t>
        </is>
      </c>
      <c r="E65" s="4" t="inlineStr">
        <is>
          <t>Gel Anticucarachas</t>
        </is>
      </c>
      <c r="F65" s="4" t="inlineStr">
        <is>
          <t>Protect Home</t>
        </is>
      </c>
      <c r="G65" s="4" t="inlineStr">
        <is>
          <t>COLOR Verde Pistacho · CONTENIDO 20 g</t>
        </is>
      </c>
      <c r="H65" s="3" t="inlineStr"/>
      <c r="I65" s="3" t="n">
        <v>1</v>
      </c>
      <c r="J65" s="3" t="inlineStr">
        <is>
          <t>1 шт.</t>
        </is>
      </c>
      <c r="K65" s="4">
        <f>IMAGE("https://cdn.verdnatura.es/image/catalog/1600x900/116192")</f>
        <v/>
      </c>
      <c r="L65" s="5" t="n"/>
      <c r="M65" s="6" t="n"/>
      <c r="N65" s="7" t="n"/>
      <c r="O65" s="8" t="n">
        <v>8.119999999999999</v>
      </c>
      <c r="P65" s="8" t="n">
        <v>8.119999999999999</v>
      </c>
    </row>
    <row r="66" ht="110" customHeight="1">
      <c r="A66" s="3" t="inlineStr">
        <is>
          <t>12819759</t>
        </is>
      </c>
      <c r="B66" s="3" t="inlineStr">
        <is>
          <t>18-05-2026</t>
        </is>
      </c>
      <c r="C66" s="3" t="inlineStr">
        <is>
          <t>Gloria</t>
        </is>
      </c>
      <c r="D66" s="3" t="inlineStr">
        <is>
          <t>127609</t>
        </is>
      </c>
      <c r="E66" s="4" t="inlineStr">
        <is>
          <t>Insecticida Sistémico Sanium A</t>
        </is>
      </c>
      <c r="F66" s="4" t="inlineStr">
        <is>
          <t>Protect Garden</t>
        </is>
      </c>
      <c r="G66" s="4" t="inlineStr">
        <is>
          <t>COLOR Verde · CONTENIDO 800 ml</t>
        </is>
      </c>
      <c r="H66" s="3" t="inlineStr"/>
      <c r="I66" s="3" t="n">
        <v>1</v>
      </c>
      <c r="J66" s="3" t="inlineStr">
        <is>
          <t>1 шт.</t>
        </is>
      </c>
      <c r="K66" s="4">
        <f>IMAGE("https://cdn.verdnatura.es/image/catalog/1600x900/127609")</f>
        <v/>
      </c>
      <c r="L66" s="5" t="n"/>
      <c r="M66" s="6" t="n"/>
      <c r="N66" s="7" t="n"/>
      <c r="O66" s="8" t="n">
        <v>8.25</v>
      </c>
      <c r="P66" s="8" t="n">
        <v>8.25</v>
      </c>
    </row>
    <row r="67" ht="110" customHeight="1">
      <c r="A67" s="3" t="inlineStr">
        <is>
          <t>12819759</t>
        </is>
      </c>
      <c r="B67" s="3" t="inlineStr">
        <is>
          <t>18-05-2026</t>
        </is>
      </c>
      <c r="C67" s="3" t="inlineStr">
        <is>
          <t>Gloria</t>
        </is>
      </c>
      <c r="D67" s="3" t="inlineStr">
        <is>
          <t>127606</t>
        </is>
      </c>
      <c r="E67" s="4" t="inlineStr">
        <is>
          <t>Insecticida Sistémico Sanium M</t>
        </is>
      </c>
      <c r="F67" s="4" t="inlineStr">
        <is>
          <t>Protect Garden</t>
        </is>
      </c>
      <c r="G67" s="4" t="inlineStr">
        <is>
          <t>COLOR Verde · CONTENIDO 800 ml</t>
        </is>
      </c>
      <c r="H67" s="3" t="inlineStr"/>
      <c r="I67" s="3" t="n">
        <v>1</v>
      </c>
      <c r="J67" s="3" t="inlineStr">
        <is>
          <t>1 шт.</t>
        </is>
      </c>
      <c r="K67" s="4">
        <f>IMAGE("https://cdn.verdnatura.es/image/catalog/1600x900/127606")</f>
        <v/>
      </c>
      <c r="L67" s="5" t="n"/>
      <c r="M67" s="6" t="n"/>
      <c r="N67" s="7" t="n"/>
      <c r="O67" s="8" t="n">
        <v>8.25</v>
      </c>
      <c r="P67" s="8" t="n">
        <v>8.25</v>
      </c>
    </row>
    <row r="68" ht="110" customHeight="1">
      <c r="A68" s="3" t="inlineStr">
        <is>
          <t>12819759</t>
        </is>
      </c>
      <c r="B68" s="3" t="inlineStr">
        <is>
          <t>18-05-2026</t>
        </is>
      </c>
      <c r="C68" s="3" t="inlineStr">
        <is>
          <t>Gloria</t>
        </is>
      </c>
      <c r="D68" s="3" t="inlineStr">
        <is>
          <t>59040</t>
        </is>
      </c>
      <c r="E68" s="4" t="inlineStr">
        <is>
          <t>PAN Amarilla MA 30 gr</t>
        </is>
      </c>
      <c r="F68" s="4" t="inlineStr">
        <is>
          <t>Malima</t>
        </is>
      </c>
      <c r="G68" s="4" t="inlineStr">
        <is>
          <t>COLOR Amarillo · ALTURA 75 cm · TAMAÑO FLOR XL</t>
        </is>
      </c>
      <c r="H68" s="3" t="inlineStr"/>
      <c r="I68" s="3" t="n">
        <v>25</v>
      </c>
      <c r="J68" s="3" t="inlineStr">
        <is>
          <t>25 шт.</t>
        </is>
      </c>
      <c r="K68" s="4">
        <f>IMAGE("https://cdn.verdnatura.es/image/catalog/1600x900/59040")</f>
        <v/>
      </c>
      <c r="L68" s="5" t="n"/>
      <c r="M68" s="6" t="n"/>
      <c r="N68" s="7" t="n"/>
      <c r="O68" s="8" t="n">
        <v>0.48</v>
      </c>
      <c r="P68" s="8" t="n">
        <v>12</v>
      </c>
    </row>
    <row r="69" ht="110" customHeight="1">
      <c r="A69" s="3" t="inlineStr">
        <is>
          <t>12819759</t>
        </is>
      </c>
      <c r="B69" s="3" t="inlineStr">
        <is>
          <t>18-05-2026</t>
        </is>
      </c>
      <c r="C69" s="3" t="inlineStr">
        <is>
          <t>Gloria</t>
        </is>
      </c>
      <c r="D69" s="3" t="inlineStr">
        <is>
          <t>160893</t>
        </is>
      </c>
      <c r="E69" s="4" t="inlineStr">
        <is>
          <t>PAN Million Star 36 gr</t>
        </is>
      </c>
      <c r="F69" s="4" t="inlineStr">
        <is>
          <t>Esmeralda</t>
        </is>
      </c>
      <c r="G69" s="4" t="inlineStr">
        <is>
          <t>COLOR Blanco · ALTURA 80 cm · TAMAÑO FLOR S</t>
        </is>
      </c>
      <c r="H69" s="3" t="inlineStr"/>
      <c r="I69" s="3" t="n">
        <v>25</v>
      </c>
      <c r="J69" s="3" t="inlineStr">
        <is>
          <t>25 шт.</t>
        </is>
      </c>
      <c r="K69" s="4">
        <f>IMAGE("https://cdn.verdnatura.es/image/catalog/1600x900/160893")</f>
        <v/>
      </c>
      <c r="L69" s="5" t="n"/>
      <c r="M69" s="6" t="n"/>
      <c r="N69" s="7" t="n"/>
      <c r="O69" s="8" t="n">
        <v>0.52</v>
      </c>
      <c r="P69" s="8" t="n">
        <v>13</v>
      </c>
    </row>
    <row r="70" ht="110" customHeight="1">
      <c r="A70" s="3" t="inlineStr">
        <is>
          <t>12819759</t>
        </is>
      </c>
      <c r="B70" s="3" t="inlineStr">
        <is>
          <t>18-05-2026</t>
        </is>
      </c>
      <c r="C70" s="3" t="inlineStr">
        <is>
          <t>Gloria</t>
        </is>
      </c>
      <c r="D70" s="3" t="inlineStr">
        <is>
          <t>36764</t>
        </is>
      </c>
      <c r="E70" s="4" t="inlineStr">
        <is>
          <t>PAN Roja MA 30 gr</t>
        </is>
      </c>
      <c r="F70" s="4" t="inlineStr">
        <is>
          <t>Malima</t>
        </is>
      </c>
      <c r="G70" s="4" t="inlineStr">
        <is>
          <t>COLOR Rojo · ALTURA 75 cm · TAMAÑO FLOR XL</t>
        </is>
      </c>
      <c r="H70" s="3" t="inlineStr"/>
      <c r="I70" s="3" t="n">
        <v>25</v>
      </c>
      <c r="J70" s="3" t="inlineStr">
        <is>
          <t>25 шт.</t>
        </is>
      </c>
      <c r="K70" s="4">
        <f>IMAGE("https://cdn.verdnatura.es/image/catalog/1600x900/36764")</f>
        <v/>
      </c>
      <c r="L70" s="5" t="n"/>
      <c r="M70" s="6" t="n"/>
      <c r="N70" s="7" t="n"/>
      <c r="O70" s="8" t="n">
        <v>0.48</v>
      </c>
      <c r="P70" s="8" t="n">
        <v>12</v>
      </c>
    </row>
    <row r="71" ht="110" customHeight="1">
      <c r="A71" s="3" t="inlineStr">
        <is>
          <t>12819759</t>
        </is>
      </c>
      <c r="B71" s="3" t="inlineStr">
        <is>
          <t>18-05-2026</t>
        </is>
      </c>
      <c r="C71" s="3" t="inlineStr">
        <is>
          <t>Gloria</t>
        </is>
      </c>
      <c r="D71" s="3" t="inlineStr">
        <is>
          <t>59033</t>
        </is>
      </c>
      <c r="E71" s="4" t="inlineStr">
        <is>
          <t>PAN Rosa MA 30 gr</t>
        </is>
      </c>
      <c r="F71" s="4" t="inlineStr">
        <is>
          <t>Malima</t>
        </is>
      </c>
      <c r="G71" s="4" t="inlineStr">
        <is>
          <t>COLOR Rosa · ALTURA 75 cm · TAMAÑO FLOR XL</t>
        </is>
      </c>
      <c r="H71" s="3" t="inlineStr"/>
      <c r="I71" s="3" t="n">
        <v>25</v>
      </c>
      <c r="J71" s="3" t="inlineStr">
        <is>
          <t>25 шт.</t>
        </is>
      </c>
      <c r="K71" s="4">
        <f>IMAGE("https://cdn.verdnatura.es/image/catalog/1600x900/59033")</f>
        <v/>
      </c>
      <c r="L71" s="5" t="n"/>
      <c r="M71" s="6" t="n"/>
      <c r="N71" s="7" t="n"/>
      <c r="O71" s="8" t="n">
        <v>0.48</v>
      </c>
      <c r="P71" s="8" t="n">
        <v>12</v>
      </c>
    </row>
    <row r="72" ht="110" customHeight="1">
      <c r="A72" s="3" t="inlineStr">
        <is>
          <t>12819759</t>
        </is>
      </c>
      <c r="B72" s="3" t="inlineStr">
        <is>
          <t>18-05-2026</t>
        </is>
      </c>
      <c r="C72" s="3" t="inlineStr">
        <is>
          <t>Gloria</t>
        </is>
      </c>
      <c r="D72" s="3" t="inlineStr">
        <is>
          <t>177175</t>
        </is>
      </c>
      <c r="E72" s="4" t="inlineStr">
        <is>
          <t>RS Explorer EXT</t>
        </is>
      </c>
      <c r="F72" s="4" t="inlineStr">
        <is>
          <t>Ecuador</t>
        </is>
      </c>
      <c r="G72" s="4" t="inlineStr">
        <is>
          <t>COLOR Rojo · ALTURA 60 cm · BOTÓN MINIMO 6 cm</t>
        </is>
      </c>
      <c r="H72" s="3" t="inlineStr"/>
      <c r="I72" s="3" t="n">
        <v>50</v>
      </c>
      <c r="J72" s="3" t="inlineStr">
        <is>
          <t>50 шт.</t>
        </is>
      </c>
      <c r="K72" s="4">
        <f>IMAGE("https://cdn.verdnatura.es/image/catalog/1600x900/177175")</f>
        <v/>
      </c>
      <c r="L72" s="5" t="n"/>
      <c r="M72" s="6" t="n"/>
      <c r="N72" s="7" t="n"/>
      <c r="O72" s="8" t="n">
        <v>0.74</v>
      </c>
      <c r="P72" s="8" t="n">
        <v>37</v>
      </c>
    </row>
    <row r="73" ht="110" customHeight="1">
      <c r="A73" s="3" t="inlineStr">
        <is>
          <t>12819759</t>
        </is>
      </c>
      <c r="B73" s="3" t="inlineStr">
        <is>
          <t>18-05-2026</t>
        </is>
      </c>
      <c r="C73" s="3" t="inlineStr">
        <is>
          <t>Gloria</t>
        </is>
      </c>
      <c r="D73" s="3" t="inlineStr">
        <is>
          <t>144431</t>
        </is>
      </c>
      <c r="E73" s="4" t="inlineStr">
        <is>
          <t>RS Miss Piggy SEL</t>
        </is>
      </c>
      <c r="F73" s="4" t="inlineStr">
        <is>
          <t>Cantiza Flowers</t>
        </is>
      </c>
      <c r="G73" s="4" t="inlineStr">
        <is>
          <t>COLOR Rosa · ALTURA 60 cm · BOTÓN MINIMO 6 cm</t>
        </is>
      </c>
      <c r="H73" s="3" t="inlineStr"/>
      <c r="I73" s="3" t="n">
        <v>25</v>
      </c>
      <c r="J73" s="3" t="inlineStr">
        <is>
          <t>25 шт.</t>
        </is>
      </c>
      <c r="K73" s="4">
        <f>IMAGE("https://cdn.verdnatura.es/image/catalog/1600x900/144431")</f>
        <v/>
      </c>
      <c r="L73" s="5" t="n"/>
      <c r="M73" s="6" t="n"/>
      <c r="N73" s="7" t="n"/>
      <c r="O73" s="8" t="n">
        <v>0.6899999999999999</v>
      </c>
      <c r="P73" s="8" t="n">
        <v>17.25</v>
      </c>
    </row>
    <row r="74" ht="110" customHeight="1">
      <c r="A74" s="3" t="inlineStr">
        <is>
          <t>12819759</t>
        </is>
      </c>
      <c r="B74" s="3" t="inlineStr">
        <is>
          <t>18-05-2026</t>
        </is>
      </c>
      <c r="C74" s="3" t="inlineStr">
        <is>
          <t>Gloria</t>
        </is>
      </c>
      <c r="D74" s="3" t="inlineStr">
        <is>
          <t>16045</t>
        </is>
      </c>
      <c r="E74" s="4" t="inlineStr">
        <is>
          <t>Solidago Tara</t>
        </is>
      </c>
      <c r="F74" s="4" t="inlineStr">
        <is>
          <t>Cultivos Manzanares</t>
        </is>
      </c>
      <c r="G74" s="4" t="inlineStr">
        <is>
          <t>COLOR Amarillo · ALTURA 70 cm · PESO/TALLO 25 gr</t>
        </is>
      </c>
      <c r="H74" s="3" t="inlineStr"/>
      <c r="I74" s="3" t="n">
        <v>30</v>
      </c>
      <c r="J74" s="3" t="inlineStr">
        <is>
          <t>30 шт.</t>
        </is>
      </c>
      <c r="K74" s="4">
        <f>IMAGE("https://cdn.verdnatura.es/image/catalog/1600x900/16045")</f>
        <v/>
      </c>
      <c r="L74" s="5" t="n"/>
      <c r="M74" s="6" t="n"/>
      <c r="N74" s="7" t="n"/>
      <c r="O74" s="8" t="n">
        <v>0.22</v>
      </c>
      <c r="P74" s="8" t="n">
        <v>6.6</v>
      </c>
    </row>
    <row r="75" ht="26" customHeight="1">
      <c r="A75" s="2" t="inlineStr">
        <is>
          <t>📦  Накладная #12819824  ·  18-05-2026  ·  Gloria  ·  3 позиций  ·  bultos: 0</t>
        </is>
      </c>
    </row>
    <row r="76" ht="110" customHeight="1">
      <c r="A76" s="3" t="inlineStr">
        <is>
          <t>12819824</t>
        </is>
      </c>
      <c r="B76" s="3" t="inlineStr">
        <is>
          <t>18-05-2026</t>
        </is>
      </c>
      <c r="C76" s="3" t="inlineStr">
        <is>
          <t>Gloria</t>
        </is>
      </c>
      <c r="D76" s="3" t="inlineStr">
        <is>
          <t>149607</t>
        </is>
      </c>
      <c r="E76" s="4" t="inlineStr">
        <is>
          <t>DRAC Frag Derem Warneckei 3T</t>
        </is>
      </c>
      <c r="F76" s="4" t="inlineStr">
        <is>
          <t>R.C.P. van den Bosch</t>
        </is>
      </c>
      <c r="G76" s="4" t="inlineStr">
        <is>
          <t>COLOR Verde · ALTURA 140 cm · MACETA 24</t>
        </is>
      </c>
      <c r="H76" s="3" t="inlineStr"/>
      <c r="I76" s="3" t="n">
        <v>2</v>
      </c>
      <c r="J76" s="3" t="inlineStr">
        <is>
          <t>2 шт.</t>
        </is>
      </c>
      <c r="K76" s="4">
        <f>IMAGE("https://cdn.verdnatura.es/image/catalog/1600x900/149607")</f>
        <v/>
      </c>
      <c r="L76" s="5" t="n"/>
      <c r="M76" s="6" t="n"/>
      <c r="N76" s="7" t="n"/>
      <c r="O76" s="8" t="n">
        <v>26.4</v>
      </c>
      <c r="P76" s="8" t="n">
        <v>52.8</v>
      </c>
    </row>
    <row r="77" ht="110" customHeight="1">
      <c r="A77" s="3" t="inlineStr">
        <is>
          <t>12819824</t>
        </is>
      </c>
      <c r="B77" s="3" t="inlineStr">
        <is>
          <t>18-05-2026</t>
        </is>
      </c>
      <c r="C77" s="3" t="inlineStr">
        <is>
          <t>Gloria</t>
        </is>
      </c>
      <c r="D77" s="3" t="inlineStr">
        <is>
          <t>15413</t>
        </is>
      </c>
      <c r="E77" s="4" t="inlineStr">
        <is>
          <t>Kentia Howea</t>
        </is>
      </c>
      <c r="F77" s="4" t="inlineStr">
        <is>
          <t>Ornamentales Atlántico SL</t>
        </is>
      </c>
      <c r="G77" s="4" t="inlineStr">
        <is>
          <t>COLOR Verde · ALTURA 170-195cm · MACETA 25</t>
        </is>
      </c>
      <c r="H77" s="3" t="inlineStr"/>
      <c r="I77" s="3" t="n">
        <v>1</v>
      </c>
      <c r="J77" s="3" t="inlineStr">
        <is>
          <t>1 шт.</t>
        </is>
      </c>
      <c r="K77" s="4">
        <f>IMAGE("https://cdn.verdnatura.es/image/catalog/1600x900/15413")</f>
        <v/>
      </c>
      <c r="L77" s="5" t="n"/>
      <c r="M77" s="6" t="n"/>
      <c r="N77" s="7" t="n"/>
      <c r="O77" s="8" t="n">
        <v>52.66</v>
      </c>
      <c r="P77" s="8" t="n">
        <v>52.66</v>
      </c>
    </row>
    <row r="78" ht="110" customHeight="1">
      <c r="A78" s="3" t="inlineStr">
        <is>
          <t>12819824</t>
        </is>
      </c>
      <c r="B78" s="3" t="inlineStr">
        <is>
          <t>18-05-2026</t>
        </is>
      </c>
      <c r="C78" s="3" t="inlineStr">
        <is>
          <t>Gloria</t>
        </is>
      </c>
      <c r="D78" s="3" t="inlineStr">
        <is>
          <t>16141</t>
        </is>
      </c>
      <c r="E78" s="4" t="inlineStr">
        <is>
          <t>Kentia Howea</t>
        </is>
      </c>
      <c r="F78" s="4" t="inlineStr">
        <is>
          <t>Ornamentales Atlántico SL</t>
        </is>
      </c>
      <c r="G78" s="4" t="inlineStr">
        <is>
          <t>COLOR Verde · ALTURA 140-150 cm · MACETA 20</t>
        </is>
      </c>
      <c r="H78" s="3" t="inlineStr"/>
      <c r="I78" s="3" t="n">
        <v>2</v>
      </c>
      <c r="J78" s="3" t="inlineStr">
        <is>
          <t>2 шт.</t>
        </is>
      </c>
      <c r="K78" s="4">
        <f>IMAGE("https://cdn.verdnatura.es/image/catalog/1600x900/16141")</f>
        <v/>
      </c>
      <c r="L78" s="5" t="n"/>
      <c r="M78" s="6" t="n"/>
      <c r="N78" s="7" t="n"/>
      <c r="O78" s="8" t="n">
        <v>26.65</v>
      </c>
      <c r="P78" s="8" t="n">
        <v>53.3</v>
      </c>
    </row>
  </sheetData>
  <mergeCells count="12">
    <mergeCell ref="A5:P5"/>
    <mergeCell ref="A28:P28"/>
    <mergeCell ref="A32:P32"/>
    <mergeCell ref="A75:P75"/>
    <mergeCell ref="A54:P54"/>
    <mergeCell ref="A61:P61"/>
    <mergeCell ref="A22:P22"/>
    <mergeCell ref="A12:P12"/>
    <mergeCell ref="A30:P30"/>
    <mergeCell ref="A16:P16"/>
    <mergeCell ref="A59:P5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2026-06-22T21:39:05Z</dcterms:created>
  <dcterms:modified xmlns:dcterms="http://purl.org/dc/terms/" xmlns:xsi="http://www.w3.org/2001/XMLSchema-instance" xsi:type="dcterms:W3CDTF">2026-06-22T21:39:05Z</dcterms:modified>
</cp:coreProperties>
</file>