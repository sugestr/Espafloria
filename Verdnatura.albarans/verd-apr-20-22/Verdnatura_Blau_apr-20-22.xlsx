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#12648575  ·  19-04-2026  ·  Blau  ·  10 позиций  ·  bultos: 3</t>
        </is>
      </c>
    </row>
    <row r="3" ht="110" customHeight="1">
      <c r="A3" s="3" t="inlineStr">
        <is>
          <t>12648575</t>
        </is>
      </c>
      <c r="B3" s="3" t="inlineStr">
        <is>
          <t>19-04-2026</t>
        </is>
      </c>
      <c r="C3" s="3" t="inlineStr">
        <is>
          <t>Blau</t>
        </is>
      </c>
      <c r="D3" s="3" t="inlineStr">
        <is>
          <t>198063</t>
        </is>
      </c>
      <c r="E3" s="4" t="inlineStr">
        <is>
          <t>ASP SET Pintado Azul</t>
        </is>
      </c>
      <c r="F3" s="4" t="inlineStr"/>
      <c r="G3" s="4" t="inlineStr">
        <is>
          <t>COLOR Azul · ALTURA 45 cm</t>
        </is>
      </c>
      <c r="H3" s="3" t="inlineStr">
        <is>
          <t>Tallo</t>
        </is>
      </c>
      <c r="I3" s="3" t="n">
        <v>100</v>
      </c>
      <c r="J3" s="3" t="inlineStr">
        <is>
          <t>100 стеблей</t>
        </is>
      </c>
      <c r="K3" s="4">
        <f>IMAGE("https://cdn.verdnatura.es/image/catalog/1600x900/198063")</f>
        <v/>
      </c>
      <c r="L3" s="5" t="n"/>
      <c r="M3" s="6" t="n"/>
      <c r="N3" s="7" t="n"/>
      <c r="O3" s="8" t="n">
        <v>0.31</v>
      </c>
      <c r="P3" s="8" t="n">
        <v>31</v>
      </c>
    </row>
    <row r="4" ht="110" customHeight="1">
      <c r="A4" s="3" t="inlineStr">
        <is>
          <t>12648575</t>
        </is>
      </c>
      <c r="B4" s="3" t="inlineStr">
        <is>
          <t>19-04-2026</t>
        </is>
      </c>
      <c r="C4" s="3" t="inlineStr">
        <is>
          <t>Blau</t>
        </is>
      </c>
      <c r="D4" s="3" t="inlineStr">
        <is>
          <t>198757</t>
        </is>
      </c>
      <c r="E4" s="4" t="inlineStr">
        <is>
          <t>CR Altaj Dark Cherry 105 gr</t>
        </is>
      </c>
      <c r="F4" s="4" t="inlineStr">
        <is>
          <t>Zentoo</t>
        </is>
      </c>
      <c r="G4" s="4" t="inlineStr">
        <is>
          <t>COLOR Granate · ALTURA 70 cm · PESO/TALLO 105 gr</t>
        </is>
      </c>
      <c r="H4" s="3" t="inlineStr"/>
      <c r="I4" s="3" t="n">
        <v>30</v>
      </c>
      <c r="J4" s="3" t="inlineStr">
        <is>
          <t>30 шт.</t>
        </is>
      </c>
      <c r="K4" s="4">
        <f>IMAGE("https://cdn.verdnatura.es/image/catalog/1600x900/198757")</f>
        <v/>
      </c>
      <c r="L4" s="5" t="n"/>
      <c r="M4" s="6" t="n"/>
      <c r="N4" s="7" t="n"/>
      <c r="O4" s="8" t="n">
        <v>0.5</v>
      </c>
      <c r="P4" s="8" t="n">
        <v>15</v>
      </c>
    </row>
    <row r="5" ht="110" customHeight="1">
      <c r="A5" s="3" t="inlineStr">
        <is>
          <t>12648575</t>
        </is>
      </c>
      <c r="B5" s="3" t="inlineStr">
        <is>
          <t>19-04-2026</t>
        </is>
      </c>
      <c r="C5" s="3" t="inlineStr">
        <is>
          <t>Blau</t>
        </is>
      </c>
      <c r="D5" s="3" t="inlineStr">
        <is>
          <t>198749</t>
        </is>
      </c>
      <c r="E5" s="4" t="inlineStr">
        <is>
          <t>CR Altaj Galaxy 105 gr</t>
        </is>
      </c>
      <c r="F5" s="4" t="inlineStr">
        <is>
          <t>Zentoo</t>
        </is>
      </c>
      <c r="G5" s="4" t="inlineStr">
        <is>
          <t>COLOR Purpura/Rosa · ALTURA 70 cm · PESO/TALLO 105 gr</t>
        </is>
      </c>
      <c r="H5" s="3" t="inlineStr"/>
      <c r="I5" s="3" t="n">
        <v>30</v>
      </c>
      <c r="J5" s="3" t="inlineStr">
        <is>
          <t>30 шт.</t>
        </is>
      </c>
      <c r="K5" s="4">
        <f>IMAGE("https://cdn.verdnatura.es/image/catalog/1600x900/198749")</f>
        <v/>
      </c>
      <c r="L5" s="5" t="n"/>
      <c r="M5" s="6" t="n"/>
      <c r="N5" s="7" t="n"/>
      <c r="O5" s="8" t="n">
        <v>0.5</v>
      </c>
      <c r="P5" s="8" t="n">
        <v>15</v>
      </c>
    </row>
    <row r="6" ht="110" customHeight="1">
      <c r="A6" s="3" t="inlineStr">
        <is>
          <t>12648575</t>
        </is>
      </c>
      <c r="B6" s="3" t="inlineStr">
        <is>
          <t>19-04-2026</t>
        </is>
      </c>
      <c r="C6" s="3" t="inlineStr">
        <is>
          <t>Blau</t>
        </is>
      </c>
      <c r="D6" s="3" t="inlineStr">
        <is>
          <t>198746</t>
        </is>
      </c>
      <c r="E6" s="4" t="inlineStr">
        <is>
          <t>CR Altaj Soft Pink</t>
        </is>
      </c>
      <c r="F6" s="4" t="inlineStr">
        <is>
          <t>Zentoo</t>
        </is>
      </c>
      <c r="G6" s="4" t="inlineStr">
        <is>
          <t>COLOR Rosa Claro · ALTURA 70 cm</t>
        </is>
      </c>
      <c r="H6" s="3" t="inlineStr"/>
      <c r="I6" s="3" t="n">
        <v>30</v>
      </c>
      <c r="J6" s="3" t="inlineStr">
        <is>
          <t>30 шт.</t>
        </is>
      </c>
      <c r="K6" s="4">
        <f>IMAGE("https://cdn.verdnatura.es/image/catalog/1600x900/198746")</f>
        <v/>
      </c>
      <c r="L6" s="5" t="n"/>
      <c r="M6" s="6" t="n"/>
      <c r="N6" s="7" t="n"/>
      <c r="O6" s="8" t="n">
        <v>0.5</v>
      </c>
      <c r="P6" s="8" t="n">
        <v>15</v>
      </c>
    </row>
    <row r="7" ht="110" customHeight="1">
      <c r="A7" s="3" t="inlineStr">
        <is>
          <t>12648575</t>
        </is>
      </c>
      <c r="B7" s="3" t="inlineStr">
        <is>
          <t>19-04-2026</t>
        </is>
      </c>
      <c r="C7" s="3" t="inlineStr">
        <is>
          <t>Blau</t>
        </is>
      </c>
      <c r="D7" s="3" t="inlineStr">
        <is>
          <t>154826</t>
        </is>
      </c>
      <c r="E7" s="4" t="inlineStr">
        <is>
          <t>Craspedia Roja Teñido</t>
        </is>
      </c>
      <c r="F7" s="4" t="inlineStr">
        <is>
          <t>Jimmy Colors BV</t>
        </is>
      </c>
      <c r="G7" s="4" t="inlineStr">
        <is>
          <t>COLOR Rojo · ALTURA 70 cm</t>
        </is>
      </c>
      <c r="H7" s="3" t="inlineStr"/>
      <c r="I7" s="3" t="n">
        <v>50</v>
      </c>
      <c r="J7" s="3" t="inlineStr">
        <is>
          <t>50 шт.</t>
        </is>
      </c>
      <c r="K7" s="4">
        <f>IMAGE("https://cdn.verdnatura.es/image/catalog/1600x900/154826")</f>
        <v/>
      </c>
      <c r="L7" s="5" t="n"/>
      <c r="M7" s="6" t="n"/>
      <c r="N7" s="7" t="n"/>
      <c r="O7" s="8" t="n">
        <v>0.35</v>
      </c>
      <c r="P7" s="8" t="n">
        <v>17.5</v>
      </c>
    </row>
    <row r="8" ht="110" customHeight="1">
      <c r="A8" s="3" t="inlineStr">
        <is>
          <t>12648575</t>
        </is>
      </c>
      <c r="B8" s="3" t="inlineStr">
        <is>
          <t>19-04-2026</t>
        </is>
      </c>
      <c r="C8" s="3" t="inlineStr">
        <is>
          <t>Blau</t>
        </is>
      </c>
      <c r="D8" s="3" t="inlineStr">
        <is>
          <t>173386</t>
        </is>
      </c>
      <c r="E8" s="4" t="inlineStr">
        <is>
          <t>EUC CIN Azul 350 gr</t>
        </is>
      </c>
      <c r="F8" s="4" t="inlineStr">
        <is>
          <t>Triana</t>
        </is>
      </c>
      <c r="G8" s="4" t="inlineStr">
        <is>
          <t>ALTURA 65 cm · COLOR Azul</t>
        </is>
      </c>
      <c r="H8" s="3" t="inlineStr">
        <is>
          <t>Paquete</t>
        </is>
      </c>
      <c r="I8" s="3" t="n">
        <v>10</v>
      </c>
      <c r="J8" s="3" t="inlineStr">
        <is>
          <t>10 пачек</t>
        </is>
      </c>
      <c r="K8" s="4">
        <f>IMAGE("https://cdn.verdnatura.es/image/catalog/1600x900/173386")</f>
        <v/>
      </c>
      <c r="L8" s="5" t="n"/>
      <c r="M8" s="6" t="n"/>
      <c r="N8" s="7" t="n"/>
      <c r="O8" s="8" t="n">
        <v>4.32</v>
      </c>
      <c r="P8" s="8" t="n">
        <v>43.2</v>
      </c>
    </row>
    <row r="9" ht="110" customHeight="1">
      <c r="A9" s="3" t="inlineStr">
        <is>
          <t>12648575</t>
        </is>
      </c>
      <c r="B9" s="3" t="inlineStr">
        <is>
          <t>19-04-2026</t>
        </is>
      </c>
      <c r="C9" s="3" t="inlineStr">
        <is>
          <t>Blau</t>
        </is>
      </c>
      <c r="D9" s="3" t="inlineStr">
        <is>
          <t>201228</t>
        </is>
      </c>
      <c r="E9" s="4" t="inlineStr">
        <is>
          <t>HYD Mag Pink Floyd</t>
        </is>
      </c>
      <c r="F9" s="4" t="inlineStr"/>
      <c r="G9" s="4" t="inlineStr">
        <is>
          <t>COLOR Rosa · ALTURA 65 cm · DIAMETRO 21 cm</t>
        </is>
      </c>
      <c r="H9" s="3" t="inlineStr"/>
      <c r="I9" s="3" t="n">
        <v>20</v>
      </c>
      <c r="J9" s="3" t="inlineStr">
        <is>
          <t>20 шт.</t>
        </is>
      </c>
      <c r="K9" s="4">
        <f>IMAGE("https://cdn.verdnatura.es/image/catalog/1600x900/201228")</f>
        <v/>
      </c>
      <c r="L9" s="5" t="n"/>
      <c r="M9" s="6" t="n"/>
      <c r="N9" s="7" t="n"/>
      <c r="O9" s="8" t="n">
        <v>5.09</v>
      </c>
      <c r="P9" s="8" t="n">
        <v>101.8</v>
      </c>
    </row>
    <row r="10" ht="110" customHeight="1">
      <c r="A10" s="3" t="inlineStr">
        <is>
          <t>12648575</t>
        </is>
      </c>
      <c r="B10" s="3" t="inlineStr">
        <is>
          <t>19-04-2026</t>
        </is>
      </c>
      <c r="C10" s="3" t="inlineStr">
        <is>
          <t>Blau</t>
        </is>
      </c>
      <c r="D10" s="3" t="inlineStr">
        <is>
          <t>115642</t>
        </is>
      </c>
      <c r="E10" s="4" t="inlineStr">
        <is>
          <t>RS Jackpot+</t>
        </is>
      </c>
      <c r="F10" s="4" t="inlineStr">
        <is>
          <t>Holla Roses BV</t>
        </is>
      </c>
      <c r="G10" s="4" t="inlineStr">
        <is>
          <t>COLOR Amarillo · ALTURA 60 cm · BOTÓN MINIMO 3.5 cm</t>
        </is>
      </c>
      <c r="H10" s="3" t="inlineStr"/>
      <c r="I10" s="3" t="n">
        <v>100</v>
      </c>
      <c r="J10" s="3" t="inlineStr">
        <is>
          <t>100 шт.</t>
        </is>
      </c>
      <c r="K10" s="4">
        <f>IMAGE("https://cdn.verdnatura.es/image/catalog/1600x900/115642")</f>
        <v/>
      </c>
      <c r="L10" s="5" t="n"/>
      <c r="M10" s="6" t="n"/>
      <c r="N10" s="7" t="n"/>
      <c r="O10" s="8" t="n">
        <v>0.27</v>
      </c>
      <c r="P10" s="8" t="n">
        <v>27</v>
      </c>
    </row>
    <row r="11" ht="110" customHeight="1">
      <c r="A11" s="3" t="inlineStr">
        <is>
          <t>12648575</t>
        </is>
      </c>
      <c r="B11" s="3" t="inlineStr">
        <is>
          <t>19-04-2026</t>
        </is>
      </c>
      <c r="C11" s="3" t="inlineStr">
        <is>
          <t>Blau</t>
        </is>
      </c>
      <c r="D11" s="3" t="inlineStr">
        <is>
          <t>144524</t>
        </is>
      </c>
      <c r="E11" s="4" t="inlineStr">
        <is>
          <t>RS Upper Class</t>
        </is>
      </c>
      <c r="F11" s="4" t="inlineStr">
        <is>
          <t>Tinaw Flower</t>
        </is>
      </c>
      <c r="G11" s="4" t="inlineStr">
        <is>
          <t>COLOR Rojo · ALTURA 50 cm · BOTÓN MINIMO 4.0 cm</t>
        </is>
      </c>
      <c r="H11" s="3" t="inlineStr"/>
      <c r="I11" s="3" t="n">
        <v>100</v>
      </c>
      <c r="J11" s="3" t="inlineStr">
        <is>
          <t>100 шт.</t>
        </is>
      </c>
      <c r="K11" s="4">
        <f>IMAGE("https://cdn.verdnatura.es/image/catalog/1600x900/144524")</f>
        <v/>
      </c>
      <c r="L11" s="5" t="n"/>
      <c r="M11" s="6" t="n"/>
      <c r="N11" s="7" t="n"/>
      <c r="O11" s="8" t="n">
        <v>0.29</v>
      </c>
      <c r="P11" s="8" t="n">
        <v>29</v>
      </c>
    </row>
    <row r="12" ht="110" customHeight="1">
      <c r="A12" s="3" t="inlineStr">
        <is>
          <t>12648575</t>
        </is>
      </c>
      <c r="B12" s="3" t="inlineStr">
        <is>
          <t>19-04-2026</t>
        </is>
      </c>
      <c r="C12" s="3" t="inlineStr">
        <is>
          <t>Blau</t>
        </is>
      </c>
      <c r="D12" s="3" t="inlineStr">
        <is>
          <t>178501</t>
        </is>
      </c>
      <c r="E12" s="4" t="inlineStr">
        <is>
          <t>RSR Yellow Babe</t>
        </is>
      </c>
      <c r="F12" s="4" t="inlineStr">
        <is>
          <t>Mzurrie Maji</t>
        </is>
      </c>
      <c r="G12" s="4" t="inlineStr">
        <is>
          <t>COLOR Amarillo · ALTURA 50 cm · TAMAÑO BOTON Mediano</t>
        </is>
      </c>
      <c r="H12" s="3" t="inlineStr"/>
      <c r="I12" s="3" t="n">
        <v>100</v>
      </c>
      <c r="J12" s="3" t="inlineStr">
        <is>
          <t>100 шт.</t>
        </is>
      </c>
      <c r="K12" s="4">
        <f>IMAGE("https://cdn.verdnatura.es/image/catalog/1600x900/178501")</f>
        <v/>
      </c>
      <c r="L12" s="5" t="n"/>
      <c r="M12" s="6" t="n"/>
      <c r="N12" s="7" t="n"/>
      <c r="O12" s="8" t="n">
        <v>0.29</v>
      </c>
      <c r="P12" s="8" t="n">
        <v>29</v>
      </c>
    </row>
    <row r="13" ht="26" customHeight="1">
      <c r="A13" s="2" t="inlineStr">
        <is>
          <t>📦  Накладная #12650034  ·  19-04-2026  ·  Blau  ·  6 позиций  ·  bultos: 7</t>
        </is>
      </c>
    </row>
    <row r="14" ht="110" customHeight="1">
      <c r="A14" s="3" t="inlineStr">
        <is>
          <t>12650034</t>
        </is>
      </c>
      <c r="B14" s="3" t="inlineStr">
        <is>
          <t>19-04-2026</t>
        </is>
      </c>
      <c r="C14" s="3" t="inlineStr">
        <is>
          <t>Blau</t>
        </is>
      </c>
      <c r="D14" s="3" t="inlineStr">
        <is>
          <t>184552</t>
        </is>
      </c>
      <c r="E14" s="4" t="inlineStr">
        <is>
          <t>Cesta Leticia XL</t>
        </is>
      </c>
      <c r="F14" s="4" t="inlineStr">
        <is>
          <t>Verdnatura</t>
        </is>
      </c>
      <c r="G14" s="4" t="inlineStr">
        <is>
          <t>ALTURA CON ASA 35 cm · ALTURA 28 cm · DIAMETRO 28 cm</t>
        </is>
      </c>
      <c r="H14" s="3" t="inlineStr"/>
      <c r="I14" s="3" t="n">
        <v>4</v>
      </c>
      <c r="J14" s="3" t="inlineStr">
        <is>
          <t>4 шт.</t>
        </is>
      </c>
      <c r="K14" s="4">
        <f>IMAGE("https://cdn.verdnatura.es/image/catalog/1600x900/184552")</f>
        <v/>
      </c>
      <c r="L14" s="5" t="n"/>
      <c r="M14" s="6" t="n"/>
      <c r="N14" s="7" t="n"/>
      <c r="O14" s="8" t="n">
        <v>4.93</v>
      </c>
      <c r="P14" s="8" t="n">
        <v>19.72</v>
      </c>
    </row>
    <row r="15" ht="110" customHeight="1">
      <c r="A15" s="3" t="inlineStr">
        <is>
          <t>12650034</t>
        </is>
      </c>
      <c r="B15" s="3" t="inlineStr">
        <is>
          <t>19-04-2026</t>
        </is>
      </c>
      <c r="C15" s="3" t="inlineStr">
        <is>
          <t>Blau</t>
        </is>
      </c>
      <c r="D15" s="3" t="inlineStr">
        <is>
          <t>114094</t>
        </is>
      </c>
      <c r="E15" s="4" t="inlineStr">
        <is>
          <t>Copa Emperatriz</t>
        </is>
      </c>
      <c r="F15" s="4" t="inlineStr">
        <is>
          <t>Verdnatura</t>
        </is>
      </c>
      <c r="G15" s="4" t="inlineStr">
        <is>
          <t>ALTURA 17.7 cm · DIAMETRO 28.5 cm · DIAMETRO BOCA 25.5 cm</t>
        </is>
      </c>
      <c r="H15" s="3" t="inlineStr"/>
      <c r="I15" s="3" t="n">
        <v>4</v>
      </c>
      <c r="J15" s="3" t="inlineStr">
        <is>
          <t>4 шт.</t>
        </is>
      </c>
      <c r="K15" s="4">
        <f>IMAGE("https://cdn.verdnatura.es/image/catalog/1600x900/114094")</f>
        <v/>
      </c>
      <c r="L15" s="5" t="n"/>
      <c r="M15" s="6" t="n"/>
      <c r="N15" s="7" t="n"/>
      <c r="O15" s="8" t="n">
        <v>9.09</v>
      </c>
      <c r="P15" s="8" t="n">
        <v>36.36</v>
      </c>
    </row>
    <row r="16" ht="110" customHeight="1">
      <c r="A16" s="3" t="inlineStr">
        <is>
          <t>12650034</t>
        </is>
      </c>
      <c r="B16" s="3" t="inlineStr">
        <is>
          <t>19-04-2026</t>
        </is>
      </c>
      <c r="C16" s="3" t="inlineStr">
        <is>
          <t>Blau</t>
        </is>
      </c>
      <c r="D16" s="3" t="inlineStr">
        <is>
          <t>111767</t>
        </is>
      </c>
      <c r="E16" s="4" t="inlineStr">
        <is>
          <t>Copa Perla Especial plantas ma</t>
        </is>
      </c>
      <c r="F16" s="4" t="inlineStr">
        <is>
          <t>Verdnatura</t>
        </is>
      </c>
      <c r="G16" s="4" t="inlineStr">
        <is>
          <t>ALTURA 25 cm · DIAMETRO 20 cm · DIAMETRO BOCA 15.5 cm</t>
        </is>
      </c>
      <c r="H16" s="3" t="inlineStr"/>
      <c r="I16" s="3" t="n">
        <v>4</v>
      </c>
      <c r="J16" s="3" t="inlineStr">
        <is>
          <t>4 шт.</t>
        </is>
      </c>
      <c r="K16" s="4">
        <f>IMAGE("https://cdn.verdnatura.es/image/catalog/1600x900/111767")</f>
        <v/>
      </c>
      <c r="L16" s="5" t="n"/>
      <c r="M16" s="6" t="n"/>
      <c r="N16" s="7" t="n"/>
      <c r="O16" s="8" t="n">
        <v>7.48</v>
      </c>
      <c r="P16" s="8" t="n">
        <v>29.92</v>
      </c>
    </row>
    <row r="17" ht="110" customHeight="1">
      <c r="A17" s="3" t="inlineStr">
        <is>
          <t>12650034</t>
        </is>
      </c>
      <c r="B17" s="3" t="inlineStr">
        <is>
          <t>19-04-2026</t>
        </is>
      </c>
      <c r="C17" s="3" t="inlineStr">
        <is>
          <t>Blau</t>
        </is>
      </c>
      <c r="D17" s="3" t="inlineStr">
        <is>
          <t>140651</t>
        </is>
      </c>
      <c r="E17" s="4" t="inlineStr">
        <is>
          <t>Cúpula + Base Madera</t>
        </is>
      </c>
      <c r="F17" s="4" t="inlineStr">
        <is>
          <t>FLORAN</t>
        </is>
      </c>
      <c r="G17" s="4" t="inlineStr">
        <is>
          <t>ALTURA 13.5 cm · DIAMETRO 10 cm · COLOR Transparente</t>
        </is>
      </c>
      <c r="H17" s="3" t="inlineStr"/>
      <c r="I17" s="3" t="n">
        <v>24</v>
      </c>
      <c r="J17" s="3" t="inlineStr">
        <is>
          <t>24 шт.</t>
        </is>
      </c>
      <c r="K17" s="4">
        <f>IMAGE("https://cdn.verdnatura.es/image/catalog/1600x900/140651")</f>
        <v/>
      </c>
      <c r="L17" s="5" t="n"/>
      <c r="M17" s="6" t="n"/>
      <c r="N17" s="7" t="n"/>
      <c r="O17" s="8" t="n">
        <v>3.07</v>
      </c>
      <c r="P17" s="8" t="n">
        <v>73.68000000000001</v>
      </c>
    </row>
    <row r="18" ht="110" customHeight="1">
      <c r="A18" s="3" t="inlineStr">
        <is>
          <t>12650034</t>
        </is>
      </c>
      <c r="B18" s="3" t="inlineStr">
        <is>
          <t>19-04-2026</t>
        </is>
      </c>
      <c r="C18" s="3" t="inlineStr">
        <is>
          <t>Blau</t>
        </is>
      </c>
      <c r="D18" s="3" t="inlineStr">
        <is>
          <t>145498</t>
        </is>
      </c>
      <c r="E18" s="4" t="inlineStr">
        <is>
          <t>RSA Liss</t>
        </is>
      </c>
      <c r="F18" s="4" t="inlineStr">
        <is>
          <t>Nolina Kwekerijen</t>
        </is>
      </c>
      <c r="G18" s="4" t="inlineStr">
        <is>
          <t>COLOR Rojo/Amarillo · ALTURA 27 cm · MACETA 10,5</t>
        </is>
      </c>
      <c r="H18" s="3" t="inlineStr"/>
      <c r="I18" s="3" t="n">
        <v>24</v>
      </c>
      <c r="J18" s="3" t="inlineStr">
        <is>
          <t>24 шт.</t>
        </is>
      </c>
      <c r="K18" s="4">
        <f>IMAGE("https://cdn.verdnatura.es/image/catalog/1600x900/145498")</f>
        <v/>
      </c>
      <c r="L18" s="5" t="n"/>
      <c r="M18" s="6" t="n"/>
      <c r="N18" s="7" t="n"/>
      <c r="O18" s="8" t="n">
        <v>3.05</v>
      </c>
      <c r="P18" s="8" t="n">
        <v>73.2</v>
      </c>
    </row>
    <row r="19" ht="110" customHeight="1">
      <c r="A19" s="3" t="inlineStr">
        <is>
          <t>12650034</t>
        </is>
      </c>
      <c r="B19" s="3" t="inlineStr">
        <is>
          <t>19-04-2026</t>
        </is>
      </c>
      <c r="C19" s="3" t="inlineStr">
        <is>
          <t>Blau</t>
        </is>
      </c>
      <c r="D19" s="3" t="inlineStr">
        <is>
          <t>102480</t>
        </is>
      </c>
      <c r="E19" s="4" t="inlineStr">
        <is>
          <t>Violetero Probeta</t>
        </is>
      </c>
      <c r="F19" s="4" t="inlineStr">
        <is>
          <t>Verdnatura</t>
        </is>
      </c>
      <c r="G19" s="4" t="inlineStr">
        <is>
          <t>ALTURA 30 cm · DIAMETRO 8 cm · DIAMETRO BOCA 3 cm</t>
        </is>
      </c>
      <c r="H19" s="3" t="inlineStr"/>
      <c r="I19" s="3" t="n">
        <v>24</v>
      </c>
      <c r="J19" s="3" t="inlineStr">
        <is>
          <t>24 шт.</t>
        </is>
      </c>
      <c r="K19" s="4">
        <f>IMAGE("https://cdn.verdnatura.es/image/catalog/1600x900/102480")</f>
        <v/>
      </c>
      <c r="L19" s="5" t="n"/>
      <c r="M19" s="6" t="n"/>
      <c r="N19" s="7" t="n"/>
      <c r="O19" s="8" t="n">
        <v>1.6</v>
      </c>
      <c r="P19" s="8" t="n">
        <v>38.4</v>
      </c>
    </row>
    <row r="20" ht="26" customHeight="1">
      <c r="A20" s="2" t="inlineStr">
        <is>
          <t>📦  Накладная #12650254  ·  19-04-2026  ·  Blau  ·  2 позиций  ·  bultos: 1</t>
        </is>
      </c>
    </row>
    <row r="21" ht="110" customHeight="1">
      <c r="A21" s="3" t="inlineStr">
        <is>
          <t>12650254</t>
        </is>
      </c>
      <c r="B21" s="3" t="inlineStr">
        <is>
          <t>19-04-2026</t>
        </is>
      </c>
      <c r="C21" s="3" t="inlineStr">
        <is>
          <t>Blau</t>
        </is>
      </c>
      <c r="D21" s="3" t="inlineStr">
        <is>
          <t>166094</t>
        </is>
      </c>
      <c r="E21" s="4" t="inlineStr">
        <is>
          <t>Set de 2 Cesta Asa Sif</t>
        </is>
      </c>
      <c r="F21" s="4" t="inlineStr">
        <is>
          <t>Verdnatura</t>
        </is>
      </c>
      <c r="G21" s="4" t="inlineStr">
        <is>
          <t>ALTURA CON ASA 29 cm · ALTURA 23 cm · DIAMETRO 28 cm</t>
        </is>
      </c>
      <c r="H21" s="3" t="inlineStr"/>
      <c r="I21" s="3" t="n">
        <v>1</v>
      </c>
      <c r="J21" s="3" t="inlineStr">
        <is>
          <t>1 шт.</t>
        </is>
      </c>
      <c r="K21" s="4">
        <f>IMAGE("https://cdn.verdnatura.es/image/catalog/1600x900/166094")</f>
        <v/>
      </c>
      <c r="L21" s="5" t="n"/>
      <c r="M21" s="6" t="n"/>
      <c r="N21" s="7" t="n"/>
      <c r="O21" s="8" t="n">
        <v>10.39</v>
      </c>
      <c r="P21" s="8" t="n">
        <v>10.39</v>
      </c>
    </row>
    <row r="22" ht="110" customHeight="1">
      <c r="A22" s="3" t="inlineStr">
        <is>
          <t>12650254</t>
        </is>
      </c>
      <c r="B22" s="3" t="inlineStr">
        <is>
          <t>19-04-2026</t>
        </is>
      </c>
      <c r="C22" s="3" t="inlineStr">
        <is>
          <t>Blau</t>
        </is>
      </c>
      <c r="D22" s="3" t="inlineStr">
        <is>
          <t>142922</t>
        </is>
      </c>
      <c r="E22" s="4" t="inlineStr">
        <is>
          <t>Set de 2 Chennai Especial plan</t>
        </is>
      </c>
      <c r="F22" s="4" t="inlineStr">
        <is>
          <t>FLORAN</t>
        </is>
      </c>
      <c r="G22" s="4" t="inlineStr">
        <is>
          <t>ALTURA 14 cm · DIAMETRO 16 cm · DIAMETRO BOCA 15 cm</t>
        </is>
      </c>
      <c r="H22" s="3" t="inlineStr"/>
      <c r="I22" s="3" t="n">
        <v>7</v>
      </c>
      <c r="J22" s="3" t="inlineStr">
        <is>
          <t>7 шт.</t>
        </is>
      </c>
      <c r="K22" s="4">
        <f>IMAGE("https://cdn.verdnatura.es/image/catalog/1600x900/142922")</f>
        <v/>
      </c>
      <c r="L22" s="5" t="n"/>
      <c r="M22" s="6" t="n"/>
      <c r="N22" s="7" t="n"/>
      <c r="O22" s="8" t="n">
        <v>3.54</v>
      </c>
      <c r="P22" s="8" t="n">
        <v>24.78</v>
      </c>
    </row>
    <row r="23" ht="26" customHeight="1">
      <c r="A23" s="2" t="inlineStr">
        <is>
          <t>📦  Накладная #12651513  ·  19-04-2026  ·  Blau  ·  4 позиций  ·  bultos: 1</t>
        </is>
      </c>
    </row>
    <row r="24" ht="110" customHeight="1">
      <c r="A24" s="3" t="inlineStr">
        <is>
          <t>12651513</t>
        </is>
      </c>
      <c r="B24" s="3" t="inlineStr">
        <is>
          <t>19-04-2026</t>
        </is>
      </c>
      <c r="C24" s="3" t="inlineStr">
        <is>
          <t>Blau</t>
        </is>
      </c>
      <c r="D24" s="3" t="inlineStr">
        <is>
          <t>148291</t>
        </is>
      </c>
      <c r="E24" s="4" t="inlineStr">
        <is>
          <t>ALS Lucia PFC</t>
        </is>
      </c>
      <c r="F24" s="4" t="inlineStr">
        <is>
          <t>Plazoleta</t>
        </is>
      </c>
      <c r="G24" s="4" t="inlineStr">
        <is>
          <t>COLOR Fucsia · ALTURA 90 cm</t>
        </is>
      </c>
      <c r="H24" s="3" t="inlineStr"/>
      <c r="I24" s="3" t="n">
        <v>30</v>
      </c>
      <c r="J24" s="3" t="inlineStr">
        <is>
          <t>30 шт.</t>
        </is>
      </c>
      <c r="K24" s="4">
        <f>IMAGE("https://cdn.verdnatura.es/image/catalog/1600x900/148291")</f>
        <v/>
      </c>
      <c r="L24" s="5" t="n"/>
      <c r="M24" s="6" t="n"/>
      <c r="N24" s="7" t="n"/>
      <c r="O24" s="8" t="n">
        <v>0.62</v>
      </c>
      <c r="P24" s="8" t="n">
        <v>18.6</v>
      </c>
    </row>
    <row r="25" ht="110" customHeight="1">
      <c r="A25" s="3" t="inlineStr">
        <is>
          <t>12651513</t>
        </is>
      </c>
      <c r="B25" s="3" t="inlineStr">
        <is>
          <t>19-04-2026</t>
        </is>
      </c>
      <c r="C25" s="3" t="inlineStr">
        <is>
          <t>Blau</t>
        </is>
      </c>
      <c r="D25" s="3" t="inlineStr">
        <is>
          <t>137077</t>
        </is>
      </c>
      <c r="E25" s="4" t="inlineStr">
        <is>
          <t>ALS Peach FCY</t>
        </is>
      </c>
      <c r="F25" s="4" t="inlineStr">
        <is>
          <t>Benchmark</t>
        </is>
      </c>
      <c r="G25" s="4" t="inlineStr">
        <is>
          <t>COLOR Salmón · ALTURA 60 cm</t>
        </is>
      </c>
      <c r="H25" s="3" t="inlineStr"/>
      <c r="I25" s="3" t="n">
        <v>30</v>
      </c>
      <c r="J25" s="3" t="inlineStr">
        <is>
          <t>30 шт.</t>
        </is>
      </c>
      <c r="K25" s="4">
        <f>IMAGE("https://cdn.verdnatura.es/image/catalog/1600x900/137077")</f>
        <v/>
      </c>
      <c r="L25" s="5" t="n"/>
      <c r="M25" s="6" t="n"/>
      <c r="N25" s="7" t="n"/>
      <c r="O25" s="8" t="n">
        <v>0.27</v>
      </c>
      <c r="P25" s="8" t="n">
        <v>8.1</v>
      </c>
    </row>
    <row r="26" ht="110" customHeight="1">
      <c r="A26" s="3" t="inlineStr">
        <is>
          <t>12651513</t>
        </is>
      </c>
      <c r="B26" s="3" t="inlineStr">
        <is>
          <t>19-04-2026</t>
        </is>
      </c>
      <c r="C26" s="3" t="inlineStr">
        <is>
          <t>Blau</t>
        </is>
      </c>
      <c r="D26" s="3" t="inlineStr">
        <is>
          <t>148289</t>
        </is>
      </c>
      <c r="E26" s="4" t="inlineStr">
        <is>
          <t>ALS Red Queen SUP</t>
        </is>
      </c>
      <c r="F26" s="4" t="inlineStr">
        <is>
          <t>Santa Dorotea</t>
        </is>
      </c>
      <c r="G26" s="4" t="inlineStr">
        <is>
          <t>COLOR Rojo · ALTURA 80 cm</t>
        </is>
      </c>
      <c r="H26" s="3" t="inlineStr"/>
      <c r="I26" s="3" t="n">
        <v>30</v>
      </c>
      <c r="J26" s="3" t="inlineStr">
        <is>
          <t>30 шт.</t>
        </is>
      </c>
      <c r="K26" s="4">
        <f>IMAGE("https://cdn.verdnatura.es/image/catalog/1600x900/148289")</f>
        <v/>
      </c>
      <c r="L26" s="5" t="n"/>
      <c r="M26" s="6" t="n"/>
      <c r="N26" s="7" t="n"/>
      <c r="O26" s="8" t="n">
        <v>0.45</v>
      </c>
      <c r="P26" s="8" t="n">
        <v>13.5</v>
      </c>
    </row>
    <row r="27" ht="110" customHeight="1">
      <c r="A27" s="3" t="inlineStr">
        <is>
          <t>12651513</t>
        </is>
      </c>
      <c r="B27" s="3" t="inlineStr">
        <is>
          <t>19-04-2026</t>
        </is>
      </c>
      <c r="C27" s="3" t="inlineStr">
        <is>
          <t>Blau</t>
        </is>
      </c>
      <c r="D27" s="3" t="inlineStr">
        <is>
          <t>124815</t>
        </is>
      </c>
      <c r="E27" s="4" t="inlineStr">
        <is>
          <t>CL Solomio Cherryfly SEL</t>
        </is>
      </c>
      <c r="F27" s="4" t="inlineStr">
        <is>
          <t>Santa Dorotea EXPORT</t>
        </is>
      </c>
      <c r="G27" s="4" t="inlineStr">
        <is>
          <t>COLOR Granate · ALTURA 70 cm · Nº TALLOS 20</t>
        </is>
      </c>
      <c r="H27" s="3" t="inlineStr"/>
      <c r="I27" s="3" t="n">
        <v>20</v>
      </c>
      <c r="J27" s="3" t="inlineStr">
        <is>
          <t>20 шт.</t>
        </is>
      </c>
      <c r="K27" s="4">
        <f>IMAGE("https://cdn.verdnatura.es/image/catalog/1600x900/124815")</f>
        <v/>
      </c>
      <c r="L27" s="5" t="n"/>
      <c r="M27" s="6" t="n"/>
      <c r="N27" s="7" t="n"/>
      <c r="O27" s="8" t="n">
        <v>0.24</v>
      </c>
      <c r="P27" s="8" t="n">
        <v>4.8</v>
      </c>
    </row>
    <row r="28" ht="26" customHeight="1">
      <c r="A28" s="2" t="inlineStr">
        <is>
          <t>📦  Накладная #12532484  ·  20-04-2026  ·  Blau  ·  8 позиций  ·  bultos: 1</t>
        </is>
      </c>
    </row>
    <row r="29" ht="110" customHeight="1">
      <c r="A29" s="3" t="inlineStr">
        <is>
          <t>12532484</t>
        </is>
      </c>
      <c r="B29" s="3" t="inlineStr">
        <is>
          <t>20-04-2026</t>
        </is>
      </c>
      <c r="C29" s="3" t="inlineStr">
        <is>
          <t>Blau</t>
        </is>
      </c>
      <c r="D29" s="3" t="inlineStr">
        <is>
          <t>177186</t>
        </is>
      </c>
      <c r="E29" s="4" t="inlineStr">
        <is>
          <t>· Rosa Azul Teñido</t>
        </is>
      </c>
      <c r="F29" s="4" t="inlineStr">
        <is>
          <t>Ecuador</t>
        </is>
      </c>
      <c r="G29" s="4" t="inlineStr">
        <is>
          <t>COLOR Azul · ALTURA 60 cm · BOTÓN MINIMO 6 cm</t>
        </is>
      </c>
      <c r="H29" s="3" t="inlineStr"/>
      <c r="I29" s="3" t="n">
        <v>75</v>
      </c>
      <c r="J29" s="3" t="inlineStr">
        <is>
          <t>75 шт.</t>
        </is>
      </c>
      <c r="K29" s="4">
        <f>IMAGE("https://cdn.verdnatura.es/image/catalog/1600x900/177186")</f>
        <v/>
      </c>
      <c r="L29" s="5" t="n"/>
      <c r="M29" s="6" t="n"/>
      <c r="N29" s="7" t="n"/>
      <c r="O29" s="8" t="n">
        <v>1.31</v>
      </c>
      <c r="P29" s="8" t="n">
        <v>98.25</v>
      </c>
    </row>
    <row r="30" ht="110" customHeight="1">
      <c r="A30" s="3" t="inlineStr">
        <is>
          <t>12532484</t>
        </is>
      </c>
      <c r="B30" s="3" t="inlineStr">
        <is>
          <t>20-04-2026</t>
        </is>
      </c>
      <c r="C30" s="3" t="inlineStr">
        <is>
          <t>Blau</t>
        </is>
      </c>
      <c r="D30" s="3" t="inlineStr">
        <is>
          <t>129173</t>
        </is>
      </c>
      <c r="E30" s="4" t="inlineStr">
        <is>
          <t>+ Craspedia</t>
        </is>
      </c>
      <c r="F30" s="4" t="inlineStr">
        <is>
          <t>Wilmar Agro / Vrolijk</t>
        </is>
      </c>
      <c r="G30" s="4" t="inlineStr">
        <is>
          <t>COLOR Amarillo · ALTURA 70 cm</t>
        </is>
      </c>
      <c r="H30" s="3" t="inlineStr"/>
      <c r="I30" s="3" t="n">
        <v>100</v>
      </c>
      <c r="J30" s="3" t="inlineStr">
        <is>
          <t>100 шт.</t>
        </is>
      </c>
      <c r="K30" s="4">
        <f>IMAGE("https://cdn.verdnatura.es/image/catalog/1600x900/129173")</f>
        <v/>
      </c>
      <c r="L30" s="5" t="n"/>
      <c r="M30" s="6" t="n"/>
      <c r="N30" s="7" t="n"/>
      <c r="O30" s="8" t="n">
        <v>0.21</v>
      </c>
      <c r="P30" s="8" t="n">
        <v>21</v>
      </c>
    </row>
    <row r="31" ht="110" customHeight="1">
      <c r="A31" s="3" t="inlineStr">
        <is>
          <t>12532484</t>
        </is>
      </c>
      <c r="B31" s="3" t="inlineStr">
        <is>
          <t>20-04-2026</t>
        </is>
      </c>
      <c r="C31" s="3" t="inlineStr">
        <is>
          <t>Blau</t>
        </is>
      </c>
      <c r="D31" s="3" t="inlineStr">
        <is>
          <t>138460</t>
        </is>
      </c>
      <c r="E31" s="4" t="inlineStr">
        <is>
          <t>Craspedia Burdeos Teñido</t>
        </is>
      </c>
      <c r="F31" s="4" t="inlineStr">
        <is>
          <t>Jimmy Colors BV</t>
        </is>
      </c>
      <c r="G31" s="4" t="inlineStr">
        <is>
          <t>COLOR Burdeos · ALTURA 60 cm</t>
        </is>
      </c>
      <c r="H31" s="3" t="inlineStr"/>
      <c r="I31" s="3" t="n">
        <v>50</v>
      </c>
      <c r="J31" s="3" t="inlineStr">
        <is>
          <t>50 шт.</t>
        </is>
      </c>
      <c r="K31" s="4">
        <f>IMAGE("https://cdn.verdnatura.es/image/catalog/1600x900/138460")</f>
        <v/>
      </c>
      <c r="L31" s="5" t="n"/>
      <c r="M31" s="6" t="n"/>
      <c r="N31" s="7" t="n"/>
      <c r="O31" s="8" t="n">
        <v>0.27</v>
      </c>
      <c r="P31" s="8" t="n">
        <v>13.5</v>
      </c>
    </row>
    <row r="32" ht="110" customHeight="1">
      <c r="A32" s="3" t="inlineStr">
        <is>
          <t>12532484</t>
        </is>
      </c>
      <c r="B32" s="3" t="inlineStr">
        <is>
          <t>20-04-2026</t>
        </is>
      </c>
      <c r="C32" s="3" t="inlineStr">
        <is>
          <t>Blau</t>
        </is>
      </c>
      <c r="D32" s="3" t="inlineStr">
        <is>
          <t>199037</t>
        </is>
      </c>
      <c r="E32" s="4" t="inlineStr">
        <is>
          <t>HYD Pintado Dorotea PRE</t>
        </is>
      </c>
      <c r="F32" s="4" t="inlineStr">
        <is>
          <t>Santa Dorotea</t>
        </is>
      </c>
      <c r="G32" s="4" t="inlineStr">
        <is>
          <t>COLOR Granate · ALTURA 60 cm · DIAMETRO 18 cm</t>
        </is>
      </c>
      <c r="H32" s="3" t="inlineStr"/>
      <c r="I32" s="3" t="n">
        <v>20</v>
      </c>
      <c r="J32" s="3" t="inlineStr">
        <is>
          <t>20 шт.</t>
        </is>
      </c>
      <c r="K32" s="4">
        <f>IMAGE("https://cdn.verdnatura.es/image/catalog/1600x900/199037")</f>
        <v/>
      </c>
      <c r="L32" s="5" t="n"/>
      <c r="M32" s="6" t="n"/>
      <c r="N32" s="7" t="n"/>
      <c r="O32" s="8" t="n">
        <v>1.15</v>
      </c>
      <c r="P32" s="8" t="n">
        <v>23</v>
      </c>
    </row>
    <row r="33" ht="110" customHeight="1">
      <c r="A33" s="3" t="inlineStr">
        <is>
          <t>12532484</t>
        </is>
      </c>
      <c r="B33" s="3" t="inlineStr">
        <is>
          <t>20-04-2026</t>
        </is>
      </c>
      <c r="C33" s="3" t="inlineStr">
        <is>
          <t>Blau</t>
        </is>
      </c>
      <c r="D33" s="3" t="inlineStr">
        <is>
          <t>55510</t>
        </is>
      </c>
      <c r="E33" s="4" t="inlineStr">
        <is>
          <t>RS New Yellow SEL</t>
        </is>
      </c>
      <c r="F33" s="4" t="inlineStr">
        <is>
          <t>Native</t>
        </is>
      </c>
      <c r="G33" s="4" t="inlineStr">
        <is>
          <t>COLOR Amarillo · ALTURA 60 cm · BOTÓN MINIMO 5.5 cm</t>
        </is>
      </c>
      <c r="H33" s="3" t="inlineStr"/>
      <c r="I33" s="3" t="n">
        <v>50</v>
      </c>
      <c r="J33" s="3" t="inlineStr">
        <is>
          <t>50 шт.</t>
        </is>
      </c>
      <c r="K33" s="4">
        <f>IMAGE("https://cdn.verdnatura.es/image/catalog/1600x900/55510")</f>
        <v/>
      </c>
      <c r="L33" s="5" t="n"/>
      <c r="M33" s="6" t="n"/>
      <c r="N33" s="7" t="n"/>
      <c r="O33" s="8" t="n">
        <v>0.6899999999999999</v>
      </c>
      <c r="P33" s="8" t="n">
        <v>34.5</v>
      </c>
    </row>
    <row r="34" ht="110" customHeight="1">
      <c r="A34" s="3" t="inlineStr">
        <is>
          <t>12532484</t>
        </is>
      </c>
      <c r="B34" s="3" t="inlineStr">
        <is>
          <t>20-04-2026</t>
        </is>
      </c>
      <c r="C34" s="3" t="inlineStr">
        <is>
          <t>Blau</t>
        </is>
      </c>
      <c r="D34" s="3" t="inlineStr">
        <is>
          <t>186072</t>
        </is>
      </c>
      <c r="E34" s="4" t="inlineStr">
        <is>
          <t>RS Red Panther SEL</t>
        </is>
      </c>
      <c r="F34" s="4" t="inlineStr">
        <is>
          <t>Ecuador</t>
        </is>
      </c>
      <c r="G34" s="4" t="inlineStr">
        <is>
          <t>COLOR Rojo/Rosa · ALTURA 60 cm · BOTÓN MINIMO 6.5 cm</t>
        </is>
      </c>
      <c r="H34" s="3" t="inlineStr"/>
      <c r="I34" s="3" t="n">
        <v>100</v>
      </c>
      <c r="J34" s="3" t="inlineStr">
        <is>
          <t>100 шт.</t>
        </is>
      </c>
      <c r="K34" s="4">
        <f>IMAGE("https://cdn.verdnatura.es/image/catalog/1600x900/186072")</f>
        <v/>
      </c>
      <c r="L34" s="5" t="n"/>
      <c r="M34" s="6" t="n"/>
      <c r="N34" s="7" t="n"/>
      <c r="O34" s="8" t="n">
        <v>0.73</v>
      </c>
      <c r="P34" s="8" t="n">
        <v>73</v>
      </c>
    </row>
    <row r="35" ht="110" customHeight="1">
      <c r="A35" s="3" t="inlineStr">
        <is>
          <t>12532484</t>
        </is>
      </c>
      <c r="B35" s="3" t="inlineStr">
        <is>
          <t>20-04-2026</t>
        </is>
      </c>
      <c r="C35" s="3" t="inlineStr">
        <is>
          <t>Blau</t>
        </is>
      </c>
      <c r="D35" s="3" t="inlineStr">
        <is>
          <t>48317</t>
        </is>
      </c>
      <c r="E35" s="4" t="inlineStr">
        <is>
          <t>Skimmia j Rubella</t>
        </is>
      </c>
      <c r="F35" s="4" t="inlineStr"/>
      <c r="G35" s="4" t="inlineStr">
        <is>
          <t>COLOR Granate · ALTURA 40 cm</t>
        </is>
      </c>
      <c r="H35" s="3" t="inlineStr">
        <is>
          <t>Paquete</t>
        </is>
      </c>
      <c r="I35" s="3" t="n">
        <v>0</v>
      </c>
      <c r="J35" s="3" t="inlineStr">
        <is>
          <t>0 пачек</t>
        </is>
      </c>
      <c r="K35" s="4">
        <f>IMAGE("https://cdn.verdnatura.es/image/catalog/1600x900/48317")</f>
        <v/>
      </c>
      <c r="L35" s="5" t="n"/>
      <c r="M35" s="6" t="n"/>
      <c r="N35" s="7" t="n"/>
      <c r="O35" s="8" t="n">
        <v>4.1</v>
      </c>
      <c r="P35" s="8" t="n">
        <v>0</v>
      </c>
    </row>
    <row r="36" ht="110" customHeight="1">
      <c r="A36" s="3" t="inlineStr">
        <is>
          <t>12532484</t>
        </is>
      </c>
      <c r="B36" s="3" t="inlineStr">
        <is>
          <t>20-04-2026</t>
        </is>
      </c>
      <c r="C36" s="3" t="inlineStr">
        <is>
          <t>Blau</t>
        </is>
      </c>
      <c r="D36" s="3" t="inlineStr">
        <is>
          <t>73611</t>
        </is>
      </c>
      <c r="E36" s="4" t="inlineStr">
        <is>
          <t>Skimmia J Rubella</t>
        </is>
      </c>
      <c r="F36" s="4" t="inlineStr"/>
      <c r="G36" s="4" t="inlineStr">
        <is>
          <t>COLOR Granate · ALTURA 45 cm</t>
        </is>
      </c>
      <c r="H36" s="3" t="inlineStr">
        <is>
          <t>Paquete</t>
        </is>
      </c>
      <c r="I36" s="3" t="n">
        <v>10</v>
      </c>
      <c r="J36" s="3" t="inlineStr">
        <is>
          <t>10 пачек</t>
        </is>
      </c>
      <c r="K36" s="4">
        <f>IMAGE("https://cdn.verdnatura.es/image/catalog/1600x900/73611")</f>
        <v/>
      </c>
      <c r="L36" s="5" t="n"/>
      <c r="M36" s="6" t="n"/>
      <c r="N36" s="7" t="n"/>
      <c r="O36" s="8" t="n">
        <v>4.41</v>
      </c>
      <c r="P36" s="8" t="n">
        <v>44.1</v>
      </c>
    </row>
    <row r="37" ht="26" customHeight="1">
      <c r="A37" s="2" t="inlineStr">
        <is>
          <t>📦  Накладная #12656518  ·  20-04-2026  ·  Blau  ·  1 позиций  ·  bultos: 3</t>
        </is>
      </c>
    </row>
    <row r="38" ht="110" customHeight="1">
      <c r="A38" s="3" t="inlineStr">
        <is>
          <t>12656518</t>
        </is>
      </c>
      <c r="B38" s="3" t="inlineStr">
        <is>
          <t>20-04-2026</t>
        </is>
      </c>
      <c r="C38" s="3" t="inlineStr">
        <is>
          <t>Blau</t>
        </is>
      </c>
      <c r="D38" s="3" t="inlineStr">
        <is>
          <t>177175</t>
        </is>
      </c>
      <c r="E38" s="4" t="inlineStr">
        <is>
          <t>RS Explorer EXT</t>
        </is>
      </c>
      <c r="F38" s="4" t="inlineStr">
        <is>
          <t>Ecuador</t>
        </is>
      </c>
      <c r="G38" s="4" t="inlineStr">
        <is>
          <t>COLOR Rojo · ALTURA 60 cm · BOTÓN MINIMO 6 cm</t>
        </is>
      </c>
      <c r="H38" s="3" t="inlineStr"/>
      <c r="I38" s="3" t="n">
        <v>600</v>
      </c>
      <c r="J38" s="3" t="inlineStr">
        <is>
          <t>600 шт.</t>
        </is>
      </c>
      <c r="K38" s="4">
        <f>IMAGE("https://cdn.verdnatura.es/image/catalog/1600x900/177175")</f>
        <v/>
      </c>
      <c r="L38" s="5" t="n"/>
      <c r="M38" s="6" t="n"/>
      <c r="N38" s="7" t="n"/>
      <c r="O38" s="8" t="n">
        <v>0.71</v>
      </c>
      <c r="P38" s="8" t="n">
        <v>426</v>
      </c>
    </row>
    <row r="39" ht="26" customHeight="1">
      <c r="A39" s="2" t="inlineStr">
        <is>
          <t>📦  Накладная #12660624  ·  20-04-2026  ·  Blau  ·  1 позиций  ·  bultos: 1</t>
        </is>
      </c>
    </row>
    <row r="40" ht="110" customHeight="1">
      <c r="A40" s="3" t="inlineStr">
        <is>
          <t>12660624</t>
        </is>
      </c>
      <c r="B40" s="3" t="inlineStr">
        <is>
          <t>20-04-2026</t>
        </is>
      </c>
      <c r="C40" s="3" t="inlineStr">
        <is>
          <t>Blau</t>
        </is>
      </c>
      <c r="D40" s="3" t="inlineStr">
        <is>
          <t>93394</t>
        </is>
      </c>
      <c r="E40" s="4" t="inlineStr">
        <is>
          <t>Cubos Expositor Grande</t>
        </is>
      </c>
      <c r="F40" s="4" t="inlineStr"/>
      <c r="G40" s="4" t="inlineStr">
        <is>
          <t>COLOR Negro · ALTURA 41 cm</t>
        </is>
      </c>
      <c r="H40" s="3" t="inlineStr"/>
      <c r="I40" s="3" t="n">
        <v>2</v>
      </c>
      <c r="J40" s="3" t="inlineStr">
        <is>
          <t>2 шт.</t>
        </is>
      </c>
      <c r="K40" s="4">
        <f>IMAGE("https://cdn.verdnatura.es/image/catalog/1600x900/93394")</f>
        <v/>
      </c>
      <c r="L40" s="5" t="n"/>
      <c r="M40" s="6" t="n"/>
      <c r="N40" s="7" t="n"/>
      <c r="O40" s="8" t="n">
        <v>9.050000000000001</v>
      </c>
      <c r="P40" s="8" t="n">
        <v>18.1</v>
      </c>
    </row>
    <row r="41" ht="26" customHeight="1">
      <c r="A41" s="2" t="inlineStr">
        <is>
          <t>📦  Накладная #12649223  ·  21-04-2026  ·  Blau  ·  1 позиций  ·  bultos: 1</t>
        </is>
      </c>
    </row>
    <row r="42" ht="110" customHeight="1">
      <c r="A42" s="3" t="inlineStr">
        <is>
          <t>12649223</t>
        </is>
      </c>
      <c r="B42" s="3" t="inlineStr">
        <is>
          <t>21-04-2026</t>
        </is>
      </c>
      <c r="C42" s="3" t="inlineStr">
        <is>
          <t>Blau</t>
        </is>
      </c>
      <c r="D42" s="3" t="inlineStr">
        <is>
          <t>38677</t>
        </is>
      </c>
      <c r="E42" s="4" t="inlineStr">
        <is>
          <t>Jarron Caja Bouquet</t>
        </is>
      </c>
      <c r="F42" s="4" t="inlineStr">
        <is>
          <t>Koen Pack</t>
        </is>
      </c>
      <c r="G42" s="4" t="inlineStr">
        <is>
          <t>COLOR Transparente · ALTURA 15 cm · DIAMETRO 15 cm</t>
        </is>
      </c>
      <c r="H42" s="3" t="inlineStr"/>
      <c r="I42" s="3" t="n">
        <v>30</v>
      </c>
      <c r="J42" s="3" t="inlineStr">
        <is>
          <t>30 шт.</t>
        </is>
      </c>
      <c r="K42" s="4">
        <f>IMAGE("https://cdn.verdnatura.es/image/catalog/1600x900/38677")</f>
        <v/>
      </c>
      <c r="L42" s="5" t="n"/>
      <c r="M42" s="6" t="n"/>
      <c r="N42" s="7" t="n"/>
      <c r="O42" s="8" t="n">
        <v>1.15</v>
      </c>
      <c r="P42" s="8" t="n">
        <v>34.5</v>
      </c>
    </row>
  </sheetData>
  <mergeCells count="8">
    <mergeCell ref="A28:P28"/>
    <mergeCell ref="A13:P13"/>
    <mergeCell ref="A23:P23"/>
    <mergeCell ref="A37:P37"/>
    <mergeCell ref="A39:P39"/>
    <mergeCell ref="A20:P20"/>
    <mergeCell ref="A41:P4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2026-06-22T21:39:03Z</dcterms:created>
  <dcterms:modified xmlns:dcterms="http://purl.org/dc/terms/" xmlns:xsi="http://www.w3.org/2001/XMLSchema-instance" xsi:type="dcterms:W3CDTF">2026-06-22T21:39:03Z</dcterms:modified>
</cp:coreProperties>
</file>