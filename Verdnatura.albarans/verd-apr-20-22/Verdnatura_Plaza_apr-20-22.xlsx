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#12532705  ·  19-04-2026  ·  Plaza  ·  1 позиций  ·  bultos: 1</t>
        </is>
      </c>
    </row>
    <row r="3" ht="110" customHeight="1">
      <c r="A3" s="3" t="inlineStr">
        <is>
          <t>12532705</t>
        </is>
      </c>
      <c r="B3" s="3" t="inlineStr">
        <is>
          <t>19-04-2026</t>
        </is>
      </c>
      <c r="C3" s="3" t="inlineStr">
        <is>
          <t>Plaza</t>
        </is>
      </c>
      <c r="D3" s="3" t="inlineStr">
        <is>
          <t>93394</t>
        </is>
      </c>
      <c r="E3" s="4" t="inlineStr">
        <is>
          <t>Cubos Expositor Grande</t>
        </is>
      </c>
      <c r="F3" s="4" t="inlineStr"/>
      <c r="G3" s="4" t="inlineStr">
        <is>
          <t>COLOR Negro · ALTURA 41 cm</t>
        </is>
      </c>
      <c r="H3" s="3" t="inlineStr"/>
      <c r="I3" s="3" t="n">
        <v>1</v>
      </c>
      <c r="J3" s="3" t="inlineStr">
        <is>
          <t>1 шт.</t>
        </is>
      </c>
      <c r="K3" s="4">
        <f>IMAGE("https://cdn.verdnatura.es/image/catalog/1600x900/93394")</f>
        <v/>
      </c>
      <c r="L3" s="5" t="n"/>
      <c r="M3" s="6" t="n"/>
      <c r="N3" s="7" t="n"/>
      <c r="O3" s="8" t="n">
        <v>9.050000000000001</v>
      </c>
      <c r="P3" s="8" t="n">
        <v>9.050000000000001</v>
      </c>
    </row>
    <row r="4" ht="26" customHeight="1">
      <c r="A4" s="2" t="inlineStr">
        <is>
          <t>📦  Накладная #12648615  ·  19-04-2026  ·  Plaza  ·  4 позиций  ·  bultos: 1</t>
        </is>
      </c>
    </row>
    <row r="5" ht="110" customHeight="1">
      <c r="A5" s="3" t="inlineStr">
        <is>
          <t>12648615</t>
        </is>
      </c>
      <c r="B5" s="3" t="inlineStr">
        <is>
          <t>19-04-2026</t>
        </is>
      </c>
      <c r="C5" s="3" t="inlineStr">
        <is>
          <t>Plaza</t>
        </is>
      </c>
      <c r="D5" s="3" t="inlineStr">
        <is>
          <t>195950</t>
        </is>
      </c>
      <c r="E5" s="4" t="inlineStr">
        <is>
          <t>Craspedia</t>
        </is>
      </c>
      <c r="F5" s="4" t="inlineStr">
        <is>
          <t>Mijo Flowers</t>
        </is>
      </c>
      <c r="G5" s="4" t="inlineStr">
        <is>
          <t>COLOR Amarillo · ALTURA 60 cm</t>
        </is>
      </c>
      <c r="H5" s="3" t="inlineStr"/>
      <c r="I5" s="3" t="n">
        <v>100</v>
      </c>
      <c r="J5" s="3" t="inlineStr">
        <is>
          <t>100 шт.</t>
        </is>
      </c>
      <c r="K5" s="4">
        <f>IMAGE("https://cdn.verdnatura.es/image/catalog/1600x900/195950")</f>
        <v/>
      </c>
      <c r="L5" s="5" t="n"/>
      <c r="M5" s="6" t="n"/>
      <c r="N5" s="7" t="n"/>
      <c r="O5" s="8" t="n">
        <v>0.21</v>
      </c>
      <c r="P5" s="8" t="n">
        <v>21</v>
      </c>
    </row>
    <row r="6" ht="110" customHeight="1">
      <c r="A6" s="3" t="inlineStr">
        <is>
          <t>12648615</t>
        </is>
      </c>
      <c r="B6" s="3" t="inlineStr">
        <is>
          <t>19-04-2026</t>
        </is>
      </c>
      <c r="C6" s="3" t="inlineStr">
        <is>
          <t>Plaza</t>
        </is>
      </c>
      <c r="D6" s="3" t="inlineStr">
        <is>
          <t>138460</t>
        </is>
      </c>
      <c r="E6" s="4" t="inlineStr">
        <is>
          <t>Craspedia Burdeos Teñido</t>
        </is>
      </c>
      <c r="F6" s="4" t="inlineStr">
        <is>
          <t>Jimmy Colors BV</t>
        </is>
      </c>
      <c r="G6" s="4" t="inlineStr">
        <is>
          <t>COLOR Burdeos · ALTURA 60 cm</t>
        </is>
      </c>
      <c r="H6" s="3" t="inlineStr"/>
      <c r="I6" s="3" t="n">
        <v>50</v>
      </c>
      <c r="J6" s="3" t="inlineStr">
        <is>
          <t>50 шт.</t>
        </is>
      </c>
      <c r="K6" s="4">
        <f>IMAGE("https://cdn.verdnatura.es/image/catalog/1600x900/138460")</f>
        <v/>
      </c>
      <c r="L6" s="5" t="n"/>
      <c r="M6" s="6" t="n"/>
      <c r="N6" s="7" t="n"/>
      <c r="O6" s="8" t="n">
        <v>0.25</v>
      </c>
      <c r="P6" s="8" t="n">
        <v>12.5</v>
      </c>
    </row>
    <row r="7" ht="110" customHeight="1">
      <c r="A7" s="3" t="inlineStr">
        <is>
          <t>12648615</t>
        </is>
      </c>
      <c r="B7" s="3" t="inlineStr">
        <is>
          <t>19-04-2026</t>
        </is>
      </c>
      <c r="C7" s="3" t="inlineStr">
        <is>
          <t>Plaza</t>
        </is>
      </c>
      <c r="D7" s="3" t="inlineStr">
        <is>
          <t>144524</t>
        </is>
      </c>
      <c r="E7" s="4" t="inlineStr">
        <is>
          <t>RS Upper Class</t>
        </is>
      </c>
      <c r="F7" s="4" t="inlineStr">
        <is>
          <t>Tinaw Flower</t>
        </is>
      </c>
      <c r="G7" s="4" t="inlineStr">
        <is>
          <t>COLOR Rojo · ALTURA 50 cm · BOTÓN MINIMO 4.0 cm</t>
        </is>
      </c>
      <c r="H7" s="3" t="inlineStr"/>
      <c r="I7" s="3" t="n">
        <v>100</v>
      </c>
      <c r="J7" s="3" t="inlineStr">
        <is>
          <t>100 шт.</t>
        </is>
      </c>
      <c r="K7" s="4">
        <f>IMAGE("https://cdn.verdnatura.es/image/catalog/1600x900/144524")</f>
        <v/>
      </c>
      <c r="L7" s="5" t="n"/>
      <c r="M7" s="6" t="n"/>
      <c r="N7" s="7" t="n"/>
      <c r="O7" s="8" t="n">
        <v>0.29</v>
      </c>
      <c r="P7" s="8" t="n">
        <v>29</v>
      </c>
    </row>
    <row r="8" ht="110" customHeight="1">
      <c r="A8" s="3" t="inlineStr">
        <is>
          <t>12648615</t>
        </is>
      </c>
      <c r="B8" s="3" t="inlineStr">
        <is>
          <t>19-04-2026</t>
        </is>
      </c>
      <c r="C8" s="3" t="inlineStr">
        <is>
          <t>Plaza</t>
        </is>
      </c>
      <c r="D8" s="3" t="inlineStr">
        <is>
          <t>48317</t>
        </is>
      </c>
      <c r="E8" s="4" t="inlineStr">
        <is>
          <t>Skimmia j Rubella</t>
        </is>
      </c>
      <c r="F8" s="4" t="inlineStr"/>
      <c r="G8" s="4" t="inlineStr">
        <is>
          <t>COLOR Granate · ALTURA 40 cm</t>
        </is>
      </c>
      <c r="H8" s="3" t="inlineStr">
        <is>
          <t>Paquete</t>
        </is>
      </c>
      <c r="I8" s="3" t="n">
        <v>10</v>
      </c>
      <c r="J8" s="3" t="inlineStr">
        <is>
          <t>10 пачек</t>
        </is>
      </c>
      <c r="K8" s="4">
        <f>IMAGE("https://cdn.verdnatura.es/image/catalog/1600x900/48317")</f>
        <v/>
      </c>
      <c r="L8" s="5" t="n"/>
      <c r="M8" s="6" t="n"/>
      <c r="N8" s="7" t="n"/>
      <c r="O8" s="8" t="n">
        <v>4.1</v>
      </c>
      <c r="P8" s="8" t="n">
        <v>41</v>
      </c>
    </row>
    <row r="9" ht="26" customHeight="1">
      <c r="A9" s="2" t="inlineStr">
        <is>
          <t>📦  Накладная #12650277  ·  19-04-2026  ·  Plaza  ·  3 позиций  ·  bultos: 1</t>
        </is>
      </c>
    </row>
    <row r="10" ht="110" customHeight="1">
      <c r="A10" s="3" t="inlineStr">
        <is>
          <t>12650277</t>
        </is>
      </c>
      <c r="B10" s="3" t="inlineStr">
        <is>
          <t>19-04-2026</t>
        </is>
      </c>
      <c r="C10" s="3" t="inlineStr">
        <is>
          <t>Plaza</t>
        </is>
      </c>
      <c r="D10" s="3" t="inlineStr">
        <is>
          <t>68104</t>
        </is>
      </c>
      <c r="E10" s="4" t="inlineStr">
        <is>
          <t>Caja Symphony Blanco</t>
        </is>
      </c>
      <c r="F10" s="4" t="inlineStr">
        <is>
          <t>Oasis</t>
        </is>
      </c>
      <c r="G10" s="4" t="inlineStr"/>
      <c r="H10" s="3" t="inlineStr"/>
      <c r="I10" s="3" t="n">
        <v>2</v>
      </c>
      <c r="J10" s="3" t="inlineStr">
        <is>
          <t>2 шт.</t>
        </is>
      </c>
      <c r="K10" s="4">
        <f>IMAGE("https://cdn.verdnatura.es/image/catalog/1600x900/68104")</f>
        <v/>
      </c>
      <c r="L10" s="5" t="n"/>
      <c r="M10" s="6" t="n"/>
      <c r="N10" s="7" t="n"/>
      <c r="O10" s="8" t="n">
        <v>10.46</v>
      </c>
      <c r="P10" s="8" t="n">
        <v>20.92</v>
      </c>
    </row>
    <row r="11" ht="110" customHeight="1">
      <c r="A11" s="3" t="inlineStr">
        <is>
          <t>12650277</t>
        </is>
      </c>
      <c r="B11" s="3" t="inlineStr">
        <is>
          <t>19-04-2026</t>
        </is>
      </c>
      <c r="C11" s="3" t="inlineStr">
        <is>
          <t>Plaza</t>
        </is>
      </c>
      <c r="D11" s="3" t="inlineStr">
        <is>
          <t>68105</t>
        </is>
      </c>
      <c r="E11" s="4" t="inlineStr">
        <is>
          <t>Caja Symphony Rosa Claro</t>
        </is>
      </c>
      <c r="F11" s="4" t="inlineStr">
        <is>
          <t>Oasis</t>
        </is>
      </c>
      <c r="G11" s="4" t="inlineStr"/>
      <c r="H11" s="3" t="inlineStr"/>
      <c r="I11" s="3" t="n">
        <v>2</v>
      </c>
      <c r="J11" s="3" t="inlineStr">
        <is>
          <t>2 шт.</t>
        </is>
      </c>
      <c r="K11" s="4">
        <f>IMAGE("https://cdn.verdnatura.es/image/catalog/1600x900/68105")</f>
        <v/>
      </c>
      <c r="L11" s="5" t="n"/>
      <c r="M11" s="6" t="n"/>
      <c r="N11" s="7" t="n"/>
      <c r="O11" s="8" t="n">
        <v>10.46</v>
      </c>
      <c r="P11" s="8" t="n">
        <v>20.92</v>
      </c>
    </row>
    <row r="12" ht="110" customHeight="1">
      <c r="A12" s="3" t="inlineStr">
        <is>
          <t>12650277</t>
        </is>
      </c>
      <c r="B12" s="3" t="inlineStr">
        <is>
          <t>19-04-2026</t>
        </is>
      </c>
      <c r="C12" s="3" t="inlineStr">
        <is>
          <t>Plaza</t>
        </is>
      </c>
      <c r="D12" s="3" t="inlineStr">
        <is>
          <t>68106</t>
        </is>
      </c>
      <c r="E12" s="4" t="inlineStr">
        <is>
          <t>Caja Symphony Verde Claro</t>
        </is>
      </c>
      <c r="F12" s="4" t="inlineStr">
        <is>
          <t>Oasis</t>
        </is>
      </c>
      <c r="G12" s="4" t="inlineStr"/>
      <c r="H12" s="3" t="inlineStr"/>
      <c r="I12" s="3" t="n">
        <v>2</v>
      </c>
      <c r="J12" s="3" t="inlineStr">
        <is>
          <t>2 шт.</t>
        </is>
      </c>
      <c r="K12" s="4">
        <f>IMAGE("https://cdn.verdnatura.es/image/catalog/1600x900/68106")</f>
        <v/>
      </c>
      <c r="L12" s="5" t="n"/>
      <c r="M12" s="6" t="n"/>
      <c r="N12" s="7" t="n"/>
      <c r="O12" s="8" t="n">
        <v>10.46</v>
      </c>
      <c r="P12" s="8" t="n">
        <v>20.92</v>
      </c>
    </row>
    <row r="13" ht="26" customHeight="1">
      <c r="A13" s="2" t="inlineStr">
        <is>
          <t>📦  Накладная #12650479  ·  19-04-2026  ·  Plaza  ·  2 позиций  ·  bultos: 3</t>
        </is>
      </c>
    </row>
    <row r="14" ht="110" customHeight="1">
      <c r="A14" s="3" t="inlineStr">
        <is>
          <t>12650479</t>
        </is>
      </c>
      <c r="B14" s="3" t="inlineStr">
        <is>
          <t>19-04-2026</t>
        </is>
      </c>
      <c r="C14" s="3" t="inlineStr">
        <is>
          <t>Plaza</t>
        </is>
      </c>
      <c r="D14" s="3" t="inlineStr">
        <is>
          <t>177175</t>
        </is>
      </c>
      <c r="E14" s="4" t="inlineStr">
        <is>
          <t>RS Explorer EXT</t>
        </is>
      </c>
      <c r="F14" s="4" t="inlineStr">
        <is>
          <t>Ecuador</t>
        </is>
      </c>
      <c r="G14" s="4" t="inlineStr">
        <is>
          <t>COLOR Rojo · ALTURA 60 cm · BOTÓN MINIMO 6 cm</t>
        </is>
      </c>
      <c r="H14" s="3" t="inlineStr"/>
      <c r="I14" s="3" t="n">
        <v>600</v>
      </c>
      <c r="J14" s="3" t="inlineStr">
        <is>
          <t>600 шт.</t>
        </is>
      </c>
      <c r="K14" s="4">
        <f>IMAGE("https://cdn.verdnatura.es/image/catalog/1600x900/177175")</f>
        <v/>
      </c>
      <c r="L14" s="5" t="n"/>
      <c r="M14" s="6" t="n"/>
      <c r="N14" s="7" t="n"/>
      <c r="O14" s="8" t="n">
        <v>0.7</v>
      </c>
      <c r="P14" s="8" t="n">
        <v>420</v>
      </c>
    </row>
    <row r="15" ht="110" customHeight="1">
      <c r="A15" s="3" t="inlineStr">
        <is>
          <t>12650479</t>
        </is>
      </c>
      <c r="B15" s="3" t="inlineStr">
        <is>
          <t>19-04-2026</t>
        </is>
      </c>
      <c r="C15" s="3" t="inlineStr">
        <is>
          <t>Plaza</t>
        </is>
      </c>
      <c r="D15" s="3" t="inlineStr">
        <is>
          <t>145498</t>
        </is>
      </c>
      <c r="E15" s="4" t="inlineStr">
        <is>
          <t>RSA Liss</t>
        </is>
      </c>
      <c r="F15" s="4" t="inlineStr">
        <is>
          <t>Nolina Kwekerijen</t>
        </is>
      </c>
      <c r="G15" s="4" t="inlineStr">
        <is>
          <t>COLOR Rojo/Amarillo · ALTURA 27 cm · MACETA 10,5</t>
        </is>
      </c>
      <c r="H15" s="3" t="inlineStr"/>
      <c r="I15" s="3" t="n">
        <v>12</v>
      </c>
      <c r="J15" s="3" t="inlineStr">
        <is>
          <t>12 шт.</t>
        </is>
      </c>
      <c r="K15" s="4">
        <f>IMAGE("https://cdn.verdnatura.es/image/catalog/1600x900/145498")</f>
        <v/>
      </c>
      <c r="L15" s="5" t="n"/>
      <c r="M15" s="6" t="n"/>
      <c r="N15" s="7" t="n"/>
      <c r="O15" s="8" t="n">
        <v>3.05</v>
      </c>
      <c r="P15" s="8" t="n">
        <v>36.6</v>
      </c>
    </row>
    <row r="16" ht="26" customHeight="1">
      <c r="A16" s="2" t="inlineStr">
        <is>
          <t>📦  Накладная #12651561  ·  19-04-2026  ·  Plaza  ·  8 позиций  ·  bultos: 2</t>
        </is>
      </c>
    </row>
    <row r="17" ht="110" customHeight="1">
      <c r="A17" s="3" t="inlineStr">
        <is>
          <t>12651561</t>
        </is>
      </c>
      <c r="B17" s="3" t="inlineStr">
        <is>
          <t>19-04-2026</t>
        </is>
      </c>
      <c r="C17" s="3" t="inlineStr">
        <is>
          <t>Plaza</t>
        </is>
      </c>
      <c r="D17" s="3" t="inlineStr">
        <is>
          <t>177261</t>
        </is>
      </c>
      <c r="E17" s="4" t="inlineStr">
        <is>
          <t>RS Azul Teñido</t>
        </is>
      </c>
      <c r="F17" s="4" t="inlineStr">
        <is>
          <t>Colombia</t>
        </is>
      </c>
      <c r="G17" s="4" t="inlineStr">
        <is>
          <t>COLOR Azul · ALTURA 50 cm · BOTÓN MINIMO 5.5 cm</t>
        </is>
      </c>
      <c r="H17" s="3" t="inlineStr"/>
      <c r="I17" s="3" t="n">
        <v>50</v>
      </c>
      <c r="J17" s="3" t="inlineStr">
        <is>
          <t>50 шт.</t>
        </is>
      </c>
      <c r="K17" s="4">
        <f>IMAGE("https://cdn.verdnatura.es/image/catalog/1600x900/177261")</f>
        <v/>
      </c>
      <c r="L17" s="5" t="n"/>
      <c r="M17" s="6" t="n"/>
      <c r="N17" s="7" t="n"/>
      <c r="O17" s="8" t="n">
        <v>1.2</v>
      </c>
      <c r="P17" s="8" t="n">
        <v>60</v>
      </c>
    </row>
    <row r="18" ht="110" customHeight="1">
      <c r="A18" s="3" t="inlineStr">
        <is>
          <t>12651561</t>
        </is>
      </c>
      <c r="B18" s="3" t="inlineStr">
        <is>
          <t>19-04-2026</t>
        </is>
      </c>
      <c r="C18" s="3" t="inlineStr">
        <is>
          <t>Plaza</t>
        </is>
      </c>
      <c r="D18" s="3" t="inlineStr">
        <is>
          <t>55510</t>
        </is>
      </c>
      <c r="E18" s="4" t="inlineStr">
        <is>
          <t>RS New Yellow SEL</t>
        </is>
      </c>
      <c r="F18" s="4" t="inlineStr">
        <is>
          <t>Native</t>
        </is>
      </c>
      <c r="G18" s="4" t="inlineStr">
        <is>
          <t>COLOR Amarillo · ALTURA 60 cm · BOTÓN MINIMO 5.5 cm</t>
        </is>
      </c>
      <c r="H18" s="3" t="inlineStr"/>
      <c r="I18" s="3" t="n">
        <v>50</v>
      </c>
      <c r="J18" s="3" t="inlineStr">
        <is>
          <t>50 шт.</t>
        </is>
      </c>
      <c r="K18" s="4">
        <f>IMAGE("https://cdn.verdnatura.es/image/catalog/1600x900/55510")</f>
        <v/>
      </c>
      <c r="L18" s="5" t="n"/>
      <c r="M18" s="6" t="n"/>
      <c r="N18" s="7" t="n"/>
      <c r="O18" s="8" t="n">
        <v>0.71</v>
      </c>
      <c r="P18" s="8" t="n">
        <v>35.5</v>
      </c>
    </row>
    <row r="19" ht="110" customHeight="1">
      <c r="A19" s="3" t="inlineStr">
        <is>
          <t>12651561</t>
        </is>
      </c>
      <c r="B19" s="3" t="inlineStr">
        <is>
          <t>19-04-2026</t>
        </is>
      </c>
      <c r="C19" s="3" t="inlineStr">
        <is>
          <t>Plaza</t>
        </is>
      </c>
      <c r="D19" s="3" t="inlineStr">
        <is>
          <t>186072</t>
        </is>
      </c>
      <c r="E19" s="4" t="inlineStr">
        <is>
          <t>RS Red Panther SEL</t>
        </is>
      </c>
      <c r="F19" s="4" t="inlineStr">
        <is>
          <t>Ecuador</t>
        </is>
      </c>
      <c r="G19" s="4" t="inlineStr">
        <is>
          <t>COLOR Rojo/Rosa · ALTURA 60 cm · BOTÓN MINIMO 6.5 cm</t>
        </is>
      </c>
      <c r="H19" s="3" t="inlineStr"/>
      <c r="I19" s="3" t="n">
        <v>100</v>
      </c>
      <c r="J19" s="3" t="inlineStr">
        <is>
          <t>100 шт.</t>
        </is>
      </c>
      <c r="K19" s="4">
        <f>IMAGE("https://cdn.verdnatura.es/image/catalog/1600x900/186072")</f>
        <v/>
      </c>
      <c r="L19" s="5" t="n"/>
      <c r="M19" s="6" t="n"/>
      <c r="N19" s="7" t="n"/>
      <c r="O19" s="8" t="n">
        <v>0.73</v>
      </c>
      <c r="P19" s="8" t="n">
        <v>73</v>
      </c>
    </row>
    <row r="20" ht="110" customHeight="1">
      <c r="A20" s="3" t="inlineStr">
        <is>
          <t>12651561</t>
        </is>
      </c>
      <c r="B20" s="3" t="inlineStr">
        <is>
          <t>19-04-2026</t>
        </is>
      </c>
      <c r="C20" s="3" t="inlineStr">
        <is>
          <t>Plaza</t>
        </is>
      </c>
      <c r="D20" s="3" t="inlineStr">
        <is>
          <t>121154</t>
        </is>
      </c>
      <c r="E20" s="4" t="inlineStr">
        <is>
          <t>X Peonia</t>
        </is>
      </c>
      <c r="F20" s="4" t="inlineStr"/>
      <c r="G20" s="4" t="inlineStr">
        <is>
          <t>COLOR Crema · ALTURA 61 cm · TAMAÑO FLOR 16 cm</t>
        </is>
      </c>
      <c r="H20" s="3" t="inlineStr"/>
      <c r="I20" s="3" t="n">
        <v>12</v>
      </c>
      <c r="J20" s="3" t="inlineStr">
        <is>
          <t>12 шт.</t>
        </is>
      </c>
      <c r="K20" s="4">
        <f>IMAGE("https://cdn.verdnatura.es/image/catalog/1600x900/121154")</f>
        <v/>
      </c>
      <c r="L20" s="5" t="n"/>
      <c r="M20" s="6" t="n"/>
      <c r="N20" s="7" t="n"/>
      <c r="O20" s="8" t="n">
        <v>1.75</v>
      </c>
      <c r="P20" s="8" t="n">
        <v>21</v>
      </c>
    </row>
    <row r="21" ht="110" customHeight="1">
      <c r="A21" s="3" t="inlineStr">
        <is>
          <t>12651561</t>
        </is>
      </c>
      <c r="B21" s="3" t="inlineStr">
        <is>
          <t>19-04-2026</t>
        </is>
      </c>
      <c r="C21" s="3" t="inlineStr">
        <is>
          <t>Plaza</t>
        </is>
      </c>
      <c r="D21" s="3" t="inlineStr">
        <is>
          <t>121156</t>
        </is>
      </c>
      <c r="E21" s="4" t="inlineStr">
        <is>
          <t>X Peonia</t>
        </is>
      </c>
      <c r="F21" s="4" t="inlineStr"/>
      <c r="G21" s="4" t="inlineStr">
        <is>
          <t>COLOR Rosa · ALTURA 61 cm · TAMAÑO FLOR 16 cm</t>
        </is>
      </c>
      <c r="H21" s="3" t="inlineStr"/>
      <c r="I21" s="3" t="n">
        <v>12</v>
      </c>
      <c r="J21" s="3" t="inlineStr">
        <is>
          <t>12 шт.</t>
        </is>
      </c>
      <c r="K21" s="4">
        <f>IMAGE("https://cdn.verdnatura.es/image/catalog/1600x900/121156")</f>
        <v/>
      </c>
      <c r="L21" s="5" t="n"/>
      <c r="M21" s="6" t="n"/>
      <c r="N21" s="7" t="n"/>
      <c r="O21" s="8" t="n">
        <v>1.75</v>
      </c>
      <c r="P21" s="8" t="n">
        <v>21</v>
      </c>
    </row>
    <row r="22" ht="110" customHeight="1">
      <c r="A22" s="3" t="inlineStr">
        <is>
          <t>12651561</t>
        </is>
      </c>
      <c r="B22" s="3" t="inlineStr">
        <is>
          <t>19-04-2026</t>
        </is>
      </c>
      <c r="C22" s="3" t="inlineStr">
        <is>
          <t>Plaza</t>
        </is>
      </c>
      <c r="D22" s="3" t="inlineStr">
        <is>
          <t>121157</t>
        </is>
      </c>
      <c r="E22" s="4" t="inlineStr">
        <is>
          <t>X Peonia</t>
        </is>
      </c>
      <c r="F22" s="4" t="inlineStr"/>
      <c r="G22" s="4" t="inlineStr">
        <is>
          <t>COLOR Burdeos · ALTURA 61 cm · TAMAÑO FLOR 16 cm</t>
        </is>
      </c>
      <c r="H22" s="3" t="inlineStr"/>
      <c r="I22" s="3" t="n">
        <v>12</v>
      </c>
      <c r="J22" s="3" t="inlineStr">
        <is>
          <t>12 шт.</t>
        </is>
      </c>
      <c r="K22" s="4">
        <f>IMAGE("https://cdn.verdnatura.es/image/catalog/1600x900/121157")</f>
        <v/>
      </c>
      <c r="L22" s="5" t="n"/>
      <c r="M22" s="6" t="n"/>
      <c r="N22" s="7" t="n"/>
      <c r="O22" s="8" t="n">
        <v>1.75</v>
      </c>
      <c r="P22" s="8" t="n">
        <v>21</v>
      </c>
    </row>
    <row r="23" ht="110" customHeight="1">
      <c r="A23" s="3" t="inlineStr">
        <is>
          <t>12651561</t>
        </is>
      </c>
      <c r="B23" s="3" t="inlineStr">
        <is>
          <t>19-04-2026</t>
        </is>
      </c>
      <c r="C23" s="3" t="inlineStr">
        <is>
          <t>Plaza</t>
        </is>
      </c>
      <c r="D23" s="3" t="inlineStr">
        <is>
          <t>144832</t>
        </is>
      </c>
      <c r="E23" s="4" t="inlineStr">
        <is>
          <t>X Peonia</t>
        </is>
      </c>
      <c r="F23" s="4" t="inlineStr"/>
      <c r="G23" s="4" t="inlineStr">
        <is>
          <t>COLOR Fucsia · ALTURA 65cm</t>
        </is>
      </c>
      <c r="H23" s="3" t="inlineStr"/>
      <c r="I23" s="3" t="n">
        <v>12</v>
      </c>
      <c r="J23" s="3" t="inlineStr">
        <is>
          <t>12 шт.</t>
        </is>
      </c>
      <c r="K23" s="4">
        <f>IMAGE("https://cdn.verdnatura.es/image/catalog/1600x900/144832")</f>
        <v/>
      </c>
      <c r="L23" s="5" t="n"/>
      <c r="M23" s="6" t="n"/>
      <c r="N23" s="7" t="n"/>
      <c r="O23" s="8" t="n">
        <v>3.78</v>
      </c>
      <c r="P23" s="8" t="n">
        <v>45.36</v>
      </c>
    </row>
    <row r="24" ht="110" customHeight="1">
      <c r="A24" s="3" t="inlineStr">
        <is>
          <t>12651561</t>
        </is>
      </c>
      <c r="B24" s="3" t="inlineStr">
        <is>
          <t>19-04-2026</t>
        </is>
      </c>
      <c r="C24" s="3" t="inlineStr">
        <is>
          <t>Plaza</t>
        </is>
      </c>
      <c r="D24" s="3" t="inlineStr">
        <is>
          <t>144833</t>
        </is>
      </c>
      <c r="E24" s="4" t="inlineStr">
        <is>
          <t>X Peonia</t>
        </is>
      </c>
      <c r="F24" s="4" t="inlineStr"/>
      <c r="G24" s="4" t="inlineStr">
        <is>
          <t>COLOR Rosa · ALTURA 65cm</t>
        </is>
      </c>
      <c r="H24" s="3" t="inlineStr"/>
      <c r="I24" s="3" t="n">
        <v>12</v>
      </c>
      <c r="J24" s="3" t="inlineStr">
        <is>
          <t>12 шт.</t>
        </is>
      </c>
      <c r="K24" s="4">
        <f>IMAGE("https://cdn.verdnatura.es/image/catalog/1600x900/144833")</f>
        <v/>
      </c>
      <c r="L24" s="5" t="n"/>
      <c r="M24" s="6" t="n"/>
      <c r="N24" s="7" t="n"/>
      <c r="O24" s="8" t="n">
        <v>3.78</v>
      </c>
      <c r="P24" s="8" t="n">
        <v>45.36</v>
      </c>
    </row>
    <row r="25" ht="26" customHeight="1">
      <c r="A25" s="2" t="inlineStr">
        <is>
          <t>📦  Накладная #12655828  ·  20-04-2026  ·  Plaza  ·  5 позиций  ·  bultos: 1</t>
        </is>
      </c>
    </row>
    <row r="26" ht="110" customHeight="1">
      <c r="A26" s="3" t="inlineStr">
        <is>
          <t>12655828</t>
        </is>
      </c>
      <c r="B26" s="3" t="inlineStr">
        <is>
          <t>20-04-2026</t>
        </is>
      </c>
      <c r="C26" s="3" t="inlineStr">
        <is>
          <t>Plaza</t>
        </is>
      </c>
      <c r="D26" s="3" t="inlineStr">
        <is>
          <t>198063</t>
        </is>
      </c>
      <c r="E26" s="4" t="inlineStr">
        <is>
          <t>ASP SET Pintado Azul</t>
        </is>
      </c>
      <c r="F26" s="4" t="inlineStr"/>
      <c r="G26" s="4" t="inlineStr">
        <is>
          <t>COLOR Azul · ALTURA 45 cm</t>
        </is>
      </c>
      <c r="H26" s="3" t="inlineStr">
        <is>
          <t>Tallo</t>
        </is>
      </c>
      <c r="I26" s="3" t="n">
        <v>100</v>
      </c>
      <c r="J26" s="3" t="inlineStr">
        <is>
          <t>100 стеблей</t>
        </is>
      </c>
      <c r="K26" s="4">
        <f>IMAGE("https://cdn.verdnatura.es/image/catalog/1600x900/198063")</f>
        <v/>
      </c>
      <c r="L26" s="5" t="n"/>
      <c r="M26" s="6" t="n"/>
      <c r="N26" s="7" t="n"/>
      <c r="O26" s="8" t="n">
        <v>0.31</v>
      </c>
      <c r="P26" s="8" t="n">
        <v>31</v>
      </c>
    </row>
    <row r="27" ht="110" customHeight="1">
      <c r="A27" s="3" t="inlineStr">
        <is>
          <t>12655828</t>
        </is>
      </c>
      <c r="B27" s="3" t="inlineStr">
        <is>
          <t>20-04-2026</t>
        </is>
      </c>
      <c r="C27" s="3" t="inlineStr">
        <is>
          <t>Plaza</t>
        </is>
      </c>
      <c r="D27" s="3" t="inlineStr">
        <is>
          <t>198757</t>
        </is>
      </c>
      <c r="E27" s="4" t="inlineStr">
        <is>
          <t>CR Altaj Dark Cherry 105 gr</t>
        </is>
      </c>
      <c r="F27" s="4" t="inlineStr">
        <is>
          <t>Zentoo</t>
        </is>
      </c>
      <c r="G27" s="4" t="inlineStr">
        <is>
          <t>COLOR Granate · ALTURA 70 cm · PESO/TALLO 105 gr</t>
        </is>
      </c>
      <c r="H27" s="3" t="inlineStr"/>
      <c r="I27" s="3" t="n">
        <v>30</v>
      </c>
      <c r="J27" s="3" t="inlineStr">
        <is>
          <t>30 шт.</t>
        </is>
      </c>
      <c r="K27" s="4">
        <f>IMAGE("https://cdn.verdnatura.es/image/catalog/1600x900/198757")</f>
        <v/>
      </c>
      <c r="L27" s="5" t="n"/>
      <c r="M27" s="6" t="n"/>
      <c r="N27" s="7" t="n"/>
      <c r="O27" s="8" t="n">
        <v>0.5</v>
      </c>
      <c r="P27" s="8" t="n">
        <v>15</v>
      </c>
    </row>
    <row r="28" ht="110" customHeight="1">
      <c r="A28" s="3" t="inlineStr">
        <is>
          <t>12655828</t>
        </is>
      </c>
      <c r="B28" s="3" t="inlineStr">
        <is>
          <t>20-04-2026</t>
        </is>
      </c>
      <c r="C28" s="3" t="inlineStr">
        <is>
          <t>Plaza</t>
        </is>
      </c>
      <c r="D28" s="3" t="inlineStr">
        <is>
          <t>198749</t>
        </is>
      </c>
      <c r="E28" s="4" t="inlineStr">
        <is>
          <t>CR Altaj Galaxy 105 gr</t>
        </is>
      </c>
      <c r="F28" s="4" t="inlineStr">
        <is>
          <t>Zentoo</t>
        </is>
      </c>
      <c r="G28" s="4" t="inlineStr">
        <is>
          <t>COLOR Purpura/Rosa · ALTURA 70 cm · PESO/TALLO 105 gr</t>
        </is>
      </c>
      <c r="H28" s="3" t="inlineStr"/>
      <c r="I28" s="3" t="n">
        <v>30</v>
      </c>
      <c r="J28" s="3" t="inlineStr">
        <is>
          <t>30 шт.</t>
        </is>
      </c>
      <c r="K28" s="4">
        <f>IMAGE("https://cdn.verdnatura.es/image/catalog/1600x900/198749")</f>
        <v/>
      </c>
      <c r="L28" s="5" t="n"/>
      <c r="M28" s="6" t="n"/>
      <c r="N28" s="7" t="n"/>
      <c r="O28" s="8" t="n">
        <v>0.5</v>
      </c>
      <c r="P28" s="8" t="n">
        <v>15</v>
      </c>
    </row>
    <row r="29" ht="110" customHeight="1">
      <c r="A29" s="3" t="inlineStr">
        <is>
          <t>12655828</t>
        </is>
      </c>
      <c r="B29" s="3" t="inlineStr">
        <is>
          <t>20-04-2026</t>
        </is>
      </c>
      <c r="C29" s="3" t="inlineStr">
        <is>
          <t>Plaza</t>
        </is>
      </c>
      <c r="D29" s="3" t="inlineStr">
        <is>
          <t>198746</t>
        </is>
      </c>
      <c r="E29" s="4" t="inlineStr">
        <is>
          <t>CR Altaj Soft Pink</t>
        </is>
      </c>
      <c r="F29" s="4" t="inlineStr">
        <is>
          <t>Zentoo</t>
        </is>
      </c>
      <c r="G29" s="4" t="inlineStr">
        <is>
          <t>COLOR Rosa Claro · ALTURA 70 cm</t>
        </is>
      </c>
      <c r="H29" s="3" t="inlineStr"/>
      <c r="I29" s="3" t="n">
        <v>30</v>
      </c>
      <c r="J29" s="3" t="inlineStr">
        <is>
          <t>30 шт.</t>
        </is>
      </c>
      <c r="K29" s="4">
        <f>IMAGE("https://cdn.verdnatura.es/image/catalog/1600x900/198746")</f>
        <v/>
      </c>
      <c r="L29" s="5" t="n"/>
      <c r="M29" s="6" t="n"/>
      <c r="N29" s="7" t="n"/>
      <c r="O29" s="8" t="n">
        <v>0.5</v>
      </c>
      <c r="P29" s="8" t="n">
        <v>15</v>
      </c>
    </row>
    <row r="30" ht="110" customHeight="1">
      <c r="A30" s="3" t="inlineStr">
        <is>
          <t>12655828</t>
        </is>
      </c>
      <c r="B30" s="3" t="inlineStr">
        <is>
          <t>20-04-2026</t>
        </is>
      </c>
      <c r="C30" s="3" t="inlineStr">
        <is>
          <t>Plaza</t>
        </is>
      </c>
      <c r="D30" s="3" t="inlineStr">
        <is>
          <t>178501</t>
        </is>
      </c>
      <c r="E30" s="4" t="inlineStr">
        <is>
          <t>RSR Yellow Babe</t>
        </is>
      </c>
      <c r="F30" s="4" t="inlineStr">
        <is>
          <t>Mzurrie Maji</t>
        </is>
      </c>
      <c r="G30" s="4" t="inlineStr">
        <is>
          <t>COLOR Amarillo · ALTURA 50 cm · TAMAÑO BOTON Mediano</t>
        </is>
      </c>
      <c r="H30" s="3" t="inlineStr"/>
      <c r="I30" s="3" t="n">
        <v>100</v>
      </c>
      <c r="J30" s="3" t="inlineStr">
        <is>
          <t>100 шт.</t>
        </is>
      </c>
      <c r="K30" s="4">
        <f>IMAGE("https://cdn.verdnatura.es/image/catalog/1600x900/178501")</f>
        <v/>
      </c>
      <c r="L30" s="5" t="n"/>
      <c r="M30" s="6" t="n"/>
      <c r="N30" s="7" t="n"/>
      <c r="O30" s="8" t="n">
        <v>0.29</v>
      </c>
      <c r="P30" s="8" t="n">
        <v>29</v>
      </c>
    </row>
    <row r="31" ht="26" customHeight="1">
      <c r="A31" s="2" t="inlineStr">
        <is>
          <t>📦  Накладная #12657601  ·  20-04-2026  ·  Plaza  ·  2 позиций  ·  bultos: 2</t>
        </is>
      </c>
    </row>
    <row r="32" ht="110" customHeight="1">
      <c r="A32" s="3" t="inlineStr">
        <is>
          <t>12657601</t>
        </is>
      </c>
      <c r="B32" s="3" t="inlineStr">
        <is>
          <t>20-04-2026</t>
        </is>
      </c>
      <c r="C32" s="3" t="inlineStr">
        <is>
          <t>Plaza</t>
        </is>
      </c>
      <c r="D32" s="3" t="inlineStr">
        <is>
          <t>111520</t>
        </is>
      </c>
      <c r="E32" s="4" t="inlineStr">
        <is>
          <t>Copa Heidi</t>
        </is>
      </c>
      <c r="F32" s="4" t="inlineStr">
        <is>
          <t>Verdnatura</t>
        </is>
      </c>
      <c r="G32" s="4" t="inlineStr">
        <is>
          <t>ALTURA 27 cm · DIAMETRO 20 cm · DIAMETRO BOCA 17.5 cm</t>
        </is>
      </c>
      <c r="H32" s="3" t="inlineStr"/>
      <c r="I32" s="3" t="n">
        <v>4</v>
      </c>
      <c r="J32" s="3" t="inlineStr">
        <is>
          <t>4 шт.</t>
        </is>
      </c>
      <c r="K32" s="4">
        <f>IMAGE("https://cdn.verdnatura.es/image/catalog/1600x900/111520")</f>
        <v/>
      </c>
      <c r="L32" s="5" t="n"/>
      <c r="M32" s="6" t="n"/>
      <c r="N32" s="7" t="n"/>
      <c r="O32" s="8" t="n">
        <v>7.37</v>
      </c>
      <c r="P32" s="8" t="n">
        <v>29.48</v>
      </c>
    </row>
    <row r="33" ht="110" customHeight="1">
      <c r="A33" s="3" t="inlineStr">
        <is>
          <t>12657601</t>
        </is>
      </c>
      <c r="B33" s="3" t="inlineStr">
        <is>
          <t>20-04-2026</t>
        </is>
      </c>
      <c r="C33" s="3" t="inlineStr">
        <is>
          <t>Plaza</t>
        </is>
      </c>
      <c r="D33" s="3" t="inlineStr">
        <is>
          <t>102480</t>
        </is>
      </c>
      <c r="E33" s="4" t="inlineStr">
        <is>
          <t>Violetero Probeta</t>
        </is>
      </c>
      <c r="F33" s="4" t="inlineStr">
        <is>
          <t>Verdnatura</t>
        </is>
      </c>
      <c r="G33" s="4" t="inlineStr">
        <is>
          <t>ALTURA 30 cm · DIAMETRO 8 cm · DIAMETRO BOCA 3 cm</t>
        </is>
      </c>
      <c r="H33" s="3" t="inlineStr"/>
      <c r="I33" s="3" t="n">
        <v>24</v>
      </c>
      <c r="J33" s="3" t="inlineStr">
        <is>
          <t>24 шт.</t>
        </is>
      </c>
      <c r="K33" s="4">
        <f>IMAGE("https://cdn.verdnatura.es/image/catalog/1600x900/102480")</f>
        <v/>
      </c>
      <c r="L33" s="5" t="n"/>
      <c r="M33" s="6" t="n"/>
      <c r="N33" s="7" t="n"/>
      <c r="O33" s="8" t="n">
        <v>1.6</v>
      </c>
      <c r="P33" s="8" t="n">
        <v>38.4</v>
      </c>
    </row>
    <row r="34" ht="26" customHeight="1">
      <c r="A34" s="2" t="inlineStr">
        <is>
          <t>📦  Накладная #12649221  ·  21-04-2026  ·  Plaza  ·  1 позиций  ·  bultos: 1</t>
        </is>
      </c>
    </row>
    <row r="35" ht="110" customHeight="1">
      <c r="A35" s="3" t="inlineStr">
        <is>
          <t>12649221</t>
        </is>
      </c>
      <c r="B35" s="3" t="inlineStr">
        <is>
          <t>21-04-2026</t>
        </is>
      </c>
      <c r="C35" s="3" t="inlineStr">
        <is>
          <t>Plaza</t>
        </is>
      </c>
      <c r="D35" s="3" t="inlineStr">
        <is>
          <t>38677</t>
        </is>
      </c>
      <c r="E35" s="4" t="inlineStr">
        <is>
          <t>Jarron Caja Bouquet</t>
        </is>
      </c>
      <c r="F35" s="4" t="inlineStr">
        <is>
          <t>Koen Pack</t>
        </is>
      </c>
      <c r="G35" s="4" t="inlineStr">
        <is>
          <t>COLOR Transparente · ALTURA 15 cm · DIAMETRO 15 cm</t>
        </is>
      </c>
      <c r="H35" s="3" t="inlineStr"/>
      <c r="I35" s="3" t="n">
        <v>30</v>
      </c>
      <c r="J35" s="3" t="inlineStr">
        <is>
          <t>30 шт.</t>
        </is>
      </c>
      <c r="K35" s="4">
        <f>IMAGE("https://cdn.verdnatura.es/image/catalog/1600x900/38677")</f>
        <v/>
      </c>
      <c r="L35" s="5" t="n"/>
      <c r="M35" s="6" t="n"/>
      <c r="N35" s="7" t="n"/>
      <c r="O35" s="8" t="n">
        <v>1.15</v>
      </c>
      <c r="P35" s="8" t="n">
        <v>34.5</v>
      </c>
    </row>
  </sheetData>
  <mergeCells count="8">
    <mergeCell ref="A13:P13"/>
    <mergeCell ref="A9:P9"/>
    <mergeCell ref="A31:P31"/>
    <mergeCell ref="A34:P34"/>
    <mergeCell ref="A4:P4"/>
    <mergeCell ref="A16:P16"/>
    <mergeCell ref="A25:P2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2026-06-22T21:39:03Z</dcterms:created>
  <dcterms:modified xmlns:dcterms="http://purl.org/dc/terms/" xmlns:xsi="http://www.w3.org/2001/XMLSchema-instance" xsi:type="dcterms:W3CDTF">2026-06-22T21:39:03Z</dcterms:modified>
</cp:coreProperties>
</file>