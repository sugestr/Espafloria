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#12577205  ·  06-04-2026  ·  Gloria  ·  19 позиций  ·  bultos: 2</t>
        </is>
      </c>
    </row>
    <row r="3" ht="110" customHeight="1">
      <c r="A3" s="3" t="inlineStr">
        <is>
          <t>12577205</t>
        </is>
      </c>
      <c r="B3" s="3" t="inlineStr">
        <is>
          <t>06-04-2026</t>
        </is>
      </c>
      <c r="C3" s="3" t="inlineStr">
        <is>
          <t>Gloria</t>
        </is>
      </c>
      <c r="D3" s="3" t="inlineStr">
        <is>
          <t>131203</t>
        </is>
      </c>
      <c r="E3" s="4" t="inlineStr">
        <is>
          <t>· Lilium Oriental Colet 3</t>
        </is>
      </c>
      <c r="F3" s="4" t="inlineStr">
        <is>
          <t>Klaver</t>
        </is>
      </c>
      <c r="G3" s="4" t="inlineStr">
        <is>
          <t>COLOR Rosa · ALTURA 80 cm · TAMAÑO BOTON 7-8</t>
        </is>
      </c>
      <c r="H3" s="3" t="inlineStr"/>
      <c r="I3" s="3" t="n">
        <v>10</v>
      </c>
      <c r="J3" s="3" t="inlineStr">
        <is>
          <t>10 шт.</t>
        </is>
      </c>
      <c r="K3" s="4">
        <f>IMAGE("https://cdn.verdnatura.es/image/catalog/1600x900/131203")</f>
        <v/>
      </c>
      <c r="L3" s="5" t="n"/>
      <c r="M3" s="6" t="n"/>
      <c r="N3" s="7" t="n"/>
      <c r="O3" s="8" t="n">
        <v>1.8</v>
      </c>
      <c r="P3" s="8" t="n">
        <v>18</v>
      </c>
    </row>
    <row r="4" ht="110" customHeight="1">
      <c r="A4" s="3" t="inlineStr">
        <is>
          <t>12577205</t>
        </is>
      </c>
      <c r="B4" s="3" t="inlineStr">
        <is>
          <t>06-04-2026</t>
        </is>
      </c>
      <c r="C4" s="3" t="inlineStr">
        <is>
          <t>Gloria</t>
        </is>
      </c>
      <c r="D4" s="3" t="inlineStr">
        <is>
          <t>95472</t>
        </is>
      </c>
      <c r="E4" s="4" t="inlineStr">
        <is>
          <t>· Ranunculus Phytalos Butterfl</t>
        </is>
      </c>
      <c r="F4" s="4" t="inlineStr">
        <is>
          <t>Del Golfo</t>
        </is>
      </c>
      <c r="G4" s="4" t="inlineStr">
        <is>
          <t>COLOR Amarillo · ALTURA 60 cm</t>
        </is>
      </c>
      <c r="H4" s="3" t="inlineStr"/>
      <c r="I4" s="3" t="n">
        <v>40</v>
      </c>
      <c r="J4" s="3" t="inlineStr">
        <is>
          <t>40 шт.</t>
        </is>
      </c>
      <c r="K4" s="4">
        <f>IMAGE("https://cdn.verdnatura.es/image/catalog/1600x900/95472")</f>
        <v/>
      </c>
      <c r="L4" s="5" t="n"/>
      <c r="M4" s="6" t="n"/>
      <c r="N4" s="7" t="n"/>
      <c r="O4" s="8" t="n">
        <v>0.61</v>
      </c>
      <c r="P4" s="8" t="n">
        <v>24.4</v>
      </c>
    </row>
    <row r="5" ht="110" customHeight="1">
      <c r="A5" s="3" t="inlineStr">
        <is>
          <t>12577205</t>
        </is>
      </c>
      <c r="B5" s="3" t="inlineStr">
        <is>
          <t>06-04-2026</t>
        </is>
      </c>
      <c r="C5" s="3" t="inlineStr">
        <is>
          <t>Gloria</t>
        </is>
      </c>
      <c r="D5" s="3" t="inlineStr">
        <is>
          <t>186655</t>
        </is>
      </c>
      <c r="E5" s="4" t="inlineStr">
        <is>
          <t>Bupleurum Rotundifolia</t>
        </is>
      </c>
      <c r="F5" s="4" t="inlineStr">
        <is>
          <t>Precise Flowers Ltd</t>
        </is>
      </c>
      <c r="G5" s="4" t="inlineStr">
        <is>
          <t>COLOR Verde · ALTURA 70 cm</t>
        </is>
      </c>
      <c r="H5" s="3" t="inlineStr">
        <is>
          <t>Tallo</t>
        </is>
      </c>
      <c r="I5" s="3" t="n">
        <v>25</v>
      </c>
      <c r="J5" s="3" t="inlineStr">
        <is>
          <t>25 стеблей</t>
        </is>
      </c>
      <c r="K5" s="4">
        <f>IMAGE("https://cdn.verdnatura.es/image/catalog/1600x900/186655")</f>
        <v/>
      </c>
      <c r="L5" s="5" t="n"/>
      <c r="M5" s="6" t="n"/>
      <c r="N5" s="7" t="n"/>
      <c r="O5" s="8" t="n">
        <v>0.34</v>
      </c>
      <c r="P5" s="8" t="n">
        <v>8.5</v>
      </c>
    </row>
    <row r="6" ht="110" customHeight="1">
      <c r="A6" s="3" t="inlineStr">
        <is>
          <t>12577205</t>
        </is>
      </c>
      <c r="B6" s="3" t="inlineStr">
        <is>
          <t>06-04-2026</t>
        </is>
      </c>
      <c r="C6" s="3" t="inlineStr">
        <is>
          <t>Gloria</t>
        </is>
      </c>
      <c r="D6" s="3" t="inlineStr">
        <is>
          <t>124821</t>
        </is>
      </c>
      <c r="E6" s="4" t="inlineStr">
        <is>
          <t>CL Barb Green Ball</t>
        </is>
      </c>
      <c r="F6" s="4" t="inlineStr">
        <is>
          <t>Agruflor</t>
        </is>
      </c>
      <c r="G6" s="4" t="inlineStr">
        <is>
          <t>COLOR Verde · ALTURA 65 cm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IMAGE("https://cdn.verdnatura.es/image/catalog/1600x900/124821")</f>
        <v/>
      </c>
      <c r="L6" s="5" t="n"/>
      <c r="M6" s="6" t="n"/>
      <c r="N6" s="7" t="n"/>
      <c r="O6" s="8" t="n">
        <v>0.34</v>
      </c>
      <c r="P6" s="8" t="n">
        <v>6.8</v>
      </c>
    </row>
    <row r="7" ht="110" customHeight="1">
      <c r="A7" s="3" t="inlineStr">
        <is>
          <t>12577205</t>
        </is>
      </c>
      <c r="B7" s="3" t="inlineStr">
        <is>
          <t>06-04-2026</t>
        </is>
      </c>
      <c r="C7" s="3" t="inlineStr">
        <is>
          <t>Gloria</t>
        </is>
      </c>
      <c r="D7" s="3" t="inlineStr">
        <is>
          <t>197433</t>
        </is>
      </c>
      <c r="E7" s="4" t="inlineStr">
        <is>
          <t>CR Altaj Galaxy 105 gr</t>
        </is>
      </c>
      <c r="F7" s="4" t="inlineStr">
        <is>
          <t>Jimmy Colors BV</t>
        </is>
      </c>
      <c r="G7" s="4" t="inlineStr">
        <is>
          <t>COLOR Purpura/Rosa · ALTURA 70 cm · PESO/TALLO 105 gr</t>
        </is>
      </c>
      <c r="H7" s="3" t="inlineStr"/>
      <c r="I7" s="3" t="n">
        <v>20</v>
      </c>
      <c r="J7" s="3" t="inlineStr">
        <is>
          <t>20 шт.</t>
        </is>
      </c>
      <c r="K7" s="4">
        <f>IMAGE("https://cdn.verdnatura.es/image/catalog/1600x900/197433")</f>
        <v/>
      </c>
      <c r="L7" s="5" t="n"/>
      <c r="M7" s="6" t="n"/>
      <c r="N7" s="7" t="n"/>
      <c r="O7" s="8" t="n">
        <v>1.23</v>
      </c>
      <c r="P7" s="8" t="n">
        <v>24.6</v>
      </c>
    </row>
    <row r="8" ht="110" customHeight="1">
      <c r="A8" s="3" t="inlineStr">
        <is>
          <t>12577205</t>
        </is>
      </c>
      <c r="B8" s="3" t="inlineStr">
        <is>
          <t>06-04-2026</t>
        </is>
      </c>
      <c r="C8" s="3" t="inlineStr">
        <is>
          <t>Gloria</t>
        </is>
      </c>
      <c r="D8" s="3" t="inlineStr">
        <is>
          <t>198039</t>
        </is>
      </c>
      <c r="E8" s="4" t="inlineStr">
        <is>
          <t>CR Altaj Soft Pink 105 gr</t>
        </is>
      </c>
      <c r="F8" s="4" t="inlineStr">
        <is>
          <t>Jimmy Colors BV</t>
        </is>
      </c>
      <c r="G8" s="4" t="inlineStr">
        <is>
          <t>COLOR Rosa Claro · ALTURA 70 cm · PESO/TALLO 105 gr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IMAGE("https://cdn.verdnatura.es/image/catalog/1600x900/198039")</f>
        <v/>
      </c>
      <c r="L8" s="5" t="n"/>
      <c r="M8" s="6" t="n"/>
      <c r="N8" s="7" t="n"/>
      <c r="O8" s="8" t="n">
        <v>1.23</v>
      </c>
      <c r="P8" s="8" t="n">
        <v>24.6</v>
      </c>
    </row>
    <row r="9" ht="110" customHeight="1">
      <c r="A9" s="3" t="inlineStr">
        <is>
          <t>12577205</t>
        </is>
      </c>
      <c r="B9" s="3" t="inlineStr">
        <is>
          <t>06-04-2026</t>
        </is>
      </c>
      <c r="C9" s="3" t="inlineStr">
        <is>
          <t>Gloria</t>
        </is>
      </c>
      <c r="D9" s="3" t="inlineStr">
        <is>
          <t>194057</t>
        </is>
      </c>
      <c r="E9" s="4" t="inlineStr">
        <is>
          <t>CR Lionking 75 gr</t>
        </is>
      </c>
      <c r="F9" s="4" t="inlineStr">
        <is>
          <t>Zentoo</t>
        </is>
      </c>
      <c r="G9" s="4" t="inlineStr">
        <is>
          <t>COLOR Naranja · ALTURA 70 cm · PESO/TALLO 85 gr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IMAGE("https://cdn.verdnatura.es/image/catalog/1600x900/194057")</f>
        <v/>
      </c>
      <c r="L9" s="5" t="n"/>
      <c r="M9" s="6" t="n"/>
      <c r="N9" s="7" t="n"/>
      <c r="O9" s="8" t="n">
        <v>0.79</v>
      </c>
      <c r="P9" s="8" t="n">
        <v>15.8</v>
      </c>
    </row>
    <row r="10" ht="110" customHeight="1">
      <c r="A10" s="3" t="inlineStr">
        <is>
          <t>12577205</t>
        </is>
      </c>
      <c r="B10" s="3" t="inlineStr">
        <is>
          <t>06-04-2026</t>
        </is>
      </c>
      <c r="C10" s="3" t="inlineStr">
        <is>
          <t>Gloria</t>
        </is>
      </c>
      <c r="D10" s="3" t="inlineStr">
        <is>
          <t>198926</t>
        </is>
      </c>
      <c r="E10" s="4" t="inlineStr">
        <is>
          <t>CR SANT Ellison Orange</t>
        </is>
      </c>
      <c r="F10" s="4" t="inlineStr">
        <is>
          <t>VannoVa Master Growers</t>
        </is>
      </c>
      <c r="G10" s="4" t="inlineStr">
        <is>
          <t>COLOR Naranja · ALTURA 55 cm · PESO/PAQUETE 115 gr</t>
        </is>
      </c>
      <c r="H10" s="3" t="inlineStr"/>
      <c r="I10" s="3" t="n">
        <v>25</v>
      </c>
      <c r="J10" s="3" t="inlineStr">
        <is>
          <t>25 шт.</t>
        </is>
      </c>
      <c r="K10" s="4">
        <f>IMAGE("https://cdn.verdnatura.es/image/catalog/1600x900/198926")</f>
        <v/>
      </c>
      <c r="L10" s="5" t="n"/>
      <c r="M10" s="6" t="n"/>
      <c r="N10" s="7" t="n"/>
      <c r="O10" s="8" t="n">
        <v>0.47</v>
      </c>
      <c r="P10" s="8" t="n">
        <v>11.75</v>
      </c>
    </row>
    <row r="11" ht="110" customHeight="1">
      <c r="A11" s="3" t="inlineStr">
        <is>
          <t>12577205</t>
        </is>
      </c>
      <c r="B11" s="3" t="inlineStr">
        <is>
          <t>06-04-2026</t>
        </is>
      </c>
      <c r="C11" s="3" t="inlineStr">
        <is>
          <t>Gloria</t>
        </is>
      </c>
      <c r="D11" s="3" t="inlineStr">
        <is>
          <t>178040</t>
        </is>
      </c>
      <c r="E11" s="4" t="inlineStr">
        <is>
          <t>CR SANT Miller Apricot</t>
        </is>
      </c>
      <c r="F11" s="4" t="inlineStr">
        <is>
          <t>Zentoo</t>
        </is>
      </c>
      <c r="G11" s="4" t="inlineStr">
        <is>
          <t>COLOR Salmón · ALTURA 55 cm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IMAGE("https://cdn.verdnatura.es/image/catalog/1600x900/178040")</f>
        <v/>
      </c>
      <c r="L11" s="5" t="n"/>
      <c r="M11" s="6" t="n"/>
      <c r="N11" s="7" t="n"/>
      <c r="O11" s="8" t="n">
        <v>0.47</v>
      </c>
      <c r="P11" s="8" t="n">
        <v>11.75</v>
      </c>
    </row>
    <row r="12" ht="110" customHeight="1">
      <c r="A12" s="3" t="inlineStr">
        <is>
          <t>12577205</t>
        </is>
      </c>
      <c r="B12" s="3" t="inlineStr">
        <is>
          <t>06-04-2026</t>
        </is>
      </c>
      <c r="C12" s="3" t="inlineStr">
        <is>
          <t>Gloria</t>
        </is>
      </c>
      <c r="D12" s="3" t="inlineStr">
        <is>
          <t>198761</t>
        </is>
      </c>
      <c r="E12" s="4" t="inlineStr">
        <is>
          <t>CR Stallion Wit 70 gr</t>
        </is>
      </c>
      <c r="F12" s="4" t="inlineStr">
        <is>
          <t>Voort Chrysanten</t>
        </is>
      </c>
      <c r="G12" s="4" t="inlineStr">
        <is>
          <t>COLOR Blanco · ALTURA 70 cm · PESO/TALLO 70 gr</t>
        </is>
      </c>
      <c r="H12" s="3" t="inlineStr"/>
      <c r="I12" s="3" t="n">
        <v>20</v>
      </c>
      <c r="J12" s="3" t="inlineStr">
        <is>
          <t>20 шт.</t>
        </is>
      </c>
      <c r="K12" s="4">
        <f>IMAGE("https://cdn.verdnatura.es/image/catalog/1600x900/198761")</f>
        <v/>
      </c>
      <c r="L12" s="5" t="n"/>
      <c r="M12" s="6" t="n"/>
      <c r="N12" s="7" t="n"/>
      <c r="O12" s="8" t="n">
        <v>0.9</v>
      </c>
      <c r="P12" s="8" t="n">
        <v>18</v>
      </c>
    </row>
    <row r="13" ht="110" customHeight="1">
      <c r="A13" s="3" t="inlineStr">
        <is>
          <t>12577205</t>
        </is>
      </c>
      <c r="B13" s="3" t="inlineStr">
        <is>
          <t>06-04-2026</t>
        </is>
      </c>
      <c r="C13" s="3" t="inlineStr">
        <is>
          <t>Gloria</t>
        </is>
      </c>
      <c r="D13" s="3" t="inlineStr">
        <is>
          <t>12071</t>
        </is>
      </c>
      <c r="E13" s="4" t="inlineStr">
        <is>
          <t>LA Heartstrings 4</t>
        </is>
      </c>
      <c r="F13" s="4" t="inlineStr">
        <is>
          <t>Dutch Lily Masters</t>
        </is>
      </c>
      <c r="G13" s="4" t="inlineStr">
        <is>
          <t>COLOR Rojo/Amarillo · ALTURA 90 cm</t>
        </is>
      </c>
      <c r="H13" s="3" t="inlineStr"/>
      <c r="I13" s="3" t="n">
        <v>10</v>
      </c>
      <c r="J13" s="3" t="inlineStr">
        <is>
          <t>10 шт.</t>
        </is>
      </c>
      <c r="K13" s="4">
        <f>IMAGE("https://cdn.verdnatura.es/image/catalog/1600x900/12071")</f>
        <v/>
      </c>
      <c r="L13" s="5" t="n"/>
      <c r="M13" s="6" t="n"/>
      <c r="N13" s="7" t="n"/>
      <c r="O13" s="8" t="n">
        <v>0.96</v>
      </c>
      <c r="P13" s="8" t="n">
        <v>9.6</v>
      </c>
    </row>
    <row r="14" ht="110" customHeight="1">
      <c r="A14" s="3" t="inlineStr">
        <is>
          <t>12577205</t>
        </is>
      </c>
      <c r="B14" s="3" t="inlineStr">
        <is>
          <t>06-04-2026</t>
        </is>
      </c>
      <c r="C14" s="3" t="inlineStr">
        <is>
          <t>Gloria</t>
        </is>
      </c>
      <c r="D14" s="3" t="inlineStr">
        <is>
          <t>169205</t>
        </is>
      </c>
      <c r="E14" s="4" t="inlineStr">
        <is>
          <t>LIM N NOR China Summer</t>
        </is>
      </c>
      <c r="F14" s="4" t="inlineStr">
        <is>
          <t>Mijo Flowers</t>
        </is>
      </c>
      <c r="G14" s="4" t="inlineStr">
        <is>
          <t>COLOR Amarillo · ALTURA 60 cm · PESO/TALLO 25 gr</t>
        </is>
      </c>
      <c r="H14" s="3" t="inlineStr"/>
      <c r="I14" s="3" t="n">
        <v>25</v>
      </c>
      <c r="J14" s="3" t="inlineStr">
        <is>
          <t>25 шт.</t>
        </is>
      </c>
      <c r="K14" s="4">
        <f>IMAGE("https://cdn.verdnatura.es/image/catalog/1600x900/169205")</f>
        <v/>
      </c>
      <c r="L14" s="5" t="n"/>
      <c r="M14" s="6" t="n"/>
      <c r="N14" s="7" t="n"/>
      <c r="O14" s="8" t="n">
        <v>0.58</v>
      </c>
      <c r="P14" s="8" t="n">
        <v>14.5</v>
      </c>
    </row>
    <row r="15" ht="110" customHeight="1">
      <c r="A15" s="3" t="inlineStr">
        <is>
          <t>12577205</t>
        </is>
      </c>
      <c r="B15" s="3" t="inlineStr">
        <is>
          <t>06-04-2026</t>
        </is>
      </c>
      <c r="C15" s="3" t="inlineStr">
        <is>
          <t>Gloria</t>
        </is>
      </c>
      <c r="D15" s="3" t="inlineStr">
        <is>
          <t>84451</t>
        </is>
      </c>
      <c r="E15" s="4" t="inlineStr">
        <is>
          <t>LIM N NOR Safora Oshi Pink</t>
        </is>
      </c>
      <c r="F15" s="4" t="inlineStr">
        <is>
          <t>Beauty Line</t>
        </is>
      </c>
      <c r="G15" s="4" t="inlineStr">
        <is>
          <t>COLOR Rosa · ALTURA 60 cm · PESO/TALLO 25 gr</t>
        </is>
      </c>
      <c r="H15" s="3" t="inlineStr"/>
      <c r="I15" s="3" t="n">
        <v>25</v>
      </c>
      <c r="J15" s="3" t="inlineStr">
        <is>
          <t>25 шт.</t>
        </is>
      </c>
      <c r="K15" s="4">
        <f>IMAGE("https://cdn.verdnatura.es/image/catalog/1600x900/84451")</f>
        <v/>
      </c>
      <c r="L15" s="5" t="n"/>
      <c r="M15" s="6" t="n"/>
      <c r="N15" s="7" t="n"/>
      <c r="O15" s="8" t="n">
        <v>0.27</v>
      </c>
      <c r="P15" s="8" t="n">
        <v>6.75</v>
      </c>
    </row>
    <row r="16" ht="110" customHeight="1">
      <c r="A16" s="3" t="inlineStr">
        <is>
          <t>12577205</t>
        </is>
      </c>
      <c r="B16" s="3" t="inlineStr">
        <is>
          <t>06-04-2026</t>
        </is>
      </c>
      <c r="C16" s="3" t="inlineStr">
        <is>
          <t>Gloria</t>
        </is>
      </c>
      <c r="D16" s="3" t="inlineStr">
        <is>
          <t>39231</t>
        </is>
      </c>
      <c r="E16" s="4" t="inlineStr">
        <is>
          <t>Muscari Carola</t>
        </is>
      </c>
      <c r="F16" s="4" t="inlineStr"/>
      <c r="G16" s="4" t="inlineStr">
        <is>
          <t>COLOR Azul · ALTURA 29 cm</t>
        </is>
      </c>
      <c r="H16" s="3" t="inlineStr"/>
      <c r="I16" s="3" t="n">
        <v>50</v>
      </c>
      <c r="J16" s="3" t="inlineStr">
        <is>
          <t>50 шт.</t>
        </is>
      </c>
      <c r="K16" s="4">
        <f>IMAGE("https://cdn.verdnatura.es/image/catalog/1600x900/39231")</f>
        <v/>
      </c>
      <c r="L16" s="5" t="n"/>
      <c r="M16" s="6" t="n"/>
      <c r="N16" s="7" t="n"/>
      <c r="O16" s="8" t="n">
        <v>0.26</v>
      </c>
      <c r="P16" s="8" t="n">
        <v>13</v>
      </c>
    </row>
    <row r="17" ht="110" customHeight="1">
      <c r="A17" s="3" t="inlineStr">
        <is>
          <t>12577205</t>
        </is>
      </c>
      <c r="B17" s="3" t="inlineStr">
        <is>
          <t>06-04-2026</t>
        </is>
      </c>
      <c r="C17" s="3" t="inlineStr">
        <is>
          <t>Gloria</t>
        </is>
      </c>
      <c r="D17" s="3" t="inlineStr">
        <is>
          <t>174975</t>
        </is>
      </c>
      <c r="E17" s="4" t="inlineStr">
        <is>
          <t>RSR Bombastic Jardín</t>
        </is>
      </c>
      <c r="F17" s="4" t="inlineStr">
        <is>
          <t>JMP Flowers</t>
        </is>
      </c>
      <c r="G17" s="4" t="inlineStr">
        <is>
          <t>COLOR Rosa Claro · ALTURA 50 cm</t>
        </is>
      </c>
      <c r="H17" s="3" t="inlineStr"/>
      <c r="I17" s="3" t="n">
        <v>20</v>
      </c>
      <c r="J17" s="3" t="inlineStr">
        <is>
          <t>20 шт.</t>
        </is>
      </c>
      <c r="K17" s="4">
        <f>IMAGE("https://cdn.verdnatura.es/image/catalog/1600x900/174975")</f>
        <v/>
      </c>
      <c r="L17" s="5" t="n"/>
      <c r="M17" s="6" t="n"/>
      <c r="N17" s="7" t="n"/>
      <c r="O17" s="8" t="n">
        <v>0.52</v>
      </c>
      <c r="P17" s="8" t="n">
        <v>10.4</v>
      </c>
    </row>
    <row r="18" ht="110" customHeight="1">
      <c r="A18" s="3" t="inlineStr">
        <is>
          <t>12577205</t>
        </is>
      </c>
      <c r="B18" s="3" t="inlineStr">
        <is>
          <t>06-04-2026</t>
        </is>
      </c>
      <c r="C18" s="3" t="inlineStr">
        <is>
          <t>Gloria</t>
        </is>
      </c>
      <c r="D18" s="3" t="inlineStr">
        <is>
          <t>27904</t>
        </is>
      </c>
      <c r="E18" s="4" t="inlineStr">
        <is>
          <t>Statice Amarillo</t>
        </is>
      </c>
      <c r="F18" s="4" t="inlineStr">
        <is>
          <t>Santa Dorotea</t>
        </is>
      </c>
      <c r="G18" s="4" t="inlineStr">
        <is>
          <t>COLOR Amarillo · ALTURA 70 cm · PESO/TALLO 30 gr</t>
        </is>
      </c>
      <c r="H18" s="3" t="inlineStr"/>
      <c r="I18" s="3" t="n">
        <v>25</v>
      </c>
      <c r="J18" s="3" t="inlineStr">
        <is>
          <t>25 шт.</t>
        </is>
      </c>
      <c r="K18" s="4">
        <f>IMAGE("https://cdn.verdnatura.es/image/catalog/1600x900/27904")</f>
        <v/>
      </c>
      <c r="L18" s="5" t="n"/>
      <c r="M18" s="6" t="n"/>
      <c r="N18" s="7" t="n"/>
      <c r="O18" s="8" t="n">
        <v>0.5</v>
      </c>
      <c r="P18" s="8" t="n">
        <v>12.5</v>
      </c>
    </row>
    <row r="19" ht="110" customHeight="1">
      <c r="A19" s="3" t="inlineStr">
        <is>
          <t>12577205</t>
        </is>
      </c>
      <c r="B19" s="3" t="inlineStr">
        <is>
          <t>06-04-2026</t>
        </is>
      </c>
      <c r="C19" s="3" t="inlineStr">
        <is>
          <t>Gloria</t>
        </is>
      </c>
      <c r="D19" s="3" t="inlineStr">
        <is>
          <t>139147</t>
        </is>
      </c>
      <c r="E19" s="4" t="inlineStr">
        <is>
          <t>Statice Azul Oscuro</t>
        </is>
      </c>
      <c r="F19" s="4" t="inlineStr">
        <is>
          <t>Santa Dorotea</t>
        </is>
      </c>
      <c r="G19" s="4" t="inlineStr">
        <is>
          <t>COLOR Azul · ALTURA 70 cm · PESO/TALLO 30 gr</t>
        </is>
      </c>
      <c r="H19" s="3" t="inlineStr"/>
      <c r="I19" s="3" t="n">
        <v>25</v>
      </c>
      <c r="J19" s="3" t="inlineStr">
        <is>
          <t>25 шт.</t>
        </is>
      </c>
      <c r="K19" s="4">
        <f>IMAGE("https://cdn.verdnatura.es/image/catalog/1600x900/139147")</f>
        <v/>
      </c>
      <c r="L19" s="5" t="n"/>
      <c r="M19" s="6" t="n"/>
      <c r="N19" s="7" t="n"/>
      <c r="O19" s="8" t="n">
        <v>0.47</v>
      </c>
      <c r="P19" s="8" t="n">
        <v>11.75</v>
      </c>
    </row>
    <row r="20" ht="110" customHeight="1">
      <c r="A20" s="3" t="inlineStr">
        <is>
          <t>12577205</t>
        </is>
      </c>
      <c r="B20" s="3" t="inlineStr">
        <is>
          <t>06-04-2026</t>
        </is>
      </c>
      <c r="C20" s="3" t="inlineStr">
        <is>
          <t>Gloria</t>
        </is>
      </c>
      <c r="D20" s="3" t="inlineStr">
        <is>
          <t>27908</t>
        </is>
      </c>
      <c r="E20" s="4" t="inlineStr">
        <is>
          <t>Statice Fucsia</t>
        </is>
      </c>
      <c r="F20" s="4" t="inlineStr">
        <is>
          <t>Santa Dorotea</t>
        </is>
      </c>
      <c r="G20" s="4" t="inlineStr">
        <is>
          <t>COLOR Fucsia · ALTURA 70 cm · PESO/TALLO 30 gr</t>
        </is>
      </c>
      <c r="H20" s="3" t="inlineStr"/>
      <c r="I20" s="3" t="n">
        <v>25</v>
      </c>
      <c r="J20" s="3" t="inlineStr">
        <is>
          <t>25 шт.</t>
        </is>
      </c>
      <c r="K20" s="4">
        <f>IMAGE("https://cdn.verdnatura.es/image/catalog/1600x900/27908")</f>
        <v/>
      </c>
      <c r="L20" s="5" t="n"/>
      <c r="M20" s="6" t="n"/>
      <c r="N20" s="7" t="n"/>
      <c r="O20" s="8" t="n">
        <v>0.47</v>
      </c>
      <c r="P20" s="8" t="n">
        <v>11.75</v>
      </c>
    </row>
    <row r="21" ht="110" customHeight="1">
      <c r="A21" s="3" t="inlineStr">
        <is>
          <t>12577205</t>
        </is>
      </c>
      <c r="B21" s="3" t="inlineStr">
        <is>
          <t>06-04-2026</t>
        </is>
      </c>
      <c r="C21" s="3" t="inlineStr">
        <is>
          <t>Gloria</t>
        </is>
      </c>
      <c r="D21" s="3" t="inlineStr">
        <is>
          <t>165566</t>
        </is>
      </c>
      <c r="E21" s="4" t="inlineStr">
        <is>
          <t>TRACH Morado</t>
        </is>
      </c>
      <c r="F21" s="4" t="inlineStr">
        <is>
          <t>Agruflor</t>
        </is>
      </c>
      <c r="G21" s="4" t="inlineStr">
        <is>
          <t>COLOR Morado · ALTURA 60 cm</t>
        </is>
      </c>
      <c r="H21" s="3" t="inlineStr"/>
      <c r="I21" s="3" t="n">
        <v>30</v>
      </c>
      <c r="J21" s="3" t="inlineStr">
        <is>
          <t>30 шт.</t>
        </is>
      </c>
      <c r="K21" s="4">
        <f>IMAGE("https://cdn.verdnatura.es/image/catalog/1600x900/165566")</f>
        <v/>
      </c>
      <c r="L21" s="5" t="n"/>
      <c r="M21" s="6" t="n"/>
      <c r="N21" s="7" t="n"/>
      <c r="O21" s="8" t="n">
        <v>0.43</v>
      </c>
      <c r="P21" s="8" t="n">
        <v>12.9</v>
      </c>
    </row>
    <row r="22" ht="26" customHeight="1">
      <c r="A22" s="2" t="inlineStr">
        <is>
          <t>📦  Накладная #12583898  ·  06-04-2026  ·  Gloria  ·  18 позиций  ·  bultos: 3</t>
        </is>
      </c>
    </row>
    <row r="23" ht="110" customHeight="1">
      <c r="A23" s="3" t="inlineStr">
        <is>
          <t>12583898</t>
        </is>
      </c>
      <c r="B23" s="3" t="inlineStr">
        <is>
          <t>06-04-2026</t>
        </is>
      </c>
      <c r="C23" s="3" t="inlineStr">
        <is>
          <t>Gloria</t>
        </is>
      </c>
      <c r="D23" s="3" t="inlineStr">
        <is>
          <t>196441</t>
        </is>
      </c>
      <c r="E23" s="4" t="inlineStr">
        <is>
          <t>+ RSR Baby Rosever</t>
        </is>
      </c>
      <c r="F23" s="4" t="inlineStr">
        <is>
          <t>Cantiza Flowers</t>
        </is>
      </c>
      <c r="G23" s="4" t="inlineStr">
        <is>
          <t>COLOR Rosa/Naranja · ALTURA 50 cm</t>
        </is>
      </c>
      <c r="H23" s="3" t="inlineStr"/>
      <c r="I23" s="3" t="n">
        <v>20</v>
      </c>
      <c r="J23" s="3" t="inlineStr">
        <is>
          <t>20 шт.</t>
        </is>
      </c>
      <c r="K23" s="4">
        <f>IMAGE("https://cdn.verdnatura.es/image/catalog/1600x900/196441")</f>
        <v/>
      </c>
      <c r="L23" s="5" t="n"/>
      <c r="M23" s="6" t="n"/>
      <c r="N23" s="7" t="n"/>
      <c r="O23" s="8" t="n">
        <v>0.62</v>
      </c>
      <c r="P23" s="8" t="n">
        <v>12.4</v>
      </c>
    </row>
    <row r="24" ht="110" customHeight="1">
      <c r="A24" s="3" t="inlineStr">
        <is>
          <t>12583898</t>
        </is>
      </c>
      <c r="B24" s="3" t="inlineStr">
        <is>
          <t>06-04-2026</t>
        </is>
      </c>
      <c r="C24" s="3" t="inlineStr">
        <is>
          <t>Gloria</t>
        </is>
      </c>
      <c r="D24" s="3" t="inlineStr">
        <is>
          <t>200158</t>
        </is>
      </c>
      <c r="E24" s="4" t="inlineStr">
        <is>
          <t>CL MIN Solomio Fiorino Pupa SE</t>
        </is>
      </c>
      <c r="F24" s="4" t="inlineStr">
        <is>
          <t>Santa Dorotea</t>
        </is>
      </c>
      <c r="G24" s="4" t="inlineStr">
        <is>
          <t>COLOR Granate · ALTURA 70 cm · Nº TALLOS 20</t>
        </is>
      </c>
      <c r="H24" s="3" t="inlineStr"/>
      <c r="I24" s="3" t="n">
        <v>40</v>
      </c>
      <c r="J24" s="3" t="inlineStr">
        <is>
          <t>40 шт.</t>
        </is>
      </c>
      <c r="K24" s="4">
        <f>IMAGE("https://cdn.verdnatura.es/image/catalog/1600x900/200158")</f>
        <v/>
      </c>
      <c r="L24" s="5" t="n"/>
      <c r="M24" s="6" t="n"/>
      <c r="N24" s="7" t="n"/>
      <c r="O24" s="8" t="n">
        <v>0.23</v>
      </c>
      <c r="P24" s="8" t="n">
        <v>9.199999999999999</v>
      </c>
    </row>
    <row r="25" ht="110" customHeight="1">
      <c r="A25" s="3" t="inlineStr">
        <is>
          <t>12583898</t>
        </is>
      </c>
      <c r="B25" s="3" t="inlineStr">
        <is>
          <t>06-04-2026</t>
        </is>
      </c>
      <c r="C25" s="3" t="inlineStr">
        <is>
          <t>Gloria</t>
        </is>
      </c>
      <c r="D25" s="3" t="inlineStr">
        <is>
          <t>165888</t>
        </is>
      </c>
      <c r="E25" s="4" t="inlineStr">
        <is>
          <t>CRU Bernal</t>
        </is>
      </c>
      <c r="F25" s="4" t="inlineStr">
        <is>
          <t>Yasa</t>
        </is>
      </c>
      <c r="G25" s="4" t="inlineStr">
        <is>
          <t>COLOR Amarillo · ALTURA 70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IMAGE("https://cdn.verdnatura.es/image/catalog/1600x900/165888")</f>
        <v/>
      </c>
      <c r="L25" s="5" t="n"/>
      <c r="M25" s="6" t="n"/>
      <c r="N25" s="7" t="n"/>
      <c r="O25" s="8" t="n">
        <v>0.5600000000000001</v>
      </c>
      <c r="P25" s="8" t="n">
        <v>11.2</v>
      </c>
    </row>
    <row r="26" ht="110" customHeight="1">
      <c r="A26" s="3" t="inlineStr">
        <is>
          <t>12583898</t>
        </is>
      </c>
      <c r="B26" s="3" t="inlineStr">
        <is>
          <t>06-04-2026</t>
        </is>
      </c>
      <c r="C26" s="3" t="inlineStr">
        <is>
          <t>Gloria</t>
        </is>
      </c>
      <c r="D26" s="3" t="inlineStr">
        <is>
          <t>146802</t>
        </is>
      </c>
      <c r="E26" s="4" t="inlineStr">
        <is>
          <t>GRS Catalina</t>
        </is>
      </c>
      <c r="F26" s="4" t="inlineStr">
        <is>
          <t>Alexandra</t>
        </is>
      </c>
      <c r="G26" s="4" t="inlineStr">
        <is>
          <t>COLOR Amarillo · ALTURA 40 cm · BOTÓN MINIMO 3.5 cm</t>
        </is>
      </c>
      <c r="H26" s="3" t="inlineStr"/>
      <c r="I26" s="3" t="n">
        <v>24</v>
      </c>
      <c r="J26" s="3" t="inlineStr">
        <is>
          <t>24 шт.</t>
        </is>
      </c>
      <c r="K26" s="4">
        <f>IMAGE("https://cdn.verdnatura.es/image/catalog/1600x900/146802")</f>
        <v/>
      </c>
      <c r="L26" s="5" t="n"/>
      <c r="M26" s="6" t="n"/>
      <c r="N26" s="7" t="n"/>
      <c r="O26" s="8" t="n">
        <v>0.73</v>
      </c>
      <c r="P26" s="8" t="n">
        <v>17.52</v>
      </c>
    </row>
    <row r="27" ht="110" customHeight="1">
      <c r="A27" s="3" t="inlineStr">
        <is>
          <t>12583898</t>
        </is>
      </c>
      <c r="B27" s="3" t="inlineStr">
        <is>
          <t>06-04-2026</t>
        </is>
      </c>
      <c r="C27" s="3" t="inlineStr">
        <is>
          <t>Gloria</t>
        </is>
      </c>
      <c r="D27" s="3" t="inlineStr">
        <is>
          <t>149519</t>
        </is>
      </c>
      <c r="E27" s="4" t="inlineStr">
        <is>
          <t>GRS London Bell</t>
        </is>
      </c>
      <c r="F27" s="4" t="inlineStr">
        <is>
          <t>Milagro</t>
        </is>
      </c>
      <c r="G27" s="4" t="inlineStr">
        <is>
          <t>COLOR Fucsia · ALTURA 50 cm · BOTÓN MINIMO 4.5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IMAGE("https://cdn.verdnatura.es/image/catalog/1600x900/149519")</f>
        <v/>
      </c>
      <c r="L27" s="5" t="n"/>
      <c r="M27" s="6" t="n"/>
      <c r="N27" s="7" t="n"/>
      <c r="O27" s="8" t="n">
        <v>0.77</v>
      </c>
      <c r="P27" s="8" t="n">
        <v>0</v>
      </c>
    </row>
    <row r="28" ht="110" customHeight="1">
      <c r="A28" s="3" t="inlineStr">
        <is>
          <t>12583898</t>
        </is>
      </c>
      <c r="B28" s="3" t="inlineStr">
        <is>
          <t>06-04-2026</t>
        </is>
      </c>
      <c r="C28" s="3" t="inlineStr">
        <is>
          <t>Gloria</t>
        </is>
      </c>
      <c r="D28" s="3" t="inlineStr">
        <is>
          <t>174535</t>
        </is>
      </c>
      <c r="E28" s="4" t="inlineStr">
        <is>
          <t>GRS Mandarin X-Pression</t>
        </is>
      </c>
      <c r="F28" s="4" t="inlineStr">
        <is>
          <t>La Rosaleda</t>
        </is>
      </c>
      <c r="G28" s="4" t="inlineStr">
        <is>
          <t>COLOR Rosa · ALTURA 50 cm</t>
        </is>
      </c>
      <c r="H28" s="3" t="inlineStr"/>
      <c r="I28" s="3" t="n">
        <v>25</v>
      </c>
      <c r="J28" s="3" t="inlineStr">
        <is>
          <t>25 шт.</t>
        </is>
      </c>
      <c r="K28" s="4">
        <f>IMAGE("https://cdn.verdnatura.es/image/catalog/1600x900/174535")</f>
        <v/>
      </c>
      <c r="L28" s="5" t="n"/>
      <c r="M28" s="6" t="n"/>
      <c r="N28" s="7" t="n"/>
      <c r="O28" s="8" t="n">
        <v>0.83</v>
      </c>
      <c r="P28" s="8" t="n">
        <v>20.75</v>
      </c>
    </row>
    <row r="29" ht="110" customHeight="1">
      <c r="A29" s="3" t="inlineStr">
        <is>
          <t>12583898</t>
        </is>
      </c>
      <c r="B29" s="3" t="inlineStr">
        <is>
          <t>06-04-2026</t>
        </is>
      </c>
      <c r="C29" s="3" t="inlineStr">
        <is>
          <t>Gloria</t>
        </is>
      </c>
      <c r="D29" s="3" t="inlineStr">
        <is>
          <t>153065</t>
        </is>
      </c>
      <c r="E29" s="4" t="inlineStr">
        <is>
          <t>GRS Pink Xpression</t>
        </is>
      </c>
      <c r="F29" s="4" t="inlineStr">
        <is>
          <t>La Rosaleda</t>
        </is>
      </c>
      <c r="G29" s="4" t="inlineStr">
        <is>
          <t>COLOR Rosa · ALTURA 50 cm</t>
        </is>
      </c>
      <c r="H29" s="3" t="inlineStr"/>
      <c r="I29" s="3" t="n">
        <v>25</v>
      </c>
      <c r="J29" s="3" t="inlineStr">
        <is>
          <t>25 шт.</t>
        </is>
      </c>
      <c r="K29" s="4">
        <f>IMAGE("https://cdn.verdnatura.es/image/catalog/1600x900/153065")</f>
        <v/>
      </c>
      <c r="L29" s="5" t="n"/>
      <c r="M29" s="6" t="n"/>
      <c r="N29" s="7" t="n"/>
      <c r="O29" s="8" t="n">
        <v>0.83</v>
      </c>
      <c r="P29" s="8" t="n">
        <v>20.75</v>
      </c>
    </row>
    <row r="30" ht="110" customHeight="1">
      <c r="A30" s="3" t="inlineStr">
        <is>
          <t>12583898</t>
        </is>
      </c>
      <c r="B30" s="3" t="inlineStr">
        <is>
          <t>06-04-2026</t>
        </is>
      </c>
      <c r="C30" s="3" t="inlineStr">
        <is>
          <t>Gloria</t>
        </is>
      </c>
      <c r="D30" s="3" t="inlineStr">
        <is>
          <t>149334</t>
        </is>
      </c>
      <c r="E30" s="4" t="inlineStr">
        <is>
          <t>GRS Princess Crown</t>
        </is>
      </c>
      <c r="F30" s="4" t="inlineStr">
        <is>
          <t>Agrivaldani</t>
        </is>
      </c>
      <c r="G30" s="4" t="inlineStr">
        <is>
          <t>COLOR Melocotón · ALTURA 50 cm · BOTÓN MINIMO 5.5 cm</t>
        </is>
      </c>
      <c r="H30" s="3" t="inlineStr"/>
      <c r="I30" s="3" t="n">
        <v>50</v>
      </c>
      <c r="J30" s="3" t="inlineStr">
        <is>
          <t>50 шт.</t>
        </is>
      </c>
      <c r="K30" s="4">
        <f>IMAGE("https://cdn.verdnatura.es/image/catalog/1600x900/149334")</f>
        <v/>
      </c>
      <c r="L30" s="5" t="n"/>
      <c r="M30" s="6" t="n"/>
      <c r="N30" s="7" t="n"/>
      <c r="O30" s="8" t="n">
        <v>0.5600000000000001</v>
      </c>
      <c r="P30" s="8" t="n">
        <v>28</v>
      </c>
    </row>
    <row r="31" ht="110" customHeight="1">
      <c r="A31" s="3" t="inlineStr">
        <is>
          <t>12583898</t>
        </is>
      </c>
      <c r="B31" s="3" t="inlineStr">
        <is>
          <t>06-04-2026</t>
        </is>
      </c>
      <c r="C31" s="3" t="inlineStr">
        <is>
          <t>Gloria</t>
        </is>
      </c>
      <c r="D31" s="3" t="inlineStr">
        <is>
          <t>196381</t>
        </is>
      </c>
      <c r="E31" s="4" t="inlineStr">
        <is>
          <t>HYD Elite Purple PRE</t>
        </is>
      </c>
      <c r="F31" s="4" t="inlineStr">
        <is>
          <t>Santa Dorotea</t>
        </is>
      </c>
      <c r="G31" s="4" t="inlineStr">
        <is>
          <t>COLOR Morado · ALTURA 60 cm · DIAMETRO 18 cm</t>
        </is>
      </c>
      <c r="H31" s="3" t="inlineStr"/>
      <c r="I31" s="3" t="n">
        <v>20</v>
      </c>
      <c r="J31" s="3" t="inlineStr">
        <is>
          <t>20 шт.</t>
        </is>
      </c>
      <c r="K31" s="4">
        <f>IMAGE("https://cdn.verdnatura.es/image/catalog/1600x900/196381")</f>
        <v/>
      </c>
      <c r="L31" s="5" t="n"/>
      <c r="M31" s="6" t="n"/>
      <c r="N31" s="7" t="n"/>
      <c r="O31" s="8" t="n">
        <v>2.04</v>
      </c>
      <c r="P31" s="8" t="n">
        <v>40.8</v>
      </c>
    </row>
    <row r="32" ht="110" customHeight="1">
      <c r="A32" s="3" t="inlineStr">
        <is>
          <t>12583898</t>
        </is>
      </c>
      <c r="B32" s="3" t="inlineStr">
        <is>
          <t>06-04-2026</t>
        </is>
      </c>
      <c r="C32" s="3" t="inlineStr">
        <is>
          <t>Gloria</t>
        </is>
      </c>
      <c r="D32" s="3" t="inlineStr">
        <is>
          <t>186670</t>
        </is>
      </c>
      <c r="E32" s="4" t="inlineStr">
        <is>
          <t>HYD Pintado Candy Pink PRE</t>
        </is>
      </c>
      <c r="F32" s="4" t="inlineStr">
        <is>
          <t>Santa Dorotea</t>
        </is>
      </c>
      <c r="G32" s="4" t="inlineStr">
        <is>
          <t>COLOR Rosa · ALTURA 60 cm · DIAMETRO 18 cm</t>
        </is>
      </c>
      <c r="H32" s="3" t="inlineStr"/>
      <c r="I32" s="3" t="n">
        <v>20</v>
      </c>
      <c r="J32" s="3" t="inlineStr">
        <is>
          <t>20 шт.</t>
        </is>
      </c>
      <c r="K32" s="4">
        <f>IMAGE("https://cdn.verdnatura.es/image/catalog/1600x900/186670")</f>
        <v/>
      </c>
      <c r="L32" s="5" t="n"/>
      <c r="M32" s="6" t="n"/>
      <c r="N32" s="7" t="n"/>
      <c r="O32" s="8" t="n">
        <v>1.06</v>
      </c>
      <c r="P32" s="8" t="n">
        <v>21.2</v>
      </c>
    </row>
    <row r="33" ht="110" customHeight="1">
      <c r="A33" s="3" t="inlineStr">
        <is>
          <t>12583898</t>
        </is>
      </c>
      <c r="B33" s="3" t="inlineStr">
        <is>
          <t>06-04-2026</t>
        </is>
      </c>
      <c r="C33" s="3" t="inlineStr">
        <is>
          <t>Gloria</t>
        </is>
      </c>
      <c r="D33" s="3" t="inlineStr">
        <is>
          <t>171541</t>
        </is>
      </c>
      <c r="E33" s="4" t="inlineStr">
        <is>
          <t>PAN Rosa SD 40 gr</t>
        </is>
      </c>
      <c r="F33" s="4" t="inlineStr">
        <is>
          <t>Santa Dorotea</t>
        </is>
      </c>
      <c r="G33" s="4" t="inlineStr">
        <is>
          <t>COLOR Rosa · ALTURA 80 cm · TAMAÑO FLOR XL</t>
        </is>
      </c>
      <c r="H33" s="3" t="inlineStr"/>
      <c r="I33" s="3" t="n">
        <v>25</v>
      </c>
      <c r="J33" s="3" t="inlineStr">
        <is>
          <t>25 шт.</t>
        </is>
      </c>
      <c r="K33" s="4">
        <f>IMAGE("https://cdn.verdnatura.es/image/catalog/1600x900/171541")</f>
        <v/>
      </c>
      <c r="L33" s="5" t="n"/>
      <c r="M33" s="6" t="n"/>
      <c r="N33" s="7" t="n"/>
      <c r="O33" s="8" t="n">
        <v>0.57</v>
      </c>
      <c r="P33" s="8" t="n">
        <v>14.25</v>
      </c>
    </row>
    <row r="34" ht="110" customHeight="1">
      <c r="A34" s="3" t="inlineStr">
        <is>
          <t>12583898</t>
        </is>
      </c>
      <c r="B34" s="3" t="inlineStr">
        <is>
          <t>06-04-2026</t>
        </is>
      </c>
      <c r="C34" s="3" t="inlineStr">
        <is>
          <t>Gloria</t>
        </is>
      </c>
      <c r="D34" s="3" t="inlineStr">
        <is>
          <t>171540</t>
        </is>
      </c>
      <c r="E34" s="4" t="inlineStr">
        <is>
          <t>PAN Small Bloom SD 40 gr</t>
        </is>
      </c>
      <c r="F34" s="4" t="inlineStr">
        <is>
          <t>Santa Dorotea</t>
        </is>
      </c>
      <c r="G34" s="4" t="inlineStr">
        <is>
          <t>COLOR Blanco · ALTURA 80 cm · TAMAÑO FLOR S</t>
        </is>
      </c>
      <c r="H34" s="3" t="inlineStr"/>
      <c r="I34" s="3" t="n">
        <v>25</v>
      </c>
      <c r="J34" s="3" t="inlineStr">
        <is>
          <t>25 шт.</t>
        </is>
      </c>
      <c r="K34" s="4">
        <f>IMAGE("https://cdn.verdnatura.es/image/catalog/1600x900/171540")</f>
        <v/>
      </c>
      <c r="L34" s="5" t="n"/>
      <c r="M34" s="6" t="n"/>
      <c r="N34" s="7" t="n"/>
      <c r="O34" s="8" t="n">
        <v>0.5</v>
      </c>
      <c r="P34" s="8" t="n">
        <v>12.5</v>
      </c>
    </row>
    <row r="35" ht="110" customHeight="1">
      <c r="A35" s="3" t="inlineStr">
        <is>
          <t>12583898</t>
        </is>
      </c>
      <c r="B35" s="3" t="inlineStr">
        <is>
          <t>06-04-2026</t>
        </is>
      </c>
      <c r="C35" s="3" t="inlineStr">
        <is>
          <t>Gloria</t>
        </is>
      </c>
      <c r="D35" s="3" t="inlineStr">
        <is>
          <t>130669</t>
        </is>
      </c>
      <c r="E35" s="4" t="inlineStr">
        <is>
          <t>RS Coral Reef SEL</t>
        </is>
      </c>
      <c r="F35" s="4" t="inlineStr">
        <is>
          <t>Native</t>
        </is>
      </c>
      <c r="G35" s="4" t="inlineStr">
        <is>
          <t>COLOR Salmón · ALTURA 60 cm · BOTÓN MINIMO 5.5 cm</t>
        </is>
      </c>
      <c r="H35" s="3" t="inlineStr"/>
      <c r="I35" s="3" t="n">
        <v>25</v>
      </c>
      <c r="J35" s="3" t="inlineStr">
        <is>
          <t>25 шт.</t>
        </is>
      </c>
      <c r="K35" s="4">
        <f>IMAGE("https://cdn.verdnatura.es/image/catalog/1600x900/130669")</f>
        <v/>
      </c>
      <c r="L35" s="5" t="n"/>
      <c r="M35" s="6" t="n"/>
      <c r="N35" s="7" t="n"/>
      <c r="O35" s="8" t="n">
        <v>0.79</v>
      </c>
      <c r="P35" s="8" t="n">
        <v>19.75</v>
      </c>
    </row>
    <row r="36" ht="110" customHeight="1">
      <c r="A36" s="3" t="inlineStr">
        <is>
          <t>12583898</t>
        </is>
      </c>
      <c r="B36" s="3" t="inlineStr">
        <is>
          <t>06-04-2026</t>
        </is>
      </c>
      <c r="C36" s="3" t="inlineStr">
        <is>
          <t>Gloria</t>
        </is>
      </c>
      <c r="D36" s="3" t="inlineStr">
        <is>
          <t>177175</t>
        </is>
      </c>
      <c r="E36" s="4" t="inlineStr">
        <is>
          <t>RS Explorer EXT</t>
        </is>
      </c>
      <c r="F36" s="4" t="inlineStr">
        <is>
          <t>Ecuador</t>
        </is>
      </c>
      <c r="G36" s="4" t="inlineStr">
        <is>
          <t>COLOR Rojo · ALTURA 60 cm · BOTÓN MINIMO 6 cm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IMAGE("https://cdn.verdnatura.es/image/catalog/1600x900/177175")</f>
        <v/>
      </c>
      <c r="L36" s="5" t="n"/>
      <c r="M36" s="6" t="n"/>
      <c r="N36" s="7" t="n"/>
      <c r="O36" s="8" t="n">
        <v>0.74</v>
      </c>
      <c r="P36" s="8" t="n">
        <v>18.5</v>
      </c>
    </row>
    <row r="37" ht="110" customHeight="1">
      <c r="A37" s="3" t="inlineStr">
        <is>
          <t>12583898</t>
        </is>
      </c>
      <c r="B37" s="3" t="inlineStr">
        <is>
          <t>06-04-2026</t>
        </is>
      </c>
      <c r="C37" s="3" t="inlineStr">
        <is>
          <t>Gloria</t>
        </is>
      </c>
      <c r="D37" s="3" t="inlineStr">
        <is>
          <t>137268</t>
        </is>
      </c>
      <c r="E37" s="4" t="inlineStr">
        <is>
          <t>RS Mondial EXT</t>
        </is>
      </c>
      <c r="F37" s="4" t="inlineStr">
        <is>
          <t>Santa Dorotea</t>
        </is>
      </c>
      <c r="G37" s="4" t="inlineStr">
        <is>
          <t>COLOR Blanco · ALTURA 60 cm · BOTÓN MINIMO 6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IMAGE("https://cdn.verdnatura.es/image/catalog/1600x900/137268")</f>
        <v/>
      </c>
      <c r="L37" s="5" t="n"/>
      <c r="M37" s="6" t="n"/>
      <c r="N37" s="7" t="n"/>
      <c r="O37" s="8" t="n">
        <v>0.6</v>
      </c>
      <c r="P37" s="8" t="n">
        <v>15</v>
      </c>
    </row>
    <row r="38" ht="110" customHeight="1">
      <c r="A38" s="3" t="inlineStr">
        <is>
          <t>12583898</t>
        </is>
      </c>
      <c r="B38" s="3" t="inlineStr">
        <is>
          <t>06-04-2026</t>
        </is>
      </c>
      <c r="C38" s="3" t="inlineStr">
        <is>
          <t>Gloria</t>
        </is>
      </c>
      <c r="D38" s="3" t="inlineStr">
        <is>
          <t>138637</t>
        </is>
      </c>
      <c r="E38" s="4" t="inlineStr">
        <is>
          <t>RS Red Panther SEL</t>
        </is>
      </c>
      <c r="F38" s="4" t="inlineStr">
        <is>
          <t>Milagro</t>
        </is>
      </c>
      <c r="G38" s="4" t="inlineStr">
        <is>
          <t>COLOR Rojo/Rosa · ALTURA 60 cm · BOTÓN MINIMO 6 cm</t>
        </is>
      </c>
      <c r="H38" s="3" t="inlineStr"/>
      <c r="I38" s="3" t="n">
        <v>25</v>
      </c>
      <c r="J38" s="3" t="inlineStr">
        <is>
          <t>25 шт.</t>
        </is>
      </c>
      <c r="K38" s="4">
        <f>IMAGE("https://cdn.verdnatura.es/image/catalog/1600x900/138637")</f>
        <v/>
      </c>
      <c r="L38" s="5" t="n"/>
      <c r="M38" s="6" t="n"/>
      <c r="N38" s="7" t="n"/>
      <c r="O38" s="8" t="n">
        <v>0.8100000000000001</v>
      </c>
      <c r="P38" s="8" t="n">
        <v>20.25</v>
      </c>
    </row>
    <row r="39" ht="110" customHeight="1">
      <c r="A39" s="3" t="inlineStr">
        <is>
          <t>12583898</t>
        </is>
      </c>
      <c r="B39" s="3" t="inlineStr">
        <is>
          <t>06-04-2026</t>
        </is>
      </c>
      <c r="C39" s="3" t="inlineStr">
        <is>
          <t>Gloria</t>
        </is>
      </c>
      <c r="D39" s="3" t="inlineStr">
        <is>
          <t>138194</t>
        </is>
      </c>
      <c r="E39" s="4" t="inlineStr">
        <is>
          <t>RSR Blue Moon</t>
        </is>
      </c>
      <c r="F39" s="4" t="inlineStr">
        <is>
          <t>Minar Roses</t>
        </is>
      </c>
      <c r="G39" s="4" t="inlineStr">
        <is>
          <t>COLOR Lavanda · ALTURA 50 cm · TAMAÑO BOTON Mediano</t>
        </is>
      </c>
      <c r="H39" s="3" t="inlineStr"/>
      <c r="I39" s="3" t="n">
        <v>30</v>
      </c>
      <c r="J39" s="3" t="inlineStr">
        <is>
          <t>30 шт.</t>
        </is>
      </c>
      <c r="K39" s="4">
        <f>IMAGE("https://cdn.verdnatura.es/image/catalog/1600x900/138194")</f>
        <v/>
      </c>
      <c r="L39" s="5" t="n"/>
      <c r="M39" s="6" t="n"/>
      <c r="N39" s="7" t="n"/>
      <c r="O39" s="8" t="n">
        <v>0.53</v>
      </c>
      <c r="P39" s="8" t="n">
        <v>15.9</v>
      </c>
    </row>
    <row r="40" ht="110" customHeight="1">
      <c r="A40" s="3" t="inlineStr">
        <is>
          <t>12583898</t>
        </is>
      </c>
      <c r="B40" s="3" t="inlineStr">
        <is>
          <t>06-04-2026</t>
        </is>
      </c>
      <c r="C40" s="3" t="inlineStr">
        <is>
          <t>Gloria</t>
        </is>
      </c>
      <c r="D40" s="3" t="inlineStr">
        <is>
          <t>141463</t>
        </is>
      </c>
      <c r="E40" s="4" t="inlineStr">
        <is>
          <t>RSR Hot Magenta Jewel</t>
        </is>
      </c>
      <c r="F40" s="4" t="inlineStr">
        <is>
          <t>Santa Dorotea</t>
        </is>
      </c>
      <c r="G40" s="4" t="inlineStr">
        <is>
          <t>COLOR Fucsia · ALTURA 50 cm</t>
        </is>
      </c>
      <c r="H40" s="3" t="inlineStr"/>
      <c r="I40" s="3" t="n">
        <v>30</v>
      </c>
      <c r="J40" s="3" t="inlineStr">
        <is>
          <t>30 шт.</t>
        </is>
      </c>
      <c r="K40" s="4">
        <f>IMAGE("https://cdn.verdnatura.es/image/catalog/1600x900/141463")</f>
        <v/>
      </c>
      <c r="L40" s="5" t="n"/>
      <c r="M40" s="6" t="n"/>
      <c r="N40" s="7" t="n"/>
      <c r="O40" s="8" t="n">
        <v>0.71</v>
      </c>
      <c r="P40" s="8" t="n">
        <v>21.3</v>
      </c>
    </row>
  </sheetData>
  <mergeCells count="2">
    <mergeCell ref="A22:P22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2026-06-22T21:39:01Z</dcterms:created>
  <dcterms:modified xmlns:dcterms="http://purl.org/dc/terms/" xmlns:xsi="http://www.w3.org/2001/XMLSchema-instance" xsi:type="dcterms:W3CDTF">2026-06-22T21:39:01Z</dcterms:modified>
</cp:coreProperties>
</file>