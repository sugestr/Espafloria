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a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 €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6B4423"/>
      <sz val="12"/>
    </font>
    <font>
      <name val="Calibri"/>
      <b val="1"/>
      <color rgb="00C00000"/>
      <sz val="18"/>
    </font>
    <font>
      <name val="Calibri"/>
      <b val="1"/>
      <color rgb="000070C0"/>
      <sz val="18"/>
    </font>
  </fonts>
  <fills count="5">
    <fill>
      <patternFill/>
    </fill>
    <fill>
      <patternFill patternType="gray125"/>
    </fill>
    <fill>
      <patternFill patternType="solid">
        <fgColor rgb="002C5282"/>
        <bgColor rgb="002C5282"/>
      </patternFill>
    </fill>
    <fill>
      <patternFill patternType="solid">
        <fgColor rgb="00FFE4B5"/>
        <bgColor rgb="00FFE4B5"/>
      </patternFill>
    </fill>
    <fill>
      <patternFill patternType="solid">
        <fgColor rgb="00E6F4EA"/>
        <bgColor rgb="00E6F4EA"/>
      </patternFill>
    </fill>
  </fills>
  <borders count="2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inden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164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hidden="1" width="11" customWidth="1" min="1" max="1"/>
    <col hidden="1" width="9" customWidth="1" min="2" max="2"/>
    <col hidden="1" width="8" customWidth="1" min="3" max="3"/>
    <col width="9" customWidth="1" min="4" max="4"/>
    <col width="22" customWidth="1" min="5" max="5"/>
    <col hidden="1" width="18" customWidth="1" min="6" max="6"/>
    <col width="22" customWidth="1" min="7" max="7"/>
    <col hidden="1" width="10" customWidth="1" min="8" max="8"/>
    <col width="9" customWidth="1" min="9" max="9"/>
    <col width="14" customWidth="1" min="10" max="10"/>
    <col width="20" customWidth="1" min="11" max="11"/>
    <col width="10" customWidth="1" min="12" max="12"/>
    <col width="10" customWidth="1" min="13" max="13"/>
    <col width="22" customWidth="1" min="14" max="14"/>
    <col hidden="1" width="9" customWidth="1" min="15" max="15"/>
    <col hidden="1" width="10" customWidth="1" min="16" max="16"/>
  </cols>
  <sheetData>
    <row r="1" ht="36" customHeight="1">
      <c r="A1" s="1" t="inlineStr">
        <is>
          <t>№ накладной</t>
        </is>
      </c>
      <c r="B1" s="1" t="inlineStr">
        <is>
          <t>Дата</t>
        </is>
      </c>
      <c r="C1" s="1" t="inlineStr">
        <is>
          <t>Магазин</t>
        </is>
      </c>
      <c r="D1" s="1" t="inlineStr">
        <is>
          <t>Codigo</t>
        </is>
      </c>
      <c r="E1" s="1" t="inlineStr">
        <is>
          <t>Concepto</t>
        </is>
      </c>
      <c r="F1" s="1" t="inlineStr">
        <is>
          <t>Productor</t>
        </is>
      </c>
      <c r="G1" s="1" t="inlineStr">
        <is>
          <t>Атрибуты</t>
        </is>
      </c>
      <c r="H1" s="1" t="inlineStr">
        <is>
          <t>UD. VENTA</t>
        </is>
      </c>
      <c r="I1" s="1" t="inlineStr">
        <is>
          <t>Заявлено</t>
        </is>
      </c>
      <c r="J1" s="1" t="inlineStr">
        <is>
          <t>Подсказка</t>
        </is>
      </c>
      <c r="K1" s="1" t="inlineStr">
        <is>
          <t>Фото</t>
        </is>
      </c>
      <c r="L1" s="1" t="inlineStr">
        <is>
          <t>Принято
пачек</t>
        </is>
      </c>
      <c r="M1" s="1" t="inlineStr">
        <is>
          <t>Принято
штук</t>
        </is>
      </c>
      <c r="N1" s="1" t="inlineStr">
        <is>
          <t>Комментарий
флориста</t>
        </is>
      </c>
      <c r="O1" s="1" t="inlineStr">
        <is>
          <t>PVP/u, €</t>
        </is>
      </c>
      <c r="P1" s="1" t="inlineStr">
        <is>
          <t>Importe, €</t>
        </is>
      </c>
    </row>
    <row r="2" ht="26" customHeight="1">
      <c r="A2" s="2" t="inlineStr">
        <is>
          <t>📦  Накладная #12580980  ·  06-04-2026  ·  Blau  ·  28 позиций  ·  bultos: 3</t>
        </is>
      </c>
    </row>
    <row r="3" ht="110" customHeight="1">
      <c r="A3" s="3" t="inlineStr">
        <is>
          <t>12580980</t>
        </is>
      </c>
      <c r="B3" s="3" t="inlineStr">
        <is>
          <t>06-04-2026</t>
        </is>
      </c>
      <c r="C3" s="3" t="inlineStr">
        <is>
          <t>Blau</t>
        </is>
      </c>
      <c r="D3" s="3" t="inlineStr">
        <is>
          <t>131203</t>
        </is>
      </c>
      <c r="E3" s="4" t="inlineStr">
        <is>
          <t>· Lilium Oriental Colet 3</t>
        </is>
      </c>
      <c r="F3" s="4" t="inlineStr">
        <is>
          <t>Klaver</t>
        </is>
      </c>
      <c r="G3" s="4" t="inlineStr">
        <is>
          <t>COLOR Rosa · ALTURA 80 cm · TAMAÑO BOTON 7-8</t>
        </is>
      </c>
      <c r="H3" s="3" t="inlineStr"/>
      <c r="I3" s="3" t="n">
        <v>10</v>
      </c>
      <c r="J3" s="3" t="inlineStr">
        <is>
          <t>10 шт.</t>
        </is>
      </c>
      <c r="K3" s="4">
        <f>IMAGE("https://cdn.verdnatura.es/image/catalog/1600x900/131203")</f>
        <v/>
      </c>
      <c r="L3" s="5" t="n"/>
      <c r="M3" s="6" t="n"/>
      <c r="N3" s="7" t="n"/>
      <c r="O3" s="8" t="n">
        <v>1.8</v>
      </c>
      <c r="P3" s="8" t="n">
        <v>18</v>
      </c>
    </row>
    <row r="4" ht="110" customHeight="1">
      <c r="A4" s="3" t="inlineStr">
        <is>
          <t>12580980</t>
        </is>
      </c>
      <c r="B4" s="3" t="inlineStr">
        <is>
          <t>06-04-2026</t>
        </is>
      </c>
      <c r="C4" s="3" t="inlineStr">
        <is>
          <t>Blau</t>
        </is>
      </c>
      <c r="D4" s="3" t="inlineStr">
        <is>
          <t>95472</t>
        </is>
      </c>
      <c r="E4" s="4" t="inlineStr">
        <is>
          <t>· Ranunculus Phytalos Butterfl</t>
        </is>
      </c>
      <c r="F4" s="4" t="inlineStr">
        <is>
          <t>Del Golfo</t>
        </is>
      </c>
      <c r="G4" s="4" t="inlineStr">
        <is>
          <t>COLOR Amarillo · ALTURA 60 cm</t>
        </is>
      </c>
      <c r="H4" s="3" t="inlineStr"/>
      <c r="I4" s="3" t="n">
        <v>60</v>
      </c>
      <c r="J4" s="3" t="inlineStr">
        <is>
          <t>60 шт.</t>
        </is>
      </c>
      <c r="K4" s="4">
        <f>IMAGE("https://cdn.verdnatura.es/image/catalog/1600x900/95472")</f>
        <v/>
      </c>
      <c r="L4" s="5" t="n"/>
      <c r="M4" s="6" t="n"/>
      <c r="N4" s="7" t="n"/>
      <c r="O4" s="8" t="n">
        <v>0.62</v>
      </c>
      <c r="P4" s="8" t="n">
        <v>37.2</v>
      </c>
    </row>
    <row r="5" ht="110" customHeight="1">
      <c r="A5" s="3" t="inlineStr">
        <is>
          <t>12580980</t>
        </is>
      </c>
      <c r="B5" s="3" t="inlineStr">
        <is>
          <t>06-04-2026</t>
        </is>
      </c>
      <c r="C5" s="3" t="inlineStr">
        <is>
          <t>Blau</t>
        </is>
      </c>
      <c r="D5" s="3" t="inlineStr">
        <is>
          <t>65609</t>
        </is>
      </c>
      <c r="E5" s="4" t="inlineStr">
        <is>
          <t>· Trachelium Lake Superior</t>
        </is>
      </c>
      <c r="F5" s="4" t="inlineStr"/>
      <c r="G5" s="4" t="inlineStr">
        <is>
          <t>COLOR Morado · ALTURA 80 cm</t>
        </is>
      </c>
      <c r="H5" s="3" t="inlineStr"/>
      <c r="I5" s="3" t="n">
        <v>50</v>
      </c>
      <c r="J5" s="3" t="inlineStr">
        <is>
          <t>50 шт.</t>
        </is>
      </c>
      <c r="K5" s="4">
        <f>IMAGE("https://cdn.verdnatura.es/image/catalog/1600x900/65609")</f>
        <v/>
      </c>
      <c r="L5" s="5" t="n"/>
      <c r="M5" s="6" t="n"/>
      <c r="N5" s="7" t="n"/>
      <c r="O5" s="8" t="n">
        <v>0.3</v>
      </c>
      <c r="P5" s="8" t="n">
        <v>15</v>
      </c>
    </row>
    <row r="6" ht="110" customHeight="1">
      <c r="A6" s="3" t="inlineStr">
        <is>
          <t>12580980</t>
        </is>
      </c>
      <c r="B6" s="3" t="inlineStr">
        <is>
          <t>06-04-2026</t>
        </is>
      </c>
      <c r="C6" s="3" t="inlineStr">
        <is>
          <t>Blau</t>
        </is>
      </c>
      <c r="D6" s="3" t="inlineStr">
        <is>
          <t>114770</t>
        </is>
      </c>
      <c r="E6" s="4" t="inlineStr">
        <is>
          <t>+ EUC Cinerea 300 gr</t>
        </is>
      </c>
      <c r="F6" s="4" t="inlineStr"/>
      <c r="G6" s="4" t="inlineStr">
        <is>
          <t>COLOR Lividum · ALTURA 70 cm</t>
        </is>
      </c>
      <c r="H6" s="3" t="inlineStr">
        <is>
          <t>Paquete</t>
        </is>
      </c>
      <c r="I6" s="3" t="n">
        <v>3</v>
      </c>
      <c r="J6" s="3" t="inlineStr">
        <is>
          <t>3 пачек</t>
        </is>
      </c>
      <c r="K6" s="4">
        <f>IMAGE("https://cdn.verdnatura.es/image/catalog/1600x900/114770")</f>
        <v/>
      </c>
      <c r="L6" s="5" t="n"/>
      <c r="M6" s="6" t="n"/>
      <c r="N6" s="7" t="n"/>
      <c r="O6" s="8" t="n">
        <v>3.03</v>
      </c>
      <c r="P6" s="8" t="n">
        <v>9.09</v>
      </c>
    </row>
    <row r="7" ht="110" customHeight="1">
      <c r="A7" s="3" t="inlineStr">
        <is>
          <t>12580980</t>
        </is>
      </c>
      <c r="B7" s="3" t="inlineStr">
        <is>
          <t>06-04-2026</t>
        </is>
      </c>
      <c r="C7" s="3" t="inlineStr">
        <is>
          <t>Blau</t>
        </is>
      </c>
      <c r="D7" s="3" t="inlineStr">
        <is>
          <t>186655</t>
        </is>
      </c>
      <c r="E7" s="4" t="inlineStr">
        <is>
          <t>Bupleurum Rotundifolia</t>
        </is>
      </c>
      <c r="F7" s="4" t="inlineStr">
        <is>
          <t>Precise Flowers Ltd</t>
        </is>
      </c>
      <c r="G7" s="4" t="inlineStr">
        <is>
          <t>COLOR Verde · ALTURA 70 cm</t>
        </is>
      </c>
      <c r="H7" s="3" t="inlineStr">
        <is>
          <t>Tallo</t>
        </is>
      </c>
      <c r="I7" s="3" t="n">
        <v>25</v>
      </c>
      <c r="J7" s="3" t="inlineStr">
        <is>
          <t>25 стеблей</t>
        </is>
      </c>
      <c r="K7" s="4">
        <f>IMAGE("https://cdn.verdnatura.es/image/catalog/1600x900/186655")</f>
        <v/>
      </c>
      <c r="L7" s="5" t="n"/>
      <c r="M7" s="6" t="n"/>
      <c r="N7" s="7" t="n"/>
      <c r="O7" s="8" t="n">
        <v>0.34</v>
      </c>
      <c r="P7" s="8" t="n">
        <v>8.5</v>
      </c>
    </row>
    <row r="8" ht="110" customHeight="1">
      <c r="A8" s="3" t="inlineStr">
        <is>
          <t>12580980</t>
        </is>
      </c>
      <c r="B8" s="3" t="inlineStr">
        <is>
          <t>06-04-2026</t>
        </is>
      </c>
      <c r="C8" s="3" t="inlineStr">
        <is>
          <t>Blau</t>
        </is>
      </c>
      <c r="D8" s="3" t="inlineStr">
        <is>
          <t>124821</t>
        </is>
      </c>
      <c r="E8" s="4" t="inlineStr">
        <is>
          <t>CL Barb Green Ball</t>
        </is>
      </c>
      <c r="F8" s="4" t="inlineStr">
        <is>
          <t>Agruflor</t>
        </is>
      </c>
      <c r="G8" s="4" t="inlineStr">
        <is>
          <t>COLOR Verde · ALTURA 65 cm</t>
        </is>
      </c>
      <c r="H8" s="3" t="inlineStr"/>
      <c r="I8" s="3" t="n">
        <v>20</v>
      </c>
      <c r="J8" s="3" t="inlineStr">
        <is>
          <t>20 шт.</t>
        </is>
      </c>
      <c r="K8" s="4">
        <f>IMAGE("https://cdn.verdnatura.es/image/catalog/1600x900/124821")</f>
        <v/>
      </c>
      <c r="L8" s="5" t="n"/>
      <c r="M8" s="6" t="n"/>
      <c r="N8" s="7" t="n"/>
      <c r="O8" s="8" t="n">
        <v>0.34</v>
      </c>
      <c r="P8" s="8" t="n">
        <v>6.8</v>
      </c>
    </row>
    <row r="9" ht="110" customHeight="1">
      <c r="A9" s="3" t="inlineStr">
        <is>
          <t>12580980</t>
        </is>
      </c>
      <c r="B9" s="3" t="inlineStr">
        <is>
          <t>06-04-2026</t>
        </is>
      </c>
      <c r="C9" s="3" t="inlineStr">
        <is>
          <t>Blau</t>
        </is>
      </c>
      <c r="D9" s="3" t="inlineStr">
        <is>
          <t>197433</t>
        </is>
      </c>
      <c r="E9" s="4" t="inlineStr">
        <is>
          <t>CR Altaj Galaxy 105 gr</t>
        </is>
      </c>
      <c r="F9" s="4" t="inlineStr">
        <is>
          <t>Jimmy Colors BV</t>
        </is>
      </c>
      <c r="G9" s="4" t="inlineStr">
        <is>
          <t>COLOR Purpura/Rosa · ALTURA 70 cm · PESO/TALLO 105 gr</t>
        </is>
      </c>
      <c r="H9" s="3" t="inlineStr"/>
      <c r="I9" s="3" t="n">
        <v>20</v>
      </c>
      <c r="J9" s="3" t="inlineStr">
        <is>
          <t>20 шт.</t>
        </is>
      </c>
      <c r="K9" s="4">
        <f>IMAGE("https://cdn.verdnatura.es/image/catalog/1600x900/197433")</f>
        <v/>
      </c>
      <c r="L9" s="5" t="n"/>
      <c r="M9" s="6" t="n"/>
      <c r="N9" s="7" t="n"/>
      <c r="O9" s="8" t="n">
        <v>1.23</v>
      </c>
      <c r="P9" s="8" t="n">
        <v>24.6</v>
      </c>
    </row>
    <row r="10" ht="110" customHeight="1">
      <c r="A10" s="3" t="inlineStr">
        <is>
          <t>12580980</t>
        </is>
      </c>
      <c r="B10" s="3" t="inlineStr">
        <is>
          <t>06-04-2026</t>
        </is>
      </c>
      <c r="C10" s="3" t="inlineStr">
        <is>
          <t>Blau</t>
        </is>
      </c>
      <c r="D10" s="3" t="inlineStr">
        <is>
          <t>198039</t>
        </is>
      </c>
      <c r="E10" s="4" t="inlineStr">
        <is>
          <t>CR Altaj Soft Pink 105 gr</t>
        </is>
      </c>
      <c r="F10" s="4" t="inlineStr">
        <is>
          <t>Jimmy Colors BV</t>
        </is>
      </c>
      <c r="G10" s="4" t="inlineStr">
        <is>
          <t>COLOR Rosa Claro · ALTURA 70 cm · PESO/TALLO 105 gr</t>
        </is>
      </c>
      <c r="H10" s="3" t="inlineStr"/>
      <c r="I10" s="3" t="n">
        <v>20</v>
      </c>
      <c r="J10" s="3" t="inlineStr">
        <is>
          <t>20 шт.</t>
        </is>
      </c>
      <c r="K10" s="4">
        <f>IMAGE("https://cdn.verdnatura.es/image/catalog/1600x900/198039")</f>
        <v/>
      </c>
      <c r="L10" s="5" t="n"/>
      <c r="M10" s="6" t="n"/>
      <c r="N10" s="7" t="n"/>
      <c r="O10" s="8" t="n">
        <v>1.23</v>
      </c>
      <c r="P10" s="8" t="n">
        <v>24.6</v>
      </c>
    </row>
    <row r="11" ht="110" customHeight="1">
      <c r="A11" s="3" t="inlineStr">
        <is>
          <t>12580980</t>
        </is>
      </c>
      <c r="B11" s="3" t="inlineStr">
        <is>
          <t>06-04-2026</t>
        </is>
      </c>
      <c r="C11" s="3" t="inlineStr">
        <is>
          <t>Blau</t>
        </is>
      </c>
      <c r="D11" s="3" t="inlineStr">
        <is>
          <t>181422</t>
        </is>
      </c>
      <c r="E11" s="4" t="inlineStr">
        <is>
          <t>CR Commander Pink 90 gr</t>
        </is>
      </c>
      <c r="F11" s="4" t="inlineStr">
        <is>
          <t>Zentoo</t>
        </is>
      </c>
      <c r="G11" s="4" t="inlineStr">
        <is>
          <t>COLOR Rosa · ALTURA 70 cm · PESO/TALLO 80 gr</t>
        </is>
      </c>
      <c r="H11" s="3" t="inlineStr"/>
      <c r="I11" s="3" t="n">
        <v>10</v>
      </c>
      <c r="J11" s="3" t="inlineStr">
        <is>
          <t>10 шт.</t>
        </is>
      </c>
      <c r="K11" s="4">
        <f>IMAGE("https://cdn.verdnatura.es/image/catalog/1600x900/181422")</f>
        <v/>
      </c>
      <c r="L11" s="5" t="n"/>
      <c r="M11" s="6" t="n"/>
      <c r="N11" s="7" t="n"/>
      <c r="O11" s="8" t="n">
        <v>1.18</v>
      </c>
      <c r="P11" s="8" t="n">
        <v>11.8</v>
      </c>
    </row>
    <row r="12" ht="110" customHeight="1">
      <c r="A12" s="3" t="inlineStr">
        <is>
          <t>12580980</t>
        </is>
      </c>
      <c r="B12" s="3" t="inlineStr">
        <is>
          <t>06-04-2026</t>
        </is>
      </c>
      <c r="C12" s="3" t="inlineStr">
        <is>
          <t>Blau</t>
        </is>
      </c>
      <c r="D12" s="3" t="inlineStr">
        <is>
          <t>194057</t>
        </is>
      </c>
      <c r="E12" s="4" t="inlineStr">
        <is>
          <t>CR Lionking 75 gr</t>
        </is>
      </c>
      <c r="F12" s="4" t="inlineStr">
        <is>
          <t>Zentoo</t>
        </is>
      </c>
      <c r="G12" s="4" t="inlineStr">
        <is>
          <t>COLOR Naranja · ALTURA 70 cm · PESO/TALLO 85 gr</t>
        </is>
      </c>
      <c r="H12" s="3" t="inlineStr"/>
      <c r="I12" s="3" t="n">
        <v>20</v>
      </c>
      <c r="J12" s="3" t="inlineStr">
        <is>
          <t>20 шт.</t>
        </is>
      </c>
      <c r="K12" s="4">
        <f>IMAGE("https://cdn.verdnatura.es/image/catalog/1600x900/194057")</f>
        <v/>
      </c>
      <c r="L12" s="5" t="n"/>
      <c r="M12" s="6" t="n"/>
      <c r="N12" s="7" t="n"/>
      <c r="O12" s="8" t="n">
        <v>0.79</v>
      </c>
      <c r="P12" s="8" t="n">
        <v>15.8</v>
      </c>
    </row>
    <row r="13" ht="110" customHeight="1">
      <c r="A13" s="3" t="inlineStr">
        <is>
          <t>12580980</t>
        </is>
      </c>
      <c r="B13" s="3" t="inlineStr">
        <is>
          <t>06-04-2026</t>
        </is>
      </c>
      <c r="C13" s="3" t="inlineStr">
        <is>
          <t>Blau</t>
        </is>
      </c>
      <c r="D13" s="3" t="inlineStr">
        <is>
          <t>198926</t>
        </is>
      </c>
      <c r="E13" s="4" t="inlineStr">
        <is>
          <t>CR SANT Ellison Orange</t>
        </is>
      </c>
      <c r="F13" s="4" t="inlineStr">
        <is>
          <t>VannoVa Master Growers</t>
        </is>
      </c>
      <c r="G13" s="4" t="inlineStr">
        <is>
          <t>COLOR Naranja · ALTURA 55 cm · PESO/PAQUETE 115 gr</t>
        </is>
      </c>
      <c r="H13" s="3" t="inlineStr"/>
      <c r="I13" s="3" t="n">
        <v>25</v>
      </c>
      <c r="J13" s="3" t="inlineStr">
        <is>
          <t>25 шт.</t>
        </is>
      </c>
      <c r="K13" s="4">
        <f>IMAGE("https://cdn.verdnatura.es/image/catalog/1600x900/198926")</f>
        <v/>
      </c>
      <c r="L13" s="5" t="n"/>
      <c r="M13" s="6" t="n"/>
      <c r="N13" s="7" t="n"/>
      <c r="O13" s="8" t="n">
        <v>0.47</v>
      </c>
      <c r="P13" s="8" t="n">
        <v>11.75</v>
      </c>
    </row>
    <row r="14" ht="110" customHeight="1">
      <c r="A14" s="3" t="inlineStr">
        <is>
          <t>12580980</t>
        </is>
      </c>
      <c r="B14" s="3" t="inlineStr">
        <is>
          <t>06-04-2026</t>
        </is>
      </c>
      <c r="C14" s="3" t="inlineStr">
        <is>
          <t>Blau</t>
        </is>
      </c>
      <c r="D14" s="3" t="inlineStr">
        <is>
          <t>178040</t>
        </is>
      </c>
      <c r="E14" s="4" t="inlineStr">
        <is>
          <t>CR SANT Miller Apricot</t>
        </is>
      </c>
      <c r="F14" s="4" t="inlineStr">
        <is>
          <t>Zentoo</t>
        </is>
      </c>
      <c r="G14" s="4" t="inlineStr">
        <is>
          <t>COLOR Salmón · ALTURA 55 cm</t>
        </is>
      </c>
      <c r="H14" s="3" t="inlineStr"/>
      <c r="I14" s="3" t="n">
        <v>25</v>
      </c>
      <c r="J14" s="3" t="inlineStr">
        <is>
          <t>25 шт.</t>
        </is>
      </c>
      <c r="K14" s="4">
        <f>IMAGE("https://cdn.verdnatura.es/image/catalog/1600x900/178040")</f>
        <v/>
      </c>
      <c r="L14" s="5" t="n"/>
      <c r="M14" s="6" t="n"/>
      <c r="N14" s="7" t="n"/>
      <c r="O14" s="8" t="n">
        <v>0.47</v>
      </c>
      <c r="P14" s="8" t="n">
        <v>11.75</v>
      </c>
    </row>
    <row r="15" ht="110" customHeight="1">
      <c r="A15" s="3" t="inlineStr">
        <is>
          <t>12580980</t>
        </is>
      </c>
      <c r="B15" s="3" t="inlineStr">
        <is>
          <t>06-04-2026</t>
        </is>
      </c>
      <c r="C15" s="3" t="inlineStr">
        <is>
          <t>Blau</t>
        </is>
      </c>
      <c r="D15" s="3" t="inlineStr">
        <is>
          <t>144522</t>
        </is>
      </c>
      <c r="E15" s="4" t="inlineStr">
        <is>
          <t>DELPH Sky Waltz</t>
        </is>
      </c>
      <c r="F15" s="4" t="inlineStr">
        <is>
          <t>Kisima / Fresco</t>
        </is>
      </c>
      <c r="G15" s="4" t="inlineStr">
        <is>
          <t>COLOR Azul Claro · ALTURA 90 cm</t>
        </is>
      </c>
      <c r="H15" s="3" t="inlineStr"/>
      <c r="I15" s="3" t="n">
        <v>40</v>
      </c>
      <c r="J15" s="3" t="inlineStr">
        <is>
          <t>40 шт.</t>
        </is>
      </c>
      <c r="K15" s="4">
        <f>IMAGE("https://cdn.verdnatura.es/image/catalog/1600x900/144522")</f>
        <v/>
      </c>
      <c r="L15" s="5" t="n"/>
      <c r="M15" s="6" t="n"/>
      <c r="N15" s="7" t="n"/>
      <c r="O15" s="8" t="n">
        <v>0.89</v>
      </c>
      <c r="P15" s="8" t="n">
        <v>35.6</v>
      </c>
    </row>
    <row r="16" ht="110" customHeight="1">
      <c r="A16" s="3" t="inlineStr">
        <is>
          <t>12580980</t>
        </is>
      </c>
      <c r="B16" s="3" t="inlineStr">
        <is>
          <t>06-04-2026</t>
        </is>
      </c>
      <c r="C16" s="3" t="inlineStr">
        <is>
          <t>Blau</t>
        </is>
      </c>
      <c r="D16" s="3" t="inlineStr">
        <is>
          <t>113944</t>
        </is>
      </c>
      <c r="E16" s="4" t="inlineStr">
        <is>
          <t>Eremurus Stenophyllus</t>
        </is>
      </c>
      <c r="F16" s="4" t="inlineStr"/>
      <c r="G16" s="4" t="inlineStr">
        <is>
          <t>COLOR Amarillo · ALTURA 100 cm</t>
        </is>
      </c>
      <c r="H16" s="3" t="inlineStr"/>
      <c r="I16" s="3" t="n">
        <v>20</v>
      </c>
      <c r="J16" s="3" t="inlineStr">
        <is>
          <t>20 шт.</t>
        </is>
      </c>
      <c r="K16" s="4">
        <f>IMAGE("https://cdn.verdnatura.es/image/catalog/1600x900/113944")</f>
        <v/>
      </c>
      <c r="L16" s="5" t="n"/>
      <c r="M16" s="6" t="n"/>
      <c r="N16" s="7" t="n"/>
      <c r="O16" s="8" t="n">
        <v>1.67</v>
      </c>
      <c r="P16" s="8" t="n">
        <v>33.4</v>
      </c>
    </row>
    <row r="17" ht="110" customHeight="1">
      <c r="A17" s="3" t="inlineStr">
        <is>
          <t>12580980</t>
        </is>
      </c>
      <c r="B17" s="3" t="inlineStr">
        <is>
          <t>06-04-2026</t>
        </is>
      </c>
      <c r="C17" s="3" t="inlineStr">
        <is>
          <t>Blau</t>
        </is>
      </c>
      <c r="D17" s="3" t="inlineStr">
        <is>
          <t>81144</t>
        </is>
      </c>
      <c r="E17" s="4" t="inlineStr">
        <is>
          <t>EUC Cinerea 200 gr</t>
        </is>
      </c>
      <c r="F17" s="4" t="inlineStr">
        <is>
          <t>I Fiori di Roma</t>
        </is>
      </c>
      <c r="G17" s="4" t="inlineStr">
        <is>
          <t>COLOR Lividum · ALTURA 60 cm</t>
        </is>
      </c>
      <c r="H17" s="3" t="inlineStr">
        <is>
          <t>Bolsa</t>
        </is>
      </c>
      <c r="I17" s="3" t="n">
        <v>10</v>
      </c>
      <c r="J17" s="3" t="inlineStr">
        <is>
          <t>10 шт.</t>
        </is>
      </c>
      <c r="K17" s="4">
        <f>IMAGE("https://cdn.verdnatura.es/image/catalog/1600x900/81144")</f>
        <v/>
      </c>
      <c r="L17" s="5" t="n"/>
      <c r="M17" s="6" t="n"/>
      <c r="N17" s="7" t="n"/>
      <c r="O17" s="8" t="n">
        <v>3.09</v>
      </c>
      <c r="P17" s="8" t="n">
        <v>30.9</v>
      </c>
    </row>
    <row r="18" ht="110" customHeight="1">
      <c r="A18" s="3" t="inlineStr">
        <is>
          <t>12580980</t>
        </is>
      </c>
      <c r="B18" s="3" t="inlineStr">
        <is>
          <t>06-04-2026</t>
        </is>
      </c>
      <c r="C18" s="3" t="inlineStr">
        <is>
          <t>Blau</t>
        </is>
      </c>
      <c r="D18" s="3" t="inlineStr">
        <is>
          <t>94025</t>
        </is>
      </c>
      <c r="E18" s="4" t="inlineStr">
        <is>
          <t>Forsythia</t>
        </is>
      </c>
      <c r="F18" s="4" t="inlineStr"/>
      <c r="G18" s="4" t="inlineStr">
        <is>
          <t>COLOR Amarillo · ALTURA 110 cm</t>
        </is>
      </c>
      <c r="H18" s="3" t="inlineStr"/>
      <c r="I18" s="3" t="n">
        <v>10</v>
      </c>
      <c r="J18" s="3" t="inlineStr">
        <is>
          <t>10 шт.</t>
        </is>
      </c>
      <c r="K18" s="4">
        <f>IMAGE("https://cdn.verdnatura.es/image/catalog/1600x900/94025")</f>
        <v/>
      </c>
      <c r="L18" s="5" t="n"/>
      <c r="M18" s="6" t="n"/>
      <c r="N18" s="7" t="n"/>
      <c r="O18" s="8" t="n">
        <v>1.61</v>
      </c>
      <c r="P18" s="8" t="n">
        <v>16.1</v>
      </c>
    </row>
    <row r="19" ht="110" customHeight="1">
      <c r="A19" s="3" t="inlineStr">
        <is>
          <t>12580980</t>
        </is>
      </c>
      <c r="B19" s="3" t="inlineStr">
        <is>
          <t>06-04-2026</t>
        </is>
      </c>
      <c r="C19" s="3" t="inlineStr">
        <is>
          <t>Blau</t>
        </is>
      </c>
      <c r="D19" s="3" t="inlineStr">
        <is>
          <t>12071</t>
        </is>
      </c>
      <c r="E19" s="4" t="inlineStr">
        <is>
          <t>LA Heartstrings 4</t>
        </is>
      </c>
      <c r="F19" s="4" t="inlineStr">
        <is>
          <t>Dutch Lily Masters</t>
        </is>
      </c>
      <c r="G19" s="4" t="inlineStr">
        <is>
          <t>COLOR Rojo/Amarillo · ALTURA 90 cm</t>
        </is>
      </c>
      <c r="H19" s="3" t="inlineStr"/>
      <c r="I19" s="3" t="n">
        <v>10</v>
      </c>
      <c r="J19" s="3" t="inlineStr">
        <is>
          <t>10 шт.</t>
        </is>
      </c>
      <c r="K19" s="4">
        <f>IMAGE("https://cdn.verdnatura.es/image/catalog/1600x900/12071")</f>
        <v/>
      </c>
      <c r="L19" s="5" t="n"/>
      <c r="M19" s="6" t="n"/>
      <c r="N19" s="7" t="n"/>
      <c r="O19" s="8" t="n">
        <v>0.96</v>
      </c>
      <c r="P19" s="8" t="n">
        <v>9.6</v>
      </c>
    </row>
    <row r="20" ht="110" customHeight="1">
      <c r="A20" s="3" t="inlineStr">
        <is>
          <t>12580980</t>
        </is>
      </c>
      <c r="B20" s="3" t="inlineStr">
        <is>
          <t>06-04-2026</t>
        </is>
      </c>
      <c r="C20" s="3" t="inlineStr">
        <is>
          <t>Blau</t>
        </is>
      </c>
      <c r="D20" s="3" t="inlineStr">
        <is>
          <t>169205</t>
        </is>
      </c>
      <c r="E20" s="4" t="inlineStr">
        <is>
          <t>LIM N NOR China Summer</t>
        </is>
      </c>
      <c r="F20" s="4" t="inlineStr">
        <is>
          <t>Mijo Flowers</t>
        </is>
      </c>
      <c r="G20" s="4" t="inlineStr">
        <is>
          <t>COLOR Amarillo · ALTURA 60 cm · PESO/TALLO 25 gr</t>
        </is>
      </c>
      <c r="H20" s="3" t="inlineStr"/>
      <c r="I20" s="3" t="n">
        <v>25</v>
      </c>
      <c r="J20" s="3" t="inlineStr">
        <is>
          <t>25 шт.</t>
        </is>
      </c>
      <c r="K20" s="4">
        <f>IMAGE("https://cdn.verdnatura.es/image/catalog/1600x900/169205")</f>
        <v/>
      </c>
      <c r="L20" s="5" t="n"/>
      <c r="M20" s="6" t="n"/>
      <c r="N20" s="7" t="n"/>
      <c r="O20" s="8" t="n">
        <v>0.58</v>
      </c>
      <c r="P20" s="8" t="n">
        <v>14.5</v>
      </c>
    </row>
    <row r="21" ht="110" customHeight="1">
      <c r="A21" s="3" t="inlineStr">
        <is>
          <t>12580980</t>
        </is>
      </c>
      <c r="B21" s="3" t="inlineStr">
        <is>
          <t>06-04-2026</t>
        </is>
      </c>
      <c r="C21" s="3" t="inlineStr">
        <is>
          <t>Blau</t>
        </is>
      </c>
      <c r="D21" s="3" t="inlineStr">
        <is>
          <t>84451</t>
        </is>
      </c>
      <c r="E21" s="4" t="inlineStr">
        <is>
          <t>LIM N NOR Safora Oshi Pink</t>
        </is>
      </c>
      <c r="F21" s="4" t="inlineStr">
        <is>
          <t>Beauty Line</t>
        </is>
      </c>
      <c r="G21" s="4" t="inlineStr">
        <is>
          <t>COLOR Rosa · ALTURA 60 cm · PESO/TALLO 25 gr</t>
        </is>
      </c>
      <c r="H21" s="3" t="inlineStr"/>
      <c r="I21" s="3" t="n">
        <v>25</v>
      </c>
      <c r="J21" s="3" t="inlineStr">
        <is>
          <t>25 шт.</t>
        </is>
      </c>
      <c r="K21" s="4">
        <f>IMAGE("https://cdn.verdnatura.es/image/catalog/1600x900/84451")</f>
        <v/>
      </c>
      <c r="L21" s="5" t="n"/>
      <c r="M21" s="6" t="n"/>
      <c r="N21" s="7" t="n"/>
      <c r="O21" s="8" t="n">
        <v>0.27</v>
      </c>
      <c r="P21" s="8" t="n">
        <v>6.75</v>
      </c>
    </row>
    <row r="22" ht="110" customHeight="1">
      <c r="A22" s="3" t="inlineStr">
        <is>
          <t>12580980</t>
        </is>
      </c>
      <c r="B22" s="3" t="inlineStr">
        <is>
          <t>06-04-2026</t>
        </is>
      </c>
      <c r="C22" s="3" t="inlineStr">
        <is>
          <t>Blau</t>
        </is>
      </c>
      <c r="D22" s="3" t="inlineStr">
        <is>
          <t>110294</t>
        </is>
      </c>
      <c r="E22" s="4" t="inlineStr">
        <is>
          <t>Madroño SEL</t>
        </is>
      </c>
      <c r="F22" s="4" t="inlineStr"/>
      <c r="G22" s="4" t="inlineStr">
        <is>
          <t>COLOR Verde · ALTURA 60 cm</t>
        </is>
      </c>
      <c r="H22" s="3" t="inlineStr">
        <is>
          <t>Paquete</t>
        </is>
      </c>
      <c r="I22" s="3" t="n">
        <v>5</v>
      </c>
      <c r="J22" s="3" t="inlineStr">
        <is>
          <t>5 пачек</t>
        </is>
      </c>
      <c r="K22" s="4">
        <f>IMAGE("https://cdn.verdnatura.es/image/catalog/1600x900/110294")</f>
        <v/>
      </c>
      <c r="L22" s="5" t="n"/>
      <c r="M22" s="6" t="n"/>
      <c r="N22" s="7" t="n"/>
      <c r="O22" s="8" t="n">
        <v>1.58</v>
      </c>
      <c r="P22" s="8" t="n">
        <v>7.9</v>
      </c>
    </row>
    <row r="23" ht="110" customHeight="1">
      <c r="A23" s="3" t="inlineStr">
        <is>
          <t>12580980</t>
        </is>
      </c>
      <c r="B23" s="3" t="inlineStr">
        <is>
          <t>06-04-2026</t>
        </is>
      </c>
      <c r="C23" s="3" t="inlineStr">
        <is>
          <t>Blau</t>
        </is>
      </c>
      <c r="D23" s="3" t="inlineStr">
        <is>
          <t>198776</t>
        </is>
      </c>
      <c r="E23" s="4" t="inlineStr">
        <is>
          <t>Oxypetalum Tanioka Pure Blue x</t>
        </is>
      </c>
      <c r="F23" s="4" t="inlineStr"/>
      <c r="G23" s="4" t="inlineStr">
        <is>
          <t>COLOR Azul Claro · ALTURA 55 cm</t>
        </is>
      </c>
      <c r="H23" s="3" t="inlineStr"/>
      <c r="I23" s="3" t="n">
        <v>40</v>
      </c>
      <c r="J23" s="3" t="inlineStr">
        <is>
          <t>40 шт.</t>
        </is>
      </c>
      <c r="K23" s="4">
        <f>IMAGE("https://cdn.verdnatura.es/image/catalog/1600x900/198776")</f>
        <v/>
      </c>
      <c r="L23" s="5" t="n"/>
      <c r="M23" s="6" t="n"/>
      <c r="N23" s="7" t="n"/>
      <c r="O23" s="8" t="n">
        <v>0.51</v>
      </c>
      <c r="P23" s="8" t="n">
        <v>20.4</v>
      </c>
    </row>
    <row r="24" ht="110" customHeight="1">
      <c r="A24" s="3" t="inlineStr">
        <is>
          <t>12580980</t>
        </is>
      </c>
      <c r="B24" s="3" t="inlineStr">
        <is>
          <t>06-04-2026</t>
        </is>
      </c>
      <c r="C24" s="3" t="inlineStr">
        <is>
          <t>Blau</t>
        </is>
      </c>
      <c r="D24" s="3" t="inlineStr">
        <is>
          <t>199575</t>
        </is>
      </c>
      <c r="E24" s="4" t="inlineStr">
        <is>
          <t>Photinia Red Robin 400 gr</t>
        </is>
      </c>
      <c r="F24" s="4" t="inlineStr"/>
      <c r="G24" s="4" t="inlineStr">
        <is>
          <t>COLOR Granate · ALTURA 60 cm</t>
        </is>
      </c>
      <c r="H24" s="3" t="inlineStr">
        <is>
          <t>Paquete</t>
        </is>
      </c>
      <c r="I24" s="3" t="n">
        <v>3</v>
      </c>
      <c r="J24" s="3" t="inlineStr">
        <is>
          <t>3 пачек</t>
        </is>
      </c>
      <c r="K24" s="4">
        <f>IMAGE("https://cdn.verdnatura.es/image/catalog/1600x900/199575")</f>
        <v/>
      </c>
      <c r="L24" s="5" t="n"/>
      <c r="M24" s="6" t="n"/>
      <c r="N24" s="7" t="n"/>
      <c r="O24" s="8" t="n">
        <v>3.51</v>
      </c>
      <c r="P24" s="8" t="n">
        <v>10.53</v>
      </c>
    </row>
    <row r="25" ht="110" customHeight="1">
      <c r="A25" s="3" t="inlineStr">
        <is>
          <t>12580980</t>
        </is>
      </c>
      <c r="B25" s="3" t="inlineStr">
        <is>
          <t>06-04-2026</t>
        </is>
      </c>
      <c r="C25" s="3" t="inlineStr">
        <is>
          <t>Blau</t>
        </is>
      </c>
      <c r="D25" s="3" t="inlineStr">
        <is>
          <t>149</t>
        </is>
      </c>
      <c r="E25" s="4" t="inlineStr">
        <is>
          <t>PITT Nigra 150 gr</t>
        </is>
      </c>
      <c r="F25" s="4" t="inlineStr"/>
      <c r="G25" s="4" t="inlineStr">
        <is>
          <t>COLOR Matizado · ALTURA 50 cm</t>
        </is>
      </c>
      <c r="H25" s="3" t="inlineStr">
        <is>
          <t>Paquete</t>
        </is>
      </c>
      <c r="I25" s="3" t="n">
        <v>5</v>
      </c>
      <c r="J25" s="3" t="inlineStr">
        <is>
          <t>5 пачек</t>
        </is>
      </c>
      <c r="K25" s="4">
        <f>IMAGE("https://cdn.verdnatura.es/image/catalog/1600x900/149")</f>
        <v/>
      </c>
      <c r="L25" s="5" t="n"/>
      <c r="M25" s="6" t="n"/>
      <c r="N25" s="7" t="n"/>
      <c r="O25" s="8" t="n">
        <v>2.6</v>
      </c>
      <c r="P25" s="8" t="n">
        <v>13</v>
      </c>
    </row>
    <row r="26" ht="110" customHeight="1">
      <c r="A26" s="3" t="inlineStr">
        <is>
          <t>12580980</t>
        </is>
      </c>
      <c r="B26" s="3" t="inlineStr">
        <is>
          <t>06-04-2026</t>
        </is>
      </c>
      <c r="C26" s="3" t="inlineStr">
        <is>
          <t>Blau</t>
        </is>
      </c>
      <c r="D26" s="3" t="inlineStr">
        <is>
          <t>153248</t>
        </is>
      </c>
      <c r="E26" s="4" t="inlineStr">
        <is>
          <t>RSR Chimo</t>
        </is>
      </c>
      <c r="F26" s="4" t="inlineStr">
        <is>
          <t>Holla Roses</t>
        </is>
      </c>
      <c r="G26" s="4" t="inlineStr">
        <is>
          <t>COLOR Fucsia · ALTURA 40 cm · TAMAÑO BOTON Pequeño</t>
        </is>
      </c>
      <c r="H26" s="3" t="inlineStr"/>
      <c r="I26" s="3" t="n">
        <v>50</v>
      </c>
      <c r="J26" s="3" t="inlineStr">
        <is>
          <t>50 шт.</t>
        </is>
      </c>
      <c r="K26" s="4">
        <f>IMAGE("https://cdn.verdnatura.es/image/catalog/1600x900/153248")</f>
        <v/>
      </c>
      <c r="L26" s="5" t="n"/>
      <c r="M26" s="6" t="n"/>
      <c r="N26" s="7" t="n"/>
      <c r="O26" s="8" t="n">
        <v>0.24</v>
      </c>
      <c r="P26" s="8" t="n">
        <v>12</v>
      </c>
    </row>
    <row r="27" ht="110" customHeight="1">
      <c r="A27" s="3" t="inlineStr">
        <is>
          <t>12580980</t>
        </is>
      </c>
      <c r="B27" s="3" t="inlineStr">
        <is>
          <t>06-04-2026</t>
        </is>
      </c>
      <c r="C27" s="3" t="inlineStr">
        <is>
          <t>Blau</t>
        </is>
      </c>
      <c r="D27" s="3" t="inlineStr">
        <is>
          <t>191334</t>
        </is>
      </c>
      <c r="E27" s="4" t="inlineStr">
        <is>
          <t>RSR Rainbow</t>
        </is>
      </c>
      <c r="F27" s="4" t="inlineStr">
        <is>
          <t>Holla Roses BV</t>
        </is>
      </c>
      <c r="G27" s="4" t="inlineStr">
        <is>
          <t>COLOR Mixto · ALTURA 40 cm · TAMAÑO BOTON Pequeño</t>
        </is>
      </c>
      <c r="H27" s="3" t="inlineStr"/>
      <c r="I27" s="3" t="n">
        <v>60</v>
      </c>
      <c r="J27" s="3" t="inlineStr">
        <is>
          <t>60 шт.</t>
        </is>
      </c>
      <c r="K27" s="4">
        <f>IMAGE("https://cdn.verdnatura.es/image/catalog/1600x900/191334")</f>
        <v/>
      </c>
      <c r="L27" s="5" t="n"/>
      <c r="M27" s="6" t="n"/>
      <c r="N27" s="7" t="n"/>
      <c r="O27" s="8" t="n">
        <v>0.27</v>
      </c>
      <c r="P27" s="8" t="n">
        <v>16.2</v>
      </c>
    </row>
    <row r="28" ht="110" customHeight="1">
      <c r="A28" s="3" t="inlineStr">
        <is>
          <t>12580980</t>
        </is>
      </c>
      <c r="B28" s="3" t="inlineStr">
        <is>
          <t>06-04-2026</t>
        </is>
      </c>
      <c r="C28" s="3" t="inlineStr">
        <is>
          <t>Blau</t>
        </is>
      </c>
      <c r="D28" s="3" t="inlineStr">
        <is>
          <t>163487</t>
        </is>
      </c>
      <c r="E28" s="4" t="inlineStr">
        <is>
          <t>RSR Tarantella</t>
        </is>
      </c>
      <c r="F28" s="4" t="inlineStr">
        <is>
          <t>Sun Spray</t>
        </is>
      </c>
      <c r="G28" s="4" t="inlineStr">
        <is>
          <t>COLOR Amarillo · ALTURA 40 cm · TAMAÑO BOTON Pequeño</t>
        </is>
      </c>
      <c r="H28" s="3" t="inlineStr"/>
      <c r="I28" s="3" t="n">
        <v>40</v>
      </c>
      <c r="J28" s="3" t="inlineStr">
        <is>
          <t>40 шт.</t>
        </is>
      </c>
      <c r="K28" s="4">
        <f>IMAGE("https://cdn.verdnatura.es/image/catalog/1600x900/163487")</f>
        <v/>
      </c>
      <c r="L28" s="5" t="n"/>
      <c r="M28" s="6" t="n"/>
      <c r="N28" s="7" t="n"/>
      <c r="O28" s="8" t="n">
        <v>0.27</v>
      </c>
      <c r="P28" s="8" t="n">
        <v>10.8</v>
      </c>
    </row>
    <row r="29" ht="110" customHeight="1">
      <c r="A29" s="3" t="inlineStr">
        <is>
          <t>12580980</t>
        </is>
      </c>
      <c r="B29" s="3" t="inlineStr">
        <is>
          <t>06-04-2026</t>
        </is>
      </c>
      <c r="C29" s="3" t="inlineStr">
        <is>
          <t>Blau</t>
        </is>
      </c>
      <c r="D29" s="3" t="inlineStr">
        <is>
          <t>73611</t>
        </is>
      </c>
      <c r="E29" s="4" t="inlineStr">
        <is>
          <t>Skimmia J Rubella</t>
        </is>
      </c>
      <c r="F29" s="4" t="inlineStr"/>
      <c r="G29" s="4" t="inlineStr">
        <is>
          <t>COLOR Granate · ALTURA 45 cm</t>
        </is>
      </c>
      <c r="H29" s="3" t="inlineStr">
        <is>
          <t>Paquete</t>
        </is>
      </c>
      <c r="I29" s="3" t="n">
        <v>5</v>
      </c>
      <c r="J29" s="3" t="inlineStr">
        <is>
          <t>5 пачек</t>
        </is>
      </c>
      <c r="K29" s="4">
        <f>IMAGE("https://cdn.verdnatura.es/image/catalog/1600x900/73611")</f>
        <v/>
      </c>
      <c r="L29" s="5" t="n"/>
      <c r="M29" s="6" t="n"/>
      <c r="N29" s="7" t="n"/>
      <c r="O29" s="8" t="n">
        <v>3.8</v>
      </c>
      <c r="P29" s="8" t="n">
        <v>19</v>
      </c>
    </row>
    <row r="30" ht="110" customHeight="1">
      <c r="A30" s="3" t="inlineStr">
        <is>
          <t>12580980</t>
        </is>
      </c>
      <c r="B30" s="3" t="inlineStr">
        <is>
          <t>06-04-2026</t>
        </is>
      </c>
      <c r="C30" s="3" t="inlineStr">
        <is>
          <t>Blau</t>
        </is>
      </c>
      <c r="D30" s="3" t="inlineStr">
        <is>
          <t>690</t>
        </is>
      </c>
      <c r="E30" s="4" t="inlineStr">
        <is>
          <t>TRACH Lake Powell</t>
        </is>
      </c>
      <c r="F30" s="4" t="inlineStr"/>
      <c r="G30" s="4" t="inlineStr">
        <is>
          <t>COLOR Blanco · ALTURA 70 cm</t>
        </is>
      </c>
      <c r="H30" s="3" t="inlineStr"/>
      <c r="I30" s="3" t="n">
        <v>50</v>
      </c>
      <c r="J30" s="3" t="inlineStr">
        <is>
          <t>50 шт.</t>
        </is>
      </c>
      <c r="K30" s="4">
        <f>IMAGE("https://cdn.verdnatura.es/image/catalog/1600x900/690")</f>
        <v/>
      </c>
      <c r="L30" s="5" t="n"/>
      <c r="M30" s="6" t="n"/>
      <c r="N30" s="7" t="n"/>
      <c r="O30" s="8" t="n">
        <v>0.44</v>
      </c>
      <c r="P30" s="8" t="n">
        <v>22</v>
      </c>
    </row>
    <row r="31" ht="26" customHeight="1">
      <c r="A31" s="2" t="inlineStr">
        <is>
          <t>📦  Накладная #12581532  ·  06-04-2026  ·  Blau  ·  1 позиций  ·  bultos: 1</t>
        </is>
      </c>
    </row>
    <row r="32" ht="110" customHeight="1">
      <c r="A32" s="3" t="inlineStr">
        <is>
          <t>12581532</t>
        </is>
      </c>
      <c r="B32" s="3" t="inlineStr">
        <is>
          <t>06-04-2026</t>
        </is>
      </c>
      <c r="C32" s="3" t="inlineStr">
        <is>
          <t>Blau</t>
        </is>
      </c>
      <c r="D32" s="3" t="inlineStr">
        <is>
          <t>165738</t>
        </is>
      </c>
      <c r="E32" s="4" t="inlineStr">
        <is>
          <t>Cilindro Corte Frío</t>
        </is>
      </c>
      <c r="F32" s="4" t="inlineStr">
        <is>
          <t>Verdnatura</t>
        </is>
      </c>
      <c r="G32" s="4" t="inlineStr">
        <is>
          <t>ALTURA 40 cm · DIAMETRO 10 cm · COLOR Transparente</t>
        </is>
      </c>
      <c r="H32" s="3" t="inlineStr"/>
      <c r="I32" s="3" t="n">
        <v>6</v>
      </c>
      <c r="J32" s="3" t="inlineStr">
        <is>
          <t>6 шт.</t>
        </is>
      </c>
      <c r="K32" s="4">
        <f>IMAGE("https://cdn.verdnatura.es/image/catalog/1600x900/165738")</f>
        <v/>
      </c>
      <c r="L32" s="5" t="n"/>
      <c r="M32" s="6" t="n"/>
      <c r="N32" s="7" t="n"/>
      <c r="O32" s="8" t="n">
        <v>3.28</v>
      </c>
      <c r="P32" s="8" t="n">
        <v>19.68</v>
      </c>
    </row>
    <row r="33" ht="26" customHeight="1">
      <c r="A33" s="2" t="inlineStr">
        <is>
          <t>📦  Накладная #12583951  ·  06-04-2026  ·  Blau  ·  25 позиций  ·  bultos: 4</t>
        </is>
      </c>
    </row>
    <row r="34" ht="110" customHeight="1">
      <c r="A34" s="3" t="inlineStr">
        <is>
          <t>12583951</t>
        </is>
      </c>
      <c r="B34" s="3" t="inlineStr">
        <is>
          <t>06-04-2026</t>
        </is>
      </c>
      <c r="C34" s="3" t="inlineStr">
        <is>
          <t>Blau</t>
        </is>
      </c>
      <c r="D34" s="3" t="inlineStr">
        <is>
          <t>196442</t>
        </is>
      </c>
      <c r="E34" s="4" t="inlineStr">
        <is>
          <t>+ RSR Elegant Rosever</t>
        </is>
      </c>
      <c r="F34" s="4" t="inlineStr">
        <is>
          <t>Cantiza Flowers</t>
        </is>
      </c>
      <c r="G34" s="4" t="inlineStr">
        <is>
          <t>COLOR Rosa · ALTURA 50 cm</t>
        </is>
      </c>
      <c r="H34" s="3" t="inlineStr"/>
      <c r="I34" s="3" t="n">
        <v>30</v>
      </c>
      <c r="J34" s="3" t="inlineStr">
        <is>
          <t>30 шт.</t>
        </is>
      </c>
      <c r="K34" s="4">
        <f>IMAGE("https://cdn.verdnatura.es/image/catalog/1600x900/196442")</f>
        <v/>
      </c>
      <c r="L34" s="5" t="n"/>
      <c r="M34" s="6" t="n"/>
      <c r="N34" s="7" t="n"/>
      <c r="O34" s="8" t="n">
        <v>0.62</v>
      </c>
      <c r="P34" s="8" t="n">
        <v>18.6</v>
      </c>
    </row>
    <row r="35" ht="110" customHeight="1">
      <c r="A35" s="3" t="inlineStr">
        <is>
          <t>12583951</t>
        </is>
      </c>
      <c r="B35" s="3" t="inlineStr">
        <is>
          <t>06-04-2026</t>
        </is>
      </c>
      <c r="C35" s="3" t="inlineStr">
        <is>
          <t>Blau</t>
        </is>
      </c>
      <c r="D35" s="3" t="inlineStr">
        <is>
          <t>177721</t>
        </is>
      </c>
      <c r="E35" s="4" t="inlineStr">
        <is>
          <t>CL MIN Nectarine SEL</t>
        </is>
      </c>
      <c r="F35" s="4" t="inlineStr">
        <is>
          <t>Santa Dorotea EXPORT</t>
        </is>
      </c>
      <c r="G35" s="4" t="inlineStr">
        <is>
          <t>COLOR Naranja claro · ALTURA 70 cm · Nº TALLOS 20</t>
        </is>
      </c>
      <c r="H35" s="3" t="inlineStr"/>
      <c r="I35" s="3" t="n">
        <v>40</v>
      </c>
      <c r="J35" s="3" t="inlineStr">
        <is>
          <t>40 шт.</t>
        </is>
      </c>
      <c r="K35" s="4">
        <f>IMAGE("https://cdn.verdnatura.es/image/catalog/1600x900/177721")</f>
        <v/>
      </c>
      <c r="L35" s="5" t="n"/>
      <c r="M35" s="6" t="n"/>
      <c r="N35" s="7" t="n"/>
      <c r="O35" s="8" t="n">
        <v>0.23</v>
      </c>
      <c r="P35" s="8" t="n">
        <v>9.199999999999999</v>
      </c>
    </row>
    <row r="36" ht="110" customHeight="1">
      <c r="A36" s="3" t="inlineStr">
        <is>
          <t>12583951</t>
        </is>
      </c>
      <c r="B36" s="3" t="inlineStr">
        <is>
          <t>06-04-2026</t>
        </is>
      </c>
      <c r="C36" s="3" t="inlineStr">
        <is>
          <t>Blau</t>
        </is>
      </c>
      <c r="D36" s="3" t="inlineStr">
        <is>
          <t>200158</t>
        </is>
      </c>
      <c r="E36" s="4" t="inlineStr">
        <is>
          <t>CL MIN Solomio Fiorino Pupa SE</t>
        </is>
      </c>
      <c r="F36" s="4" t="inlineStr">
        <is>
          <t>Santa Dorotea</t>
        </is>
      </c>
      <c r="G36" s="4" t="inlineStr">
        <is>
          <t>COLOR Granate · ALTURA 70 cm · Nº TALLOS 20</t>
        </is>
      </c>
      <c r="H36" s="3" t="inlineStr"/>
      <c r="I36" s="3" t="n">
        <v>40</v>
      </c>
      <c r="J36" s="3" t="inlineStr">
        <is>
          <t>40 шт.</t>
        </is>
      </c>
      <c r="K36" s="4">
        <f>IMAGE("https://cdn.verdnatura.es/image/catalog/1600x900/200158")</f>
        <v/>
      </c>
      <c r="L36" s="5" t="n"/>
      <c r="M36" s="6" t="n"/>
      <c r="N36" s="7" t="n"/>
      <c r="O36" s="8" t="n">
        <v>0.23</v>
      </c>
      <c r="P36" s="8" t="n">
        <v>9.199999999999999</v>
      </c>
    </row>
    <row r="37" ht="110" customHeight="1">
      <c r="A37" s="3" t="inlineStr">
        <is>
          <t>12583951</t>
        </is>
      </c>
      <c r="B37" s="3" t="inlineStr">
        <is>
          <t>06-04-2026</t>
        </is>
      </c>
      <c r="C37" s="3" t="inlineStr">
        <is>
          <t>Blau</t>
        </is>
      </c>
      <c r="D37" s="3" t="inlineStr">
        <is>
          <t>197736</t>
        </is>
      </c>
      <c r="E37" s="4" t="inlineStr">
        <is>
          <t>CR Sweet lavender</t>
        </is>
      </c>
      <c r="F37" s="4" t="inlineStr">
        <is>
          <t>Capiro</t>
        </is>
      </c>
      <c r="G37" s="4" t="inlineStr">
        <is>
          <t>COLOR Rosa · ALTURA 55 cm · PESO/TALLO 30-35 gr</t>
        </is>
      </c>
      <c r="H37" s="3" t="inlineStr"/>
      <c r="I37" s="3" t="n">
        <v>30</v>
      </c>
      <c r="J37" s="3" t="inlineStr">
        <is>
          <t>30 шт.</t>
        </is>
      </c>
      <c r="K37" s="4">
        <f>IMAGE("https://cdn.verdnatura.es/image/catalog/1600x900/197736")</f>
        <v/>
      </c>
      <c r="L37" s="5" t="n"/>
      <c r="M37" s="6" t="n"/>
      <c r="N37" s="7" t="n"/>
      <c r="O37" s="8" t="n">
        <v>0.37</v>
      </c>
      <c r="P37" s="8" t="n">
        <v>11.1</v>
      </c>
    </row>
    <row r="38" ht="110" customHeight="1">
      <c r="A38" s="3" t="inlineStr">
        <is>
          <t>12583951</t>
        </is>
      </c>
      <c r="B38" s="3" t="inlineStr">
        <is>
          <t>06-04-2026</t>
        </is>
      </c>
      <c r="C38" s="3" t="inlineStr">
        <is>
          <t>Blau</t>
        </is>
      </c>
      <c r="D38" s="3" t="inlineStr">
        <is>
          <t>165888</t>
        </is>
      </c>
      <c r="E38" s="4" t="inlineStr">
        <is>
          <t>CRU Bernal</t>
        </is>
      </c>
      <c r="F38" s="4" t="inlineStr">
        <is>
          <t>Yasa</t>
        </is>
      </c>
      <c r="G38" s="4" t="inlineStr">
        <is>
          <t>COLOR Amarillo · ALTURA 70 cm</t>
        </is>
      </c>
      <c r="H38" s="3" t="inlineStr"/>
      <c r="I38" s="3" t="n">
        <v>20</v>
      </c>
      <c r="J38" s="3" t="inlineStr">
        <is>
          <t>20 шт.</t>
        </is>
      </c>
      <c r="K38" s="4">
        <f>IMAGE("https://cdn.verdnatura.es/image/catalog/1600x900/165888")</f>
        <v/>
      </c>
      <c r="L38" s="5" t="n"/>
      <c r="M38" s="6" t="n"/>
      <c r="N38" s="7" t="n"/>
      <c r="O38" s="8" t="n">
        <v>0.5600000000000001</v>
      </c>
      <c r="P38" s="8" t="n">
        <v>11.2</v>
      </c>
    </row>
    <row r="39" ht="110" customHeight="1">
      <c r="A39" s="3" t="inlineStr">
        <is>
          <t>12583951</t>
        </is>
      </c>
      <c r="B39" s="3" t="inlineStr">
        <is>
          <t>06-04-2026</t>
        </is>
      </c>
      <c r="C39" s="3" t="inlineStr">
        <is>
          <t>Blau</t>
        </is>
      </c>
      <c r="D39" s="3" t="inlineStr">
        <is>
          <t>181269</t>
        </is>
      </c>
      <c r="E39" s="4" t="inlineStr">
        <is>
          <t>CRU Marama</t>
        </is>
      </c>
      <c r="F39" s="4" t="inlineStr">
        <is>
          <t>Yasa</t>
        </is>
      </c>
      <c r="G39" s="4" t="inlineStr">
        <is>
          <t>COLOR Amarillo · ALTURA 70 cm · PESO/TALLO 35-40 gr</t>
        </is>
      </c>
      <c r="H39" s="3" t="inlineStr"/>
      <c r="I39" s="3" t="n">
        <v>20</v>
      </c>
      <c r="J39" s="3" t="inlineStr">
        <is>
          <t>20 шт.</t>
        </is>
      </c>
      <c r="K39" s="4">
        <f>IMAGE("https://cdn.verdnatura.es/image/catalog/1600x900/181269")</f>
        <v/>
      </c>
      <c r="L39" s="5" t="n"/>
      <c r="M39" s="6" t="n"/>
      <c r="N39" s="7" t="n"/>
      <c r="O39" s="8" t="n">
        <v>0.6</v>
      </c>
      <c r="P39" s="8" t="n">
        <v>12</v>
      </c>
    </row>
    <row r="40" ht="110" customHeight="1">
      <c r="A40" s="3" t="inlineStr">
        <is>
          <t>12583951</t>
        </is>
      </c>
      <c r="B40" s="3" t="inlineStr">
        <is>
          <t>06-04-2026</t>
        </is>
      </c>
      <c r="C40" s="3" t="inlineStr">
        <is>
          <t>Blau</t>
        </is>
      </c>
      <c r="D40" s="3" t="inlineStr">
        <is>
          <t>146802</t>
        </is>
      </c>
      <c r="E40" s="4" t="inlineStr">
        <is>
          <t>GRS Catalina</t>
        </is>
      </c>
      <c r="F40" s="4" t="inlineStr">
        <is>
          <t>Alexandra</t>
        </is>
      </c>
      <c r="G40" s="4" t="inlineStr">
        <is>
          <t>COLOR Amarillo · ALTURA 40 cm · BOTÓN MINIMO 3.5 cm</t>
        </is>
      </c>
      <c r="H40" s="3" t="inlineStr"/>
      <c r="I40" s="3" t="n">
        <v>36</v>
      </c>
      <c r="J40" s="3" t="inlineStr">
        <is>
          <t>36 шт.</t>
        </is>
      </c>
      <c r="K40" s="4">
        <f>IMAGE("https://cdn.verdnatura.es/image/catalog/1600x900/146802")</f>
        <v/>
      </c>
      <c r="L40" s="5" t="n"/>
      <c r="M40" s="6" t="n"/>
      <c r="N40" s="7" t="n"/>
      <c r="O40" s="8" t="n">
        <v>0.73</v>
      </c>
      <c r="P40" s="8" t="n">
        <v>26.28</v>
      </c>
    </row>
    <row r="41" ht="110" customHeight="1">
      <c r="A41" s="3" t="inlineStr">
        <is>
          <t>12583951</t>
        </is>
      </c>
      <c r="B41" s="3" t="inlineStr">
        <is>
          <t>06-04-2026</t>
        </is>
      </c>
      <c r="C41" s="3" t="inlineStr">
        <is>
          <t>Blau</t>
        </is>
      </c>
      <c r="D41" s="3" t="inlineStr">
        <is>
          <t>149519</t>
        </is>
      </c>
      <c r="E41" s="4" t="inlineStr">
        <is>
          <t>GRS London Bell</t>
        </is>
      </c>
      <c r="F41" s="4" t="inlineStr">
        <is>
          <t>Milagro</t>
        </is>
      </c>
      <c r="G41" s="4" t="inlineStr">
        <is>
          <t>COLOR Fucsia · ALTURA 50 cm · BOTÓN MINIMO 4.5 cm</t>
        </is>
      </c>
      <c r="H41" s="3" t="inlineStr"/>
      <c r="I41" s="3" t="n">
        <v>25</v>
      </c>
      <c r="J41" s="3" t="inlineStr">
        <is>
          <t>25 шт.</t>
        </is>
      </c>
      <c r="K41" s="4">
        <f>IMAGE("https://cdn.verdnatura.es/image/catalog/1600x900/149519")</f>
        <v/>
      </c>
      <c r="L41" s="5" t="n"/>
      <c r="M41" s="6" t="n"/>
      <c r="N41" s="7" t="n"/>
      <c r="O41" s="8" t="n">
        <v>0.77</v>
      </c>
      <c r="P41" s="8" t="n">
        <v>19.25</v>
      </c>
    </row>
    <row r="42" ht="110" customHeight="1">
      <c r="A42" s="3" t="inlineStr">
        <is>
          <t>12583951</t>
        </is>
      </c>
      <c r="B42" s="3" t="inlineStr">
        <is>
          <t>06-04-2026</t>
        </is>
      </c>
      <c r="C42" s="3" t="inlineStr">
        <is>
          <t>Blau</t>
        </is>
      </c>
      <c r="D42" s="3" t="inlineStr">
        <is>
          <t>175446</t>
        </is>
      </c>
      <c r="E42" s="4" t="inlineStr">
        <is>
          <t>GRS Mandarin X-Pression</t>
        </is>
      </c>
      <c r="F42" s="4" t="inlineStr">
        <is>
          <t>La Rosaleda</t>
        </is>
      </c>
      <c r="G42" s="4" t="inlineStr">
        <is>
          <t>COLOR Rosa · ALTURA 60 cm · BOTÓN MINIMO 4.0 cm</t>
        </is>
      </c>
      <c r="H42" s="3" t="inlineStr"/>
      <c r="I42" s="3" t="n">
        <v>25</v>
      </c>
      <c r="J42" s="3" t="inlineStr">
        <is>
          <t>25 шт.</t>
        </is>
      </c>
      <c r="K42" s="4">
        <f>IMAGE("https://cdn.verdnatura.es/image/catalog/1600x900/175446")</f>
        <v/>
      </c>
      <c r="L42" s="5" t="n"/>
      <c r="M42" s="6" t="n"/>
      <c r="N42" s="7" t="n"/>
      <c r="O42" s="8" t="n">
        <v>1.04</v>
      </c>
      <c r="P42" s="8" t="n">
        <v>26</v>
      </c>
    </row>
    <row r="43" ht="110" customHeight="1">
      <c r="A43" s="3" t="inlineStr">
        <is>
          <t>12583951</t>
        </is>
      </c>
      <c r="B43" s="3" t="inlineStr">
        <is>
          <t>06-04-2026</t>
        </is>
      </c>
      <c r="C43" s="3" t="inlineStr">
        <is>
          <t>Blau</t>
        </is>
      </c>
      <c r="D43" s="3" t="inlineStr">
        <is>
          <t>153065</t>
        </is>
      </c>
      <c r="E43" s="4" t="inlineStr">
        <is>
          <t>GRS Pink Xpression</t>
        </is>
      </c>
      <c r="F43" s="4" t="inlineStr">
        <is>
          <t>La Rosaleda</t>
        </is>
      </c>
      <c r="G43" s="4" t="inlineStr">
        <is>
          <t>COLOR Rosa · ALTURA 50 cm</t>
        </is>
      </c>
      <c r="H43" s="3" t="inlineStr"/>
      <c r="I43" s="3" t="n">
        <v>25</v>
      </c>
      <c r="J43" s="3" t="inlineStr">
        <is>
          <t>25 шт.</t>
        </is>
      </c>
      <c r="K43" s="4">
        <f>IMAGE("https://cdn.verdnatura.es/image/catalog/1600x900/153065")</f>
        <v/>
      </c>
      <c r="L43" s="5" t="n"/>
      <c r="M43" s="6" t="n"/>
      <c r="N43" s="7" t="n"/>
      <c r="O43" s="8" t="n">
        <v>0.83</v>
      </c>
      <c r="P43" s="8" t="n">
        <v>20.75</v>
      </c>
    </row>
    <row r="44" ht="110" customHeight="1">
      <c r="A44" s="3" t="inlineStr">
        <is>
          <t>12583951</t>
        </is>
      </c>
      <c r="B44" s="3" t="inlineStr">
        <is>
          <t>06-04-2026</t>
        </is>
      </c>
      <c r="C44" s="3" t="inlineStr">
        <is>
          <t>Blau</t>
        </is>
      </c>
      <c r="D44" s="3" t="inlineStr">
        <is>
          <t>149334</t>
        </is>
      </c>
      <c r="E44" s="4" t="inlineStr">
        <is>
          <t>GRS Princess Crown</t>
        </is>
      </c>
      <c r="F44" s="4" t="inlineStr">
        <is>
          <t>Agrivaldani</t>
        </is>
      </c>
      <c r="G44" s="4" t="inlineStr">
        <is>
          <t>COLOR Melocotón · ALTURA 50 cm · BOTÓN MINIMO 5.5 cm</t>
        </is>
      </c>
      <c r="H44" s="3" t="inlineStr"/>
      <c r="I44" s="3" t="n">
        <v>25</v>
      </c>
      <c r="J44" s="3" t="inlineStr">
        <is>
          <t>25 шт.</t>
        </is>
      </c>
      <c r="K44" s="4">
        <f>IMAGE("https://cdn.verdnatura.es/image/catalog/1600x900/149334")</f>
        <v/>
      </c>
      <c r="L44" s="5" t="n"/>
      <c r="M44" s="6" t="n"/>
      <c r="N44" s="7" t="n"/>
      <c r="O44" s="8" t="n">
        <v>0.5600000000000001</v>
      </c>
      <c r="P44" s="8" t="n">
        <v>14</v>
      </c>
    </row>
    <row r="45" ht="110" customHeight="1">
      <c r="A45" s="3" t="inlineStr">
        <is>
          <t>12583951</t>
        </is>
      </c>
      <c r="B45" s="3" t="inlineStr">
        <is>
          <t>06-04-2026</t>
        </is>
      </c>
      <c r="C45" s="3" t="inlineStr">
        <is>
          <t>Blau</t>
        </is>
      </c>
      <c r="D45" s="3" t="inlineStr">
        <is>
          <t>174965</t>
        </is>
      </c>
      <c r="E45" s="4" t="inlineStr">
        <is>
          <t>HYD Blue JUM</t>
        </is>
      </c>
      <c r="F45" s="4" t="inlineStr">
        <is>
          <t>Condor Andino</t>
        </is>
      </c>
      <c r="G45" s="4" t="inlineStr">
        <is>
          <t>COLOR Azul Claro · ALTURA 60 cm · DIAMETRO 23 cm</t>
        </is>
      </c>
      <c r="H45" s="3" t="inlineStr"/>
      <c r="I45" s="3" t="n">
        <v>10</v>
      </c>
      <c r="J45" s="3" t="inlineStr">
        <is>
          <t>10 шт.</t>
        </is>
      </c>
      <c r="K45" s="4">
        <f>IMAGE("https://cdn.verdnatura.es/image/catalog/1600x900/174965")</f>
        <v/>
      </c>
      <c r="L45" s="5" t="n"/>
      <c r="M45" s="6" t="n"/>
      <c r="N45" s="7" t="n"/>
      <c r="O45" s="8" t="n">
        <v>1.62</v>
      </c>
      <c r="P45" s="8" t="n">
        <v>16.2</v>
      </c>
    </row>
    <row r="46" ht="110" customHeight="1">
      <c r="A46" s="3" t="inlineStr">
        <is>
          <t>12583951</t>
        </is>
      </c>
      <c r="B46" s="3" t="inlineStr">
        <is>
          <t>06-04-2026</t>
        </is>
      </c>
      <c r="C46" s="3" t="inlineStr">
        <is>
          <t>Blau</t>
        </is>
      </c>
      <c r="D46" s="3" t="inlineStr">
        <is>
          <t>196381</t>
        </is>
      </c>
      <c r="E46" s="4" t="inlineStr">
        <is>
          <t>HYD Elite Purple PRE</t>
        </is>
      </c>
      <c r="F46" s="4" t="inlineStr">
        <is>
          <t>Santa Dorotea</t>
        </is>
      </c>
      <c r="G46" s="4" t="inlineStr">
        <is>
          <t>COLOR Morado · ALTURA 60 cm · DIAMETRO 18 cm</t>
        </is>
      </c>
      <c r="H46" s="3" t="inlineStr"/>
      <c r="I46" s="3" t="n">
        <v>20</v>
      </c>
      <c r="J46" s="3" t="inlineStr">
        <is>
          <t>20 шт.</t>
        </is>
      </c>
      <c r="K46" s="4">
        <f>IMAGE("https://cdn.verdnatura.es/image/catalog/1600x900/196381")</f>
        <v/>
      </c>
      <c r="L46" s="5" t="n"/>
      <c r="M46" s="6" t="n"/>
      <c r="N46" s="7" t="n"/>
      <c r="O46" s="8" t="n">
        <v>2.04</v>
      </c>
      <c r="P46" s="8" t="n">
        <v>40.8</v>
      </c>
    </row>
    <row r="47" ht="110" customHeight="1">
      <c r="A47" s="3" t="inlineStr">
        <is>
          <t>12583951</t>
        </is>
      </c>
      <c r="B47" s="3" t="inlineStr">
        <is>
          <t>06-04-2026</t>
        </is>
      </c>
      <c r="C47" s="3" t="inlineStr">
        <is>
          <t>Blau</t>
        </is>
      </c>
      <c r="D47" s="3" t="inlineStr">
        <is>
          <t>186670</t>
        </is>
      </c>
      <c r="E47" s="4" t="inlineStr">
        <is>
          <t>HYD Pintado Candy Pink PRE</t>
        </is>
      </c>
      <c r="F47" s="4" t="inlineStr">
        <is>
          <t>Santa Dorotea</t>
        </is>
      </c>
      <c r="G47" s="4" t="inlineStr">
        <is>
          <t>COLOR Rosa · ALTURA 60 cm · DIAMETRO 18 cm</t>
        </is>
      </c>
      <c r="H47" s="3" t="inlineStr"/>
      <c r="I47" s="3" t="n">
        <v>20</v>
      </c>
      <c r="J47" s="3" t="inlineStr">
        <is>
          <t>20 шт.</t>
        </is>
      </c>
      <c r="K47" s="4">
        <f>IMAGE("https://cdn.verdnatura.es/image/catalog/1600x900/186670")</f>
        <v/>
      </c>
      <c r="L47" s="5" t="n"/>
      <c r="M47" s="6" t="n"/>
      <c r="N47" s="7" t="n"/>
      <c r="O47" s="8" t="n">
        <v>1.06</v>
      </c>
      <c r="P47" s="8" t="n">
        <v>21.2</v>
      </c>
    </row>
    <row r="48" ht="110" customHeight="1">
      <c r="A48" s="3" t="inlineStr">
        <is>
          <t>12583951</t>
        </is>
      </c>
      <c r="B48" s="3" t="inlineStr">
        <is>
          <t>06-04-2026</t>
        </is>
      </c>
      <c r="C48" s="3" t="inlineStr">
        <is>
          <t>Blau</t>
        </is>
      </c>
      <c r="D48" s="3" t="inlineStr">
        <is>
          <t>180540</t>
        </is>
      </c>
      <c r="E48" s="4" t="inlineStr">
        <is>
          <t>HYD Pintado Dark Yellow SEL</t>
        </is>
      </c>
      <c r="F48" s="4" t="inlineStr">
        <is>
          <t>Condor Andino</t>
        </is>
      </c>
      <c r="G48" s="4" t="inlineStr">
        <is>
          <t>COLOR Amarillo · ALTURA 60 cm · DIAMETRO 15 cm</t>
        </is>
      </c>
      <c r="H48" s="3" t="inlineStr"/>
      <c r="I48" s="3" t="n">
        <v>20</v>
      </c>
      <c r="J48" s="3" t="inlineStr">
        <is>
          <t>20 шт.</t>
        </is>
      </c>
      <c r="K48" s="4">
        <f>IMAGE("https://cdn.verdnatura.es/image/catalog/1600x900/180540")</f>
        <v/>
      </c>
      <c r="L48" s="5" t="n"/>
      <c r="M48" s="6" t="n"/>
      <c r="N48" s="7" t="n"/>
      <c r="O48" s="8" t="n">
        <v>0.97</v>
      </c>
      <c r="P48" s="8" t="n">
        <v>19.4</v>
      </c>
    </row>
    <row r="49" ht="110" customHeight="1">
      <c r="A49" s="3" t="inlineStr">
        <is>
          <t>12583951</t>
        </is>
      </c>
      <c r="B49" s="3" t="inlineStr">
        <is>
          <t>06-04-2026</t>
        </is>
      </c>
      <c r="C49" s="3" t="inlineStr">
        <is>
          <t>Blau</t>
        </is>
      </c>
      <c r="D49" s="3" t="inlineStr">
        <is>
          <t>117024</t>
        </is>
      </c>
      <c r="E49" s="4" t="inlineStr">
        <is>
          <t>HYD Shocking Blue SEL</t>
        </is>
      </c>
      <c r="F49" s="4" t="inlineStr">
        <is>
          <t>Gutimilko</t>
        </is>
      </c>
      <c r="G49" s="4" t="inlineStr">
        <is>
          <t>COLOR Azul · ALTURA 60 cm · DIAMETRO 16 cm</t>
        </is>
      </c>
      <c r="H49" s="3" t="inlineStr"/>
      <c r="I49" s="3" t="n">
        <v>60</v>
      </c>
      <c r="J49" s="3" t="inlineStr">
        <is>
          <t>60 шт.</t>
        </is>
      </c>
      <c r="K49" s="4">
        <f>IMAGE("https://cdn.verdnatura.es/image/catalog/1600x900/117024")</f>
        <v/>
      </c>
      <c r="L49" s="5" t="n"/>
      <c r="M49" s="6" t="n"/>
      <c r="N49" s="7" t="n"/>
      <c r="O49" s="8" t="n">
        <v>0.95</v>
      </c>
      <c r="P49" s="8" t="n">
        <v>57</v>
      </c>
    </row>
    <row r="50" ht="110" customHeight="1">
      <c r="A50" s="3" t="inlineStr">
        <is>
          <t>12583951</t>
        </is>
      </c>
      <c r="B50" s="3" t="inlineStr">
        <is>
          <t>06-04-2026</t>
        </is>
      </c>
      <c r="C50" s="3" t="inlineStr">
        <is>
          <t>Blau</t>
        </is>
      </c>
      <c r="D50" s="3" t="inlineStr">
        <is>
          <t>171541</t>
        </is>
      </c>
      <c r="E50" s="4" t="inlineStr">
        <is>
          <t>PAN Rosa SD 40 gr</t>
        </is>
      </c>
      <c r="F50" s="4" t="inlineStr">
        <is>
          <t>Santa Dorotea</t>
        </is>
      </c>
      <c r="G50" s="4" t="inlineStr">
        <is>
          <t>COLOR Rosa · ALTURA 80 cm · TAMAÑO FLOR XL</t>
        </is>
      </c>
      <c r="H50" s="3" t="inlineStr"/>
      <c r="I50" s="3" t="n">
        <v>25</v>
      </c>
      <c r="J50" s="3" t="inlineStr">
        <is>
          <t>25 шт.</t>
        </is>
      </c>
      <c r="K50" s="4">
        <f>IMAGE("https://cdn.verdnatura.es/image/catalog/1600x900/171541")</f>
        <v/>
      </c>
      <c r="L50" s="5" t="n"/>
      <c r="M50" s="6" t="n"/>
      <c r="N50" s="7" t="n"/>
      <c r="O50" s="8" t="n">
        <v>0.57</v>
      </c>
      <c r="P50" s="8" t="n">
        <v>14.25</v>
      </c>
    </row>
    <row r="51" ht="110" customHeight="1">
      <c r="A51" s="3" t="inlineStr">
        <is>
          <t>12583951</t>
        </is>
      </c>
      <c r="B51" s="3" t="inlineStr">
        <is>
          <t>06-04-2026</t>
        </is>
      </c>
      <c r="C51" s="3" t="inlineStr">
        <is>
          <t>Blau</t>
        </is>
      </c>
      <c r="D51" s="3" t="inlineStr">
        <is>
          <t>171540</t>
        </is>
      </c>
      <c r="E51" s="4" t="inlineStr">
        <is>
          <t>PAN Small Bloom SD 40 gr</t>
        </is>
      </c>
      <c r="F51" s="4" t="inlineStr">
        <is>
          <t>Santa Dorotea</t>
        </is>
      </c>
      <c r="G51" s="4" t="inlineStr">
        <is>
          <t>COLOR Blanco · ALTURA 80 cm · TAMAÑO FLOR S</t>
        </is>
      </c>
      <c r="H51" s="3" t="inlineStr"/>
      <c r="I51" s="3" t="n">
        <v>25</v>
      </c>
      <c r="J51" s="3" t="inlineStr">
        <is>
          <t>25 шт.</t>
        </is>
      </c>
      <c r="K51" s="4">
        <f>IMAGE("https://cdn.verdnatura.es/image/catalog/1600x900/171540")</f>
        <v/>
      </c>
      <c r="L51" s="5" t="n"/>
      <c r="M51" s="6" t="n"/>
      <c r="N51" s="7" t="n"/>
      <c r="O51" s="8" t="n">
        <v>0.5</v>
      </c>
      <c r="P51" s="8" t="n">
        <v>12.5</v>
      </c>
    </row>
    <row r="52" ht="110" customHeight="1">
      <c r="A52" s="3" t="inlineStr">
        <is>
          <t>12583951</t>
        </is>
      </c>
      <c r="B52" s="3" t="inlineStr">
        <is>
          <t>06-04-2026</t>
        </is>
      </c>
      <c r="C52" s="3" t="inlineStr">
        <is>
          <t>Blau</t>
        </is>
      </c>
      <c r="D52" s="3" t="inlineStr">
        <is>
          <t>130669</t>
        </is>
      </c>
      <c r="E52" s="4" t="inlineStr">
        <is>
          <t>RS Coral Reef SEL</t>
        </is>
      </c>
      <c r="F52" s="4" t="inlineStr">
        <is>
          <t>Native</t>
        </is>
      </c>
      <c r="G52" s="4" t="inlineStr">
        <is>
          <t>COLOR Salmón · ALTURA 60 cm · BOTÓN MINIMO 5.5 cm</t>
        </is>
      </c>
      <c r="H52" s="3" t="inlineStr"/>
      <c r="I52" s="3" t="n">
        <v>25</v>
      </c>
      <c r="J52" s="3" t="inlineStr">
        <is>
          <t>25 шт.</t>
        </is>
      </c>
      <c r="K52" s="4">
        <f>IMAGE("https://cdn.verdnatura.es/image/catalog/1600x900/130669")</f>
        <v/>
      </c>
      <c r="L52" s="5" t="n"/>
      <c r="M52" s="6" t="n"/>
      <c r="N52" s="7" t="n"/>
      <c r="O52" s="8" t="n">
        <v>0.79</v>
      </c>
      <c r="P52" s="8" t="n">
        <v>19.75</v>
      </c>
    </row>
    <row r="53" ht="110" customHeight="1">
      <c r="A53" s="3" t="inlineStr">
        <is>
          <t>12583951</t>
        </is>
      </c>
      <c r="B53" s="3" t="inlineStr">
        <is>
          <t>06-04-2026</t>
        </is>
      </c>
      <c r="C53" s="3" t="inlineStr">
        <is>
          <t>Blau</t>
        </is>
      </c>
      <c r="D53" s="3" t="inlineStr">
        <is>
          <t>177175</t>
        </is>
      </c>
      <c r="E53" s="4" t="inlineStr">
        <is>
          <t>RS Explorer EXT</t>
        </is>
      </c>
      <c r="F53" s="4" t="inlineStr">
        <is>
          <t>Ecuador</t>
        </is>
      </c>
      <c r="G53" s="4" t="inlineStr">
        <is>
          <t>COLOR Rojo · ALTURA 60 cm · BOTÓN MINIMO 6 cm</t>
        </is>
      </c>
      <c r="H53" s="3" t="inlineStr"/>
      <c r="I53" s="3" t="n">
        <v>25</v>
      </c>
      <c r="J53" s="3" t="inlineStr">
        <is>
          <t>25 шт.</t>
        </is>
      </c>
      <c r="K53" s="4">
        <f>IMAGE("https://cdn.verdnatura.es/image/catalog/1600x900/177175")</f>
        <v/>
      </c>
      <c r="L53" s="5" t="n"/>
      <c r="M53" s="6" t="n"/>
      <c r="N53" s="7" t="n"/>
      <c r="O53" s="8" t="n">
        <v>0.74</v>
      </c>
      <c r="P53" s="8" t="n">
        <v>18.5</v>
      </c>
    </row>
    <row r="54" ht="110" customHeight="1">
      <c r="A54" s="3" t="inlineStr">
        <is>
          <t>12583951</t>
        </is>
      </c>
      <c r="B54" s="3" t="inlineStr">
        <is>
          <t>06-04-2026</t>
        </is>
      </c>
      <c r="C54" s="3" t="inlineStr">
        <is>
          <t>Blau</t>
        </is>
      </c>
      <c r="D54" s="3" t="inlineStr">
        <is>
          <t>137268</t>
        </is>
      </c>
      <c r="E54" s="4" t="inlineStr">
        <is>
          <t>RS Mondial EXT</t>
        </is>
      </c>
      <c r="F54" s="4" t="inlineStr">
        <is>
          <t>Santa Dorotea</t>
        </is>
      </c>
      <c r="G54" s="4" t="inlineStr">
        <is>
          <t>COLOR Blanco · ALTURA 60 cm · BOTÓN MINIMO 6 cm</t>
        </is>
      </c>
      <c r="H54" s="3" t="inlineStr"/>
      <c r="I54" s="3" t="n">
        <v>25</v>
      </c>
      <c r="J54" s="3" t="inlineStr">
        <is>
          <t>25 шт.</t>
        </is>
      </c>
      <c r="K54" s="4">
        <f>IMAGE("https://cdn.verdnatura.es/image/catalog/1600x900/137268")</f>
        <v/>
      </c>
      <c r="L54" s="5" t="n"/>
      <c r="M54" s="6" t="n"/>
      <c r="N54" s="7" t="n"/>
      <c r="O54" s="8" t="n">
        <v>0.6</v>
      </c>
      <c r="P54" s="8" t="n">
        <v>15</v>
      </c>
    </row>
    <row r="55" ht="110" customHeight="1">
      <c r="A55" s="3" t="inlineStr">
        <is>
          <t>12583951</t>
        </is>
      </c>
      <c r="B55" s="3" t="inlineStr">
        <is>
          <t>06-04-2026</t>
        </is>
      </c>
      <c r="C55" s="3" t="inlineStr">
        <is>
          <t>Blau</t>
        </is>
      </c>
      <c r="D55" s="3" t="inlineStr">
        <is>
          <t>138637</t>
        </is>
      </c>
      <c r="E55" s="4" t="inlineStr">
        <is>
          <t>RS Red Panther SEL</t>
        </is>
      </c>
      <c r="F55" s="4" t="inlineStr">
        <is>
          <t>Milagro</t>
        </is>
      </c>
      <c r="G55" s="4" t="inlineStr">
        <is>
          <t>COLOR Rojo/Rosa · ALTURA 60 cm · BOTÓN MINIMO 6 cm</t>
        </is>
      </c>
      <c r="H55" s="3" t="inlineStr"/>
      <c r="I55" s="3" t="n">
        <v>25</v>
      </c>
      <c r="J55" s="3" t="inlineStr">
        <is>
          <t>25 шт.</t>
        </is>
      </c>
      <c r="K55" s="4">
        <f>IMAGE("https://cdn.verdnatura.es/image/catalog/1600x900/138637")</f>
        <v/>
      </c>
      <c r="L55" s="5" t="n"/>
      <c r="M55" s="6" t="n"/>
      <c r="N55" s="7" t="n"/>
      <c r="O55" s="8" t="n">
        <v>0.8100000000000001</v>
      </c>
      <c r="P55" s="8" t="n">
        <v>20.25</v>
      </c>
    </row>
    <row r="56" ht="110" customHeight="1">
      <c r="A56" s="3" t="inlineStr">
        <is>
          <t>12583951</t>
        </is>
      </c>
      <c r="B56" s="3" t="inlineStr">
        <is>
          <t>06-04-2026</t>
        </is>
      </c>
      <c r="C56" s="3" t="inlineStr">
        <is>
          <t>Blau</t>
        </is>
      </c>
      <c r="D56" s="3" t="inlineStr">
        <is>
          <t>138194</t>
        </is>
      </c>
      <c r="E56" s="4" t="inlineStr">
        <is>
          <t>RSR Blue Moon</t>
        </is>
      </c>
      <c r="F56" s="4" t="inlineStr">
        <is>
          <t>Minar Roses</t>
        </is>
      </c>
      <c r="G56" s="4" t="inlineStr">
        <is>
          <t>COLOR Lavanda · ALTURA 50 cm · TAMAÑO BOTON Mediano</t>
        </is>
      </c>
      <c r="H56" s="3" t="inlineStr"/>
      <c r="I56" s="3" t="n">
        <v>40</v>
      </c>
      <c r="J56" s="3" t="inlineStr">
        <is>
          <t>40 шт.</t>
        </is>
      </c>
      <c r="K56" s="4">
        <f>IMAGE("https://cdn.verdnatura.es/image/catalog/1600x900/138194")</f>
        <v/>
      </c>
      <c r="L56" s="5" t="n"/>
      <c r="M56" s="6" t="n"/>
      <c r="N56" s="7" t="n"/>
      <c r="O56" s="8" t="n">
        <v>0.53</v>
      </c>
      <c r="P56" s="8" t="n">
        <v>21.2</v>
      </c>
    </row>
    <row r="57" ht="110" customHeight="1">
      <c r="A57" s="3" t="inlineStr">
        <is>
          <t>12583951</t>
        </is>
      </c>
      <c r="B57" s="3" t="inlineStr">
        <is>
          <t>06-04-2026</t>
        </is>
      </c>
      <c r="C57" s="3" t="inlineStr">
        <is>
          <t>Blau</t>
        </is>
      </c>
      <c r="D57" s="3" t="inlineStr">
        <is>
          <t>141463</t>
        </is>
      </c>
      <c r="E57" s="4" t="inlineStr">
        <is>
          <t>RSR Hot Magenta Jewel</t>
        </is>
      </c>
      <c r="F57" s="4" t="inlineStr">
        <is>
          <t>Santa Dorotea</t>
        </is>
      </c>
      <c r="G57" s="4" t="inlineStr">
        <is>
          <t>COLOR Fucsia · ALTURA 50 cm</t>
        </is>
      </c>
      <c r="H57" s="3" t="inlineStr"/>
      <c r="I57" s="3" t="n">
        <v>30</v>
      </c>
      <c r="J57" s="3" t="inlineStr">
        <is>
          <t>30 шт.</t>
        </is>
      </c>
      <c r="K57" s="4">
        <f>IMAGE("https://cdn.verdnatura.es/image/catalog/1600x900/141463")</f>
        <v/>
      </c>
      <c r="L57" s="5" t="n"/>
      <c r="M57" s="6" t="n"/>
      <c r="N57" s="7" t="n"/>
      <c r="O57" s="8" t="n">
        <v>0.71</v>
      </c>
      <c r="P57" s="8" t="n">
        <v>21.3</v>
      </c>
    </row>
    <row r="58" ht="110" customHeight="1">
      <c r="A58" s="3" t="inlineStr">
        <is>
          <t>12583951</t>
        </is>
      </c>
      <c r="B58" s="3" t="inlineStr">
        <is>
          <t>06-04-2026</t>
        </is>
      </c>
      <c r="C58" s="3" t="inlineStr">
        <is>
          <t>Blau</t>
        </is>
      </c>
      <c r="D58" s="3" t="inlineStr">
        <is>
          <t>126905</t>
        </is>
      </c>
      <c r="E58" s="4" t="inlineStr">
        <is>
          <t>Solidago Tara</t>
        </is>
      </c>
      <c r="F58" s="4" t="inlineStr">
        <is>
          <t>Jordan</t>
        </is>
      </c>
      <c r="G58" s="4" t="inlineStr">
        <is>
          <t>COLOR Amarillo · ALTURA 70 cm · PESO/TALLO 25 gr</t>
        </is>
      </c>
      <c r="H58" s="3" t="inlineStr"/>
      <c r="I58" s="3" t="n">
        <v>50</v>
      </c>
      <c r="J58" s="3" t="inlineStr">
        <is>
          <t>50 шт.</t>
        </is>
      </c>
      <c r="K58" s="4">
        <f>IMAGE("https://cdn.verdnatura.es/image/catalog/1600x900/126905")</f>
        <v/>
      </c>
      <c r="L58" s="5" t="n"/>
      <c r="M58" s="6" t="n"/>
      <c r="N58" s="7" t="n"/>
      <c r="O58" s="8" t="n">
        <v>0.22</v>
      </c>
      <c r="P58" s="8" t="n">
        <v>11</v>
      </c>
    </row>
  </sheetData>
  <mergeCells count="3">
    <mergeCell ref="A33:P33"/>
    <mergeCell ref="A31:P31"/>
    <mergeCell ref="A2:P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2026-06-22T21:39:01Z</dcterms:created>
  <dcterms:modified xmlns:dcterms="http://purl.org/dc/terms/" xmlns:xsi="http://www.w3.org/2001/XMLSchema-instance" xsi:type="dcterms:W3CDTF">2026-06-22T21:39:01Z</dcterms:modified>
</cp:coreProperties>
</file>