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ria" sheetId="1" state="visible" r:id="rId1"/>
  </sheets>
  <definedNames>
    <definedName name="_xlnm._FilterDatabase" localSheetId="0" hidden="1">'Gloria'!$A$1:$P$1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 €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6B4423"/>
      <sz val="12"/>
    </font>
  </fonts>
  <fills count="5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FE4B5"/>
        <bgColor rgb="00FFE4B5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9" customWidth="1" min="3" max="3"/>
    <col width="9" customWidth="1" min="4" max="4"/>
    <col width="30" customWidth="1" min="5" max="5"/>
    <col width="20" customWidth="1" min="6" max="6"/>
    <col width="30" customWidth="1" min="7" max="7"/>
    <col width="11" customWidth="1" min="8" max="8"/>
    <col width="10" customWidth="1" min="9" max="9"/>
    <col width="18" customWidth="1" min="10" max="10"/>
    <col width="22" customWidth="1" min="11" max="11"/>
    <col width="11" customWidth="1" min="12" max="12"/>
    <col width="11" customWidth="1" min="13" max="13"/>
    <col width="24" customWidth="1" min="14" max="14"/>
    <col width="9" customWidth="1" min="15" max="15"/>
    <col width="10" customWidth="1" min="16" max="16"/>
  </cols>
  <sheetData>
    <row r="1" ht="36" customHeight="1">
      <c r="A1" s="1" t="inlineStr">
        <is>
          <t>№ накладной</t>
        </is>
      </c>
      <c r="B1" s="1" t="inlineStr">
        <is>
          <t>Дата</t>
        </is>
      </c>
      <c r="C1" s="1" t="inlineStr">
        <is>
          <t>Магазин</t>
        </is>
      </c>
      <c r="D1" s="1" t="inlineStr">
        <is>
          <t>Codigo</t>
        </is>
      </c>
      <c r="E1" s="1" t="inlineStr">
        <is>
          <t>Concepto</t>
        </is>
      </c>
      <c r="F1" s="1" t="inlineStr">
        <is>
          <t>Productor</t>
        </is>
      </c>
      <c r="G1" s="1" t="inlineStr">
        <is>
          <t>Атрибуты</t>
        </is>
      </c>
      <c r="H1" s="1" t="inlineStr">
        <is>
          <t>UD. VENTA</t>
        </is>
      </c>
      <c r="I1" s="1" t="inlineStr">
        <is>
          <t>Заявлено</t>
        </is>
      </c>
      <c r="J1" s="1" t="inlineStr">
        <is>
          <t>Подсказка</t>
        </is>
      </c>
      <c r="K1" s="1" t="inlineStr">
        <is>
          <t>Фото</t>
        </is>
      </c>
      <c r="L1" s="1" t="inlineStr">
        <is>
          <t>Принято
пачек</t>
        </is>
      </c>
      <c r="M1" s="1" t="inlineStr">
        <is>
          <t>Принято
штук</t>
        </is>
      </c>
      <c r="N1" s="1" t="inlineStr">
        <is>
          <t>Комментарий
флориста</t>
        </is>
      </c>
      <c r="O1" s="1" t="inlineStr">
        <is>
          <t>PVP/u, €</t>
        </is>
      </c>
      <c r="P1" s="1" t="inlineStr">
        <is>
          <t>Importe, €</t>
        </is>
      </c>
    </row>
    <row r="2" ht="26" customHeight="1">
      <c r="A2" s="2" t="inlineStr">
        <is>
          <t>📦  Накладная #12704396  ·  27-04-2026  ·  Gloria  ·  4 позиций  ·  bultos: 4</t>
        </is>
      </c>
    </row>
    <row r="3" ht="110" customHeight="1">
      <c r="A3" s="3" t="inlineStr">
        <is>
          <t>12704396</t>
        </is>
      </c>
      <c r="B3" s="3" t="inlineStr">
        <is>
          <t>27-04-2026</t>
        </is>
      </c>
      <c r="C3" s="3" t="inlineStr">
        <is>
          <t>Gloria</t>
        </is>
      </c>
      <c r="D3" s="3" t="inlineStr">
        <is>
          <t>6088</t>
        </is>
      </c>
      <c r="E3" s="4" t="inlineStr">
        <is>
          <t>Arcilla</t>
        </is>
      </c>
      <c r="F3" s="4" t="inlineStr">
        <is>
          <t>Flower</t>
        </is>
      </c>
      <c r="G3" s="4" t="inlineStr">
        <is>
          <t>COLOR Naranja · CONTENIDO 6 L</t>
        </is>
      </c>
      <c r="H3" s="3" t="inlineStr"/>
      <c r="I3" s="3" t="n">
        <v>2</v>
      </c>
      <c r="J3" s="3" t="inlineStr">
        <is>
          <t>2 шт.</t>
        </is>
      </c>
      <c r="K3" s="4">
        <f>IMAGE("https://cdn.verdnatura.es/image/catalog/1600x900/6088")</f>
        <v/>
      </c>
      <c r="L3" s="5" t="n"/>
      <c r="M3" s="5" t="n"/>
      <c r="N3" s="6" t="n"/>
      <c r="O3" s="7" t="n">
        <v>4.89</v>
      </c>
      <c r="P3" s="7" t="n">
        <v>9.779999999999999</v>
      </c>
    </row>
    <row r="4" ht="110" customHeight="1">
      <c r="A4" s="3" t="inlineStr">
        <is>
          <t>12704396</t>
        </is>
      </c>
      <c r="B4" s="3" t="inlineStr">
        <is>
          <t>27-04-2026</t>
        </is>
      </c>
      <c r="C4" s="3" t="inlineStr">
        <is>
          <t>Gloria</t>
        </is>
      </c>
      <c r="D4" s="3" t="inlineStr">
        <is>
          <t>31551</t>
        </is>
      </c>
      <c r="E4" s="4" t="inlineStr">
        <is>
          <t>Corteza Pino</t>
        </is>
      </c>
      <c r="F4" s="4" t="inlineStr">
        <is>
          <t>Flower</t>
        </is>
      </c>
      <c r="G4" s="4" t="inlineStr">
        <is>
          <t>COLOR Naranja · CONTENIDO 50 L</t>
        </is>
      </c>
      <c r="H4" s="3" t="inlineStr"/>
      <c r="I4" s="3" t="n">
        <v>1</v>
      </c>
      <c r="J4" s="3" t="inlineStr">
        <is>
          <t>1 шт.</t>
        </is>
      </c>
      <c r="K4" s="4">
        <f>IMAGE("https://cdn.verdnatura.es/image/catalog/1600x900/31551")</f>
        <v/>
      </c>
      <c r="L4" s="5" t="n"/>
      <c r="M4" s="5" t="n"/>
      <c r="N4" s="6" t="n"/>
      <c r="O4" s="7" t="n">
        <v>10.62</v>
      </c>
      <c r="P4" s="7" t="n">
        <v>10.62</v>
      </c>
    </row>
    <row r="5" ht="110" customHeight="1">
      <c r="A5" s="3" t="inlineStr">
        <is>
          <t>12704396</t>
        </is>
      </c>
      <c r="B5" s="3" t="inlineStr">
        <is>
          <t>27-04-2026</t>
        </is>
      </c>
      <c r="C5" s="3" t="inlineStr">
        <is>
          <t>Gloria</t>
        </is>
      </c>
      <c r="D5" s="3" t="inlineStr">
        <is>
          <t>140596</t>
        </is>
      </c>
      <c r="E5" s="4" t="inlineStr">
        <is>
          <t>PHAL 1T Eleg Cascade Asian Cor</t>
        </is>
      </c>
      <c r="F5" s="4" t="inlineStr">
        <is>
          <t>T &amp; L Variety Plants BV</t>
        </is>
      </c>
      <c r="G5" s="4" t="inlineStr">
        <is>
          <t>COLOR Naranja · ALTURA 45 cm · MACETA 12</t>
        </is>
      </c>
      <c r="H5" s="3" t="inlineStr"/>
      <c r="I5" s="3" t="n">
        <v>2</v>
      </c>
      <c r="J5" s="3" t="inlineStr">
        <is>
          <t>2 шт.</t>
        </is>
      </c>
      <c r="K5" s="4">
        <f>IMAGE("https://cdn.verdnatura.es/image/catalog/1600x900/140596")</f>
        <v/>
      </c>
      <c r="L5" s="5" t="n"/>
      <c r="M5" s="5" t="n"/>
      <c r="N5" s="6" t="n"/>
      <c r="O5" s="7" t="n">
        <v>6.68</v>
      </c>
      <c r="P5" s="7" t="n">
        <v>13.36</v>
      </c>
    </row>
    <row r="6" ht="110" customHeight="1">
      <c r="A6" s="3" t="inlineStr">
        <is>
          <t>12704396</t>
        </is>
      </c>
      <c r="B6" s="3" t="inlineStr">
        <is>
          <t>27-04-2026</t>
        </is>
      </c>
      <c r="C6" s="3" t="inlineStr">
        <is>
          <t>Gloria</t>
        </is>
      </c>
      <c r="D6" s="3" t="inlineStr">
        <is>
          <t>97414</t>
        </is>
      </c>
      <c r="E6" s="4" t="inlineStr">
        <is>
          <t>Sustrato 40L</t>
        </is>
      </c>
      <c r="F6" s="4" t="inlineStr">
        <is>
          <t>Flower</t>
        </is>
      </c>
      <c r="G6" s="4" t="inlineStr">
        <is>
          <t>COLOR Verde Pistacho · CONTENIDO 40 L</t>
        </is>
      </c>
      <c r="H6" s="3" t="inlineStr"/>
      <c r="I6" s="3" t="n">
        <v>1</v>
      </c>
      <c r="J6" s="3" t="inlineStr">
        <is>
          <t>1 шт.</t>
        </is>
      </c>
      <c r="K6" s="4">
        <f>IMAGE("https://cdn.verdnatura.es/image/catalog/1600x900/97414")</f>
        <v/>
      </c>
      <c r="L6" s="5" t="n"/>
      <c r="M6" s="5" t="n"/>
      <c r="N6" s="6" t="n"/>
      <c r="O6" s="7" t="n">
        <v>10.25</v>
      </c>
      <c r="P6" s="7" t="n">
        <v>10.25</v>
      </c>
    </row>
    <row r="7" ht="26" customHeight="1">
      <c r="A7" s="2" t="inlineStr">
        <is>
          <t>📦  Накладная #12704549  ·  27-04-2026  ·  Gloria  ·  27 позиций  ·  bultos: 3</t>
        </is>
      </c>
    </row>
    <row r="8" ht="110" customHeight="1">
      <c r="A8" s="3" t="inlineStr">
        <is>
          <t>12704549</t>
        </is>
      </c>
      <c r="B8" s="3" t="inlineStr">
        <is>
          <t>27-04-2026</t>
        </is>
      </c>
      <c r="C8" s="3" t="inlineStr">
        <is>
          <t>Gloria</t>
        </is>
      </c>
      <c r="D8" s="3" t="inlineStr">
        <is>
          <t>179204</t>
        </is>
      </c>
      <c r="E8" s="4" t="inlineStr">
        <is>
          <t>+ Peonia Odile</t>
        </is>
      </c>
      <c r="F8" s="4" t="inlineStr">
        <is>
          <t>My-Peony</t>
        </is>
      </c>
      <c r="G8" s="4" t="inlineStr">
        <is>
          <t>COLOR Crema · ALTURA 50 cm · APERTURA 2-3</t>
        </is>
      </c>
      <c r="H8" s="3" t="inlineStr"/>
      <c r="I8" s="3" t="n">
        <v>60</v>
      </c>
      <c r="J8" s="3" t="inlineStr">
        <is>
          <t>60</t>
        </is>
      </c>
      <c r="K8" s="4">
        <f>IMAGE("https://cdn.verdnatura.es/image/catalog/1600x900/179204")</f>
        <v/>
      </c>
      <c r="L8" s="5" t="n"/>
      <c r="M8" s="5" t="n"/>
      <c r="N8" s="6" t="n"/>
      <c r="O8" s="7" t="n">
        <v>1.56</v>
      </c>
      <c r="P8" s="7" t="n">
        <v>93.59999999999999</v>
      </c>
    </row>
    <row r="9" ht="110" customHeight="1">
      <c r="A9" s="3" t="inlineStr">
        <is>
          <t>12704549</t>
        </is>
      </c>
      <c r="B9" s="3" t="inlineStr">
        <is>
          <t>27-04-2026</t>
        </is>
      </c>
      <c r="C9" s="3" t="inlineStr">
        <is>
          <t>Gloria</t>
        </is>
      </c>
      <c r="D9" s="3" t="inlineStr">
        <is>
          <t>149147</t>
        </is>
      </c>
      <c r="E9" s="4" t="inlineStr">
        <is>
          <t>ANT Royal x20</t>
        </is>
      </c>
      <c r="F9" s="4" t="inlineStr"/>
      <c r="G9" s="4" t="inlineStr">
        <is>
          <t>COLOR Rosa Claro · ALTURA 35-45 cm · DIAMETRO 8-10 cm</t>
        </is>
      </c>
      <c r="H9" s="3" t="inlineStr"/>
      <c r="I9" s="3" t="n">
        <v>20</v>
      </c>
      <c r="J9" s="3" t="inlineStr">
        <is>
          <t>20 связок · ×20 в связке</t>
        </is>
      </c>
      <c r="K9" s="4">
        <f>IMAGE("https://cdn.verdnatura.es/image/catalog/1600x900/149147")</f>
        <v/>
      </c>
      <c r="L9" s="5" t="n"/>
      <c r="M9" s="5" t="n"/>
      <c r="N9" s="6" t="n"/>
      <c r="O9" s="7" t="n">
        <v>1.25</v>
      </c>
      <c r="P9" s="7" t="n">
        <v>25</v>
      </c>
    </row>
    <row r="10" ht="110" customHeight="1">
      <c r="A10" s="3" t="inlineStr">
        <is>
          <t>12704549</t>
        </is>
      </c>
      <c r="B10" s="3" t="inlineStr">
        <is>
          <t>27-04-2026</t>
        </is>
      </c>
      <c r="C10" s="3" t="inlineStr">
        <is>
          <t>Gloria</t>
        </is>
      </c>
      <c r="D10" s="3" t="inlineStr">
        <is>
          <t>25514</t>
        </is>
      </c>
      <c r="E10" s="4" t="inlineStr">
        <is>
          <t>Antirrinum Fucsia</t>
        </is>
      </c>
      <c r="F10" s="4" t="inlineStr"/>
      <c r="G10" s="4" t="inlineStr">
        <is>
          <t>COLOR Fucsia · ALTURA 70 cm</t>
        </is>
      </c>
      <c r="H10" s="3" t="inlineStr"/>
      <c r="I10" s="3" t="n">
        <v>30</v>
      </c>
      <c r="J10" s="3" t="inlineStr">
        <is>
          <t>30</t>
        </is>
      </c>
      <c r="K10" s="4">
        <f>IMAGE("https://cdn.verdnatura.es/image/catalog/1600x900/25514")</f>
        <v/>
      </c>
      <c r="L10" s="5" t="n"/>
      <c r="M10" s="5" t="n"/>
      <c r="N10" s="6" t="n"/>
      <c r="O10" s="7" t="n">
        <v>0.22</v>
      </c>
      <c r="P10" s="7" t="n">
        <v>6.6</v>
      </c>
    </row>
    <row r="11" ht="110" customHeight="1">
      <c r="A11" s="3" t="inlineStr">
        <is>
          <t>12704549</t>
        </is>
      </c>
      <c r="B11" s="3" t="inlineStr">
        <is>
          <t>27-04-2026</t>
        </is>
      </c>
      <c r="C11" s="3" t="inlineStr">
        <is>
          <t>Gloria</t>
        </is>
      </c>
      <c r="D11" s="3" t="inlineStr">
        <is>
          <t>9752</t>
        </is>
      </c>
      <c r="E11" s="4" t="inlineStr">
        <is>
          <t>Antirrinum Naranja</t>
        </is>
      </c>
      <c r="F11" s="4" t="inlineStr"/>
      <c r="G11" s="4" t="inlineStr">
        <is>
          <t>COLOR Naranja · ALTURA 75 cm</t>
        </is>
      </c>
      <c r="H11" s="3" t="inlineStr"/>
      <c r="I11" s="3" t="n">
        <v>30</v>
      </c>
      <c r="J11" s="3" t="inlineStr">
        <is>
          <t>30</t>
        </is>
      </c>
      <c r="K11" s="4">
        <f>IMAGE("https://cdn.verdnatura.es/image/catalog/1600x900/9752")</f>
        <v/>
      </c>
      <c r="L11" s="5" t="n"/>
      <c r="M11" s="5" t="n"/>
      <c r="N11" s="6" t="n"/>
      <c r="O11" s="7" t="n">
        <v>0.24</v>
      </c>
      <c r="P11" s="7" t="n">
        <v>7.2</v>
      </c>
    </row>
    <row r="12" ht="110" customHeight="1">
      <c r="A12" s="3" t="inlineStr">
        <is>
          <t>12704549</t>
        </is>
      </c>
      <c r="B12" s="3" t="inlineStr">
        <is>
          <t>27-04-2026</t>
        </is>
      </c>
      <c r="C12" s="3" t="inlineStr">
        <is>
          <t>Gloria</t>
        </is>
      </c>
      <c r="D12" s="3" t="inlineStr">
        <is>
          <t>36202</t>
        </is>
      </c>
      <c r="E12" s="4" t="inlineStr">
        <is>
          <t>Antirrinum Rosa</t>
        </is>
      </c>
      <c r="F12" s="4" t="inlineStr"/>
      <c r="G12" s="4" t="inlineStr">
        <is>
          <t>COLOR Rosa · ALTURA 70 cm</t>
        </is>
      </c>
      <c r="H12" s="3" t="inlineStr"/>
      <c r="I12" s="3" t="n">
        <v>30</v>
      </c>
      <c r="J12" s="3" t="inlineStr">
        <is>
          <t>30</t>
        </is>
      </c>
      <c r="K12" s="4">
        <f>IMAGE("https://cdn.verdnatura.es/image/catalog/1600x900/36202")</f>
        <v/>
      </c>
      <c r="L12" s="5" t="n"/>
      <c r="M12" s="5" t="n"/>
      <c r="N12" s="6" t="n"/>
      <c r="O12" s="7" t="n">
        <v>0.22</v>
      </c>
      <c r="P12" s="7" t="n">
        <v>6.6</v>
      </c>
    </row>
    <row r="13" ht="110" customHeight="1">
      <c r="A13" s="3" t="inlineStr">
        <is>
          <t>12704549</t>
        </is>
      </c>
      <c r="B13" s="3" t="inlineStr">
        <is>
          <t>27-04-2026</t>
        </is>
      </c>
      <c r="C13" s="3" t="inlineStr">
        <is>
          <t>Gloria</t>
        </is>
      </c>
      <c r="D13" s="3" t="inlineStr">
        <is>
          <t>12581</t>
        </is>
      </c>
      <c r="E13" s="4" t="inlineStr">
        <is>
          <t>CR Korona 70 gr</t>
        </is>
      </c>
      <c r="F13" s="4" t="inlineStr">
        <is>
          <t>Zentoo</t>
        </is>
      </c>
      <c r="G13" s="4" t="inlineStr">
        <is>
          <t>COLOR Amarillo · ALTURA 70 cm</t>
        </is>
      </c>
      <c r="H13" s="3" t="inlineStr"/>
      <c r="I13" s="3" t="n">
        <v>20</v>
      </c>
      <c r="J13" s="3" t="inlineStr">
        <is>
          <t>20</t>
        </is>
      </c>
      <c r="K13" s="4">
        <f>IMAGE("https://cdn.verdnatura.es/image/catalog/1600x900/12581")</f>
        <v/>
      </c>
      <c r="L13" s="5" t="n"/>
      <c r="M13" s="5" t="n"/>
      <c r="N13" s="6" t="n"/>
      <c r="O13" s="7" t="n">
        <v>0.54</v>
      </c>
      <c r="P13" s="7" t="n">
        <v>10.8</v>
      </c>
    </row>
    <row r="14" ht="110" customHeight="1">
      <c r="A14" s="3" t="inlineStr">
        <is>
          <t>12704549</t>
        </is>
      </c>
      <c r="B14" s="3" t="inlineStr">
        <is>
          <t>27-04-2026</t>
        </is>
      </c>
      <c r="C14" s="3" t="inlineStr">
        <is>
          <t>Gloria</t>
        </is>
      </c>
      <c r="D14" s="3" t="inlineStr">
        <is>
          <t>188861</t>
        </is>
      </c>
      <c r="E14" s="4" t="inlineStr">
        <is>
          <t>CRU Antonov Casis 100 gr</t>
        </is>
      </c>
      <c r="F14" s="4" t="inlineStr">
        <is>
          <t>Jimmy Colors BV</t>
        </is>
      </c>
      <c r="G14" s="4" t="inlineStr">
        <is>
          <t>COLOR Cereza · ALTURA 70 cm · PESO/TALLO 100 gr</t>
        </is>
      </c>
      <c r="H14" s="3" t="inlineStr"/>
      <c r="I14" s="3" t="n">
        <v>20</v>
      </c>
      <c r="J14" s="3" t="inlineStr">
        <is>
          <t>20</t>
        </is>
      </c>
      <c r="K14" s="4">
        <f>IMAGE("https://cdn.verdnatura.es/image/catalog/1600x900/188861")</f>
        <v/>
      </c>
      <c r="L14" s="5" t="n"/>
      <c r="M14" s="5" t="n"/>
      <c r="N14" s="6" t="n"/>
      <c r="O14" s="7" t="n">
        <v>1.1</v>
      </c>
      <c r="P14" s="7" t="n">
        <v>22</v>
      </c>
    </row>
    <row r="15" ht="110" customHeight="1">
      <c r="A15" s="3" t="inlineStr">
        <is>
          <t>12704549</t>
        </is>
      </c>
      <c r="B15" s="3" t="inlineStr">
        <is>
          <t>27-04-2026</t>
        </is>
      </c>
      <c r="C15" s="3" t="inlineStr">
        <is>
          <t>Gloria</t>
        </is>
      </c>
      <c r="D15" s="3" t="inlineStr">
        <is>
          <t>200793</t>
        </is>
      </c>
      <c r="E15" s="4" t="inlineStr">
        <is>
          <t>CYMB Mini Golden Boy</t>
        </is>
      </c>
      <c r="F15" s="4" t="inlineStr"/>
      <c r="G15" s="4" t="inlineStr">
        <is>
          <t>COLOR Amarillo · ALTURA 40 cm</t>
        </is>
      </c>
      <c r="H15" s="3" t="inlineStr"/>
      <c r="I15" s="3" t="n">
        <v>6</v>
      </c>
      <c r="J15" s="3" t="inlineStr">
        <is>
          <t>6</t>
        </is>
      </c>
      <c r="K15" s="4">
        <f>IMAGE("https://cdn.verdnatura.es/image/catalog/1600x900/200793")</f>
        <v/>
      </c>
      <c r="L15" s="5" t="n"/>
      <c r="M15" s="5" t="n"/>
      <c r="N15" s="6" t="n"/>
      <c r="O15" s="7" t="n">
        <v>2.4</v>
      </c>
      <c r="P15" s="7" t="n">
        <v>14.4</v>
      </c>
    </row>
    <row r="16" ht="110" customHeight="1">
      <c r="A16" s="3" t="inlineStr">
        <is>
          <t>12704549</t>
        </is>
      </c>
      <c r="B16" s="3" t="inlineStr">
        <is>
          <t>27-04-2026</t>
        </is>
      </c>
      <c r="C16" s="3" t="inlineStr">
        <is>
          <t>Gloria</t>
        </is>
      </c>
      <c r="D16" s="3" t="inlineStr">
        <is>
          <t>60526</t>
        </is>
      </c>
      <c r="E16" s="4" t="inlineStr">
        <is>
          <t>DELPH Ballkleid</t>
        </is>
      </c>
      <c r="F16" s="4" t="inlineStr"/>
      <c r="G16" s="4" t="inlineStr">
        <is>
          <t>COLOR Azul Claro · ALTURA 60 cm</t>
        </is>
      </c>
      <c r="H16" s="3" t="inlineStr"/>
      <c r="I16" s="3" t="n">
        <v>50</v>
      </c>
      <c r="J16" s="3" t="inlineStr">
        <is>
          <t>50</t>
        </is>
      </c>
      <c r="K16" s="4">
        <f>IMAGE("https://cdn.verdnatura.es/image/catalog/1600x900/60526")</f>
        <v/>
      </c>
      <c r="L16" s="5" t="n"/>
      <c r="M16" s="5" t="n"/>
      <c r="N16" s="6" t="n"/>
      <c r="O16" s="7" t="n">
        <v>0.43</v>
      </c>
      <c r="P16" s="7" t="n">
        <v>21.5</v>
      </c>
    </row>
    <row r="17" ht="110" customHeight="1">
      <c r="A17" s="3" t="inlineStr">
        <is>
          <t>12704549</t>
        </is>
      </c>
      <c r="B17" s="3" t="inlineStr">
        <is>
          <t>27-04-2026</t>
        </is>
      </c>
      <c r="C17" s="3" t="inlineStr">
        <is>
          <t>Gloria</t>
        </is>
      </c>
      <c r="D17" s="3" t="inlineStr">
        <is>
          <t>114770</t>
        </is>
      </c>
      <c r="E17" s="4" t="inlineStr">
        <is>
          <t>EUC Cinerea 300 gr</t>
        </is>
      </c>
      <c r="F17" s="4" t="inlineStr"/>
      <c r="G17" s="4" t="inlineStr">
        <is>
          <t>COLOR Lividum · ALTURA 70 cm</t>
        </is>
      </c>
      <c r="H17" s="3" t="inlineStr">
        <is>
          <t>Paquete</t>
        </is>
      </c>
      <c r="I17" s="3" t="n">
        <v>5</v>
      </c>
      <c r="J17" s="3" t="inlineStr">
        <is>
          <t>5 пачек</t>
        </is>
      </c>
      <c r="K17" s="4">
        <f>IMAGE("https://cdn.verdnatura.es/image/catalog/1600x900/114770")</f>
        <v/>
      </c>
      <c r="L17" s="5" t="n"/>
      <c r="M17" s="5" t="n"/>
      <c r="N17" s="6" t="n"/>
      <c r="O17" s="7" t="n">
        <v>3.7</v>
      </c>
      <c r="P17" s="7" t="n">
        <v>18.5</v>
      </c>
    </row>
    <row r="18" ht="110" customHeight="1">
      <c r="A18" s="3" t="inlineStr">
        <is>
          <t>12704549</t>
        </is>
      </c>
      <c r="B18" s="3" t="inlineStr">
        <is>
          <t>27-04-2026</t>
        </is>
      </c>
      <c r="C18" s="3" t="inlineStr">
        <is>
          <t>Gloria</t>
        </is>
      </c>
      <c r="D18" s="3" t="inlineStr">
        <is>
          <t>110792</t>
        </is>
      </c>
      <c r="E18" s="4" t="inlineStr">
        <is>
          <t>EUC Parvifolia 300 gr</t>
        </is>
      </c>
      <c r="F18" s="4" t="inlineStr"/>
      <c r="G18" s="4" t="inlineStr">
        <is>
          <t>COLOR Verde · ALTURA 70 cm</t>
        </is>
      </c>
      <c r="H18" s="3" t="inlineStr">
        <is>
          <t>Paquete</t>
        </is>
      </c>
      <c r="I18" s="3" t="n">
        <v>3</v>
      </c>
      <c r="J18" s="3" t="inlineStr">
        <is>
          <t>3 пачек</t>
        </is>
      </c>
      <c r="K18" s="4">
        <f>IMAGE("https://cdn.verdnatura.es/image/catalog/1600x900/110792")</f>
        <v/>
      </c>
      <c r="L18" s="5" t="n"/>
      <c r="M18" s="5" t="n"/>
      <c r="N18" s="6" t="n"/>
      <c r="O18" s="7" t="n">
        <v>2.86</v>
      </c>
      <c r="P18" s="7" t="n">
        <v>8.58</v>
      </c>
    </row>
    <row r="19" ht="110" customHeight="1">
      <c r="A19" s="3" t="inlineStr">
        <is>
          <t>12704549</t>
        </is>
      </c>
      <c r="B19" s="3" t="inlineStr">
        <is>
          <t>27-04-2026</t>
        </is>
      </c>
      <c r="C19" s="3" t="inlineStr">
        <is>
          <t>Gloria</t>
        </is>
      </c>
      <c r="D19" s="3" t="inlineStr">
        <is>
          <t>188268</t>
        </is>
      </c>
      <c r="E19" s="4" t="inlineStr">
        <is>
          <t>EUC POP Pintado Fucsia 350 gr</t>
        </is>
      </c>
      <c r="F19" s="4" t="inlineStr">
        <is>
          <t>Triana</t>
        </is>
      </c>
      <c r="G19" s="4" t="inlineStr">
        <is>
          <t>ALTURA 65 cm · COLOR Fucsia</t>
        </is>
      </c>
      <c r="H19" s="3" t="inlineStr">
        <is>
          <t>Paquete</t>
        </is>
      </c>
      <c r="I19" s="3" t="n">
        <v>2</v>
      </c>
      <c r="J19" s="3" t="inlineStr">
        <is>
          <t>2 пачек</t>
        </is>
      </c>
      <c r="K19" s="4">
        <f>IMAGE("https://cdn.verdnatura.es/image/catalog/1600x900/188268")</f>
        <v/>
      </c>
      <c r="L19" s="5" t="n"/>
      <c r="M19" s="5" t="n"/>
      <c r="N19" s="6" t="n"/>
      <c r="O19" s="7" t="n">
        <v>4.56</v>
      </c>
      <c r="P19" s="7" t="n">
        <v>9.119999999999999</v>
      </c>
    </row>
    <row r="20" ht="110" customHeight="1">
      <c r="A20" s="3" t="inlineStr">
        <is>
          <t>12704549</t>
        </is>
      </c>
      <c r="B20" s="3" t="inlineStr">
        <is>
          <t>27-04-2026</t>
        </is>
      </c>
      <c r="C20" s="3" t="inlineStr">
        <is>
          <t>Gloria</t>
        </is>
      </c>
      <c r="D20" s="3" t="inlineStr">
        <is>
          <t>131802</t>
        </is>
      </c>
      <c r="E20" s="4" t="inlineStr">
        <is>
          <t>F Arroz Rosa</t>
        </is>
      </c>
      <c r="F20" s="4" t="inlineStr">
        <is>
          <t>SANREMO GREEN HOUSE</t>
        </is>
      </c>
      <c r="G20" s="4" t="inlineStr">
        <is>
          <t>COLOR Rosa Claro · ALTURA 65 cm</t>
        </is>
      </c>
      <c r="H20" s="3" t="inlineStr"/>
      <c r="I20" s="3" t="n">
        <v>5</v>
      </c>
      <c r="J20" s="3" t="inlineStr">
        <is>
          <t>5</t>
        </is>
      </c>
      <c r="K20" s="4">
        <f>IMAGE("https://cdn.verdnatura.es/image/catalog/1600x900/131802")</f>
        <v/>
      </c>
      <c r="L20" s="5" t="n"/>
      <c r="M20" s="5" t="n"/>
      <c r="N20" s="6" t="n"/>
      <c r="O20" s="7" t="n">
        <v>3.19</v>
      </c>
      <c r="P20" s="7" t="n">
        <v>15.95</v>
      </c>
    </row>
    <row r="21" ht="110" customHeight="1">
      <c r="A21" s="3" t="inlineStr">
        <is>
          <t>12704549</t>
        </is>
      </c>
      <c r="B21" s="3" t="inlineStr">
        <is>
          <t>27-04-2026</t>
        </is>
      </c>
      <c r="C21" s="3" t="inlineStr">
        <is>
          <t>Gloria</t>
        </is>
      </c>
      <c r="D21" s="3" t="inlineStr">
        <is>
          <t>182890</t>
        </is>
      </c>
      <c r="E21" s="4" t="inlineStr">
        <is>
          <t>HYD Dream Pink</t>
        </is>
      </c>
      <c r="F21" s="4" t="inlineStr"/>
      <c r="G21" s="4" t="inlineStr">
        <is>
          <t>COLOR Rosa · ALTURA 45 cm · DIAMETRO 16 cm</t>
        </is>
      </c>
      <c r="H21" s="3" t="inlineStr"/>
      <c r="I21" s="3" t="n">
        <v>10</v>
      </c>
      <c r="J21" s="3" t="inlineStr">
        <is>
          <t>10</t>
        </is>
      </c>
      <c r="K21" s="4">
        <f>IMAGE("https://cdn.verdnatura.es/image/catalog/1600x900/182890")</f>
        <v/>
      </c>
      <c r="L21" s="5" t="n"/>
      <c r="M21" s="5" t="n"/>
      <c r="N21" s="6" t="n"/>
      <c r="O21" s="7" t="n">
        <v>2.16</v>
      </c>
      <c r="P21" s="7" t="n">
        <v>21.6</v>
      </c>
    </row>
    <row r="22" ht="110" customHeight="1">
      <c r="A22" s="3" t="inlineStr">
        <is>
          <t>12704549</t>
        </is>
      </c>
      <c r="B22" s="3" t="inlineStr">
        <is>
          <t>27-04-2026</t>
        </is>
      </c>
      <c r="C22" s="3" t="inlineStr">
        <is>
          <t>Gloria</t>
        </is>
      </c>
      <c r="D22" s="3" t="inlineStr">
        <is>
          <t>182919</t>
        </is>
      </c>
      <c r="E22" s="4" t="inlineStr">
        <is>
          <t>HYD Elisa</t>
        </is>
      </c>
      <c r="F22" s="4" t="inlineStr"/>
      <c r="G22" s="4" t="inlineStr">
        <is>
          <t>COLOR Rosa · ALTURA 45 cm · DIAMETRO 16 cm</t>
        </is>
      </c>
      <c r="H22" s="3" t="inlineStr"/>
      <c r="I22" s="3" t="n">
        <v>10</v>
      </c>
      <c r="J22" s="3" t="inlineStr">
        <is>
          <t>10</t>
        </is>
      </c>
      <c r="K22" s="4">
        <f>IMAGE("https://cdn.verdnatura.es/image/catalog/1600x900/182919")</f>
        <v/>
      </c>
      <c r="L22" s="5" t="n"/>
      <c r="M22" s="5" t="n"/>
      <c r="N22" s="6" t="n"/>
      <c r="O22" s="7" t="n">
        <v>2.16</v>
      </c>
      <c r="P22" s="7" t="n">
        <v>21.6</v>
      </c>
    </row>
    <row r="23" ht="110" customHeight="1">
      <c r="A23" s="3" t="inlineStr">
        <is>
          <t>12704549</t>
        </is>
      </c>
      <c r="B23" s="3" t="inlineStr">
        <is>
          <t>27-04-2026</t>
        </is>
      </c>
      <c r="C23" s="3" t="inlineStr">
        <is>
          <t>Gloria</t>
        </is>
      </c>
      <c r="D23" s="3" t="inlineStr">
        <is>
          <t>87676</t>
        </is>
      </c>
      <c r="E23" s="4" t="inlineStr">
        <is>
          <t>LO Master (Premium) 4-5</t>
        </is>
      </c>
      <c r="F23" s="4" t="inlineStr">
        <is>
          <t>Bredefleur</t>
        </is>
      </c>
      <c r="G23" s="4" t="inlineStr">
        <is>
          <t>COLOR Rosa Claro · ALTURA 100 cm</t>
        </is>
      </c>
      <c r="H23" s="3" t="inlineStr"/>
      <c r="I23" s="3" t="n">
        <v>10</v>
      </c>
      <c r="J23" s="3" t="inlineStr">
        <is>
          <t>10</t>
        </is>
      </c>
      <c r="K23" s="4">
        <f>IMAGE("https://cdn.verdnatura.es/image/catalog/1600x900/87676")</f>
        <v/>
      </c>
      <c r="L23" s="5" t="n"/>
      <c r="M23" s="5" t="n"/>
      <c r="N23" s="6" t="n"/>
      <c r="O23" s="7" t="n">
        <v>2.44</v>
      </c>
      <c r="P23" s="7" t="n">
        <v>24.4</v>
      </c>
    </row>
    <row r="24" ht="110" customHeight="1">
      <c r="A24" s="3" t="inlineStr">
        <is>
          <t>12704549</t>
        </is>
      </c>
      <c r="B24" s="3" t="inlineStr">
        <is>
          <t>27-04-2026</t>
        </is>
      </c>
      <c r="C24" s="3" t="inlineStr">
        <is>
          <t>Gloria</t>
        </is>
      </c>
      <c r="D24" s="3" t="inlineStr">
        <is>
          <t>172341</t>
        </is>
      </c>
      <c r="E24" s="4" t="inlineStr">
        <is>
          <t>Myrica Gale</t>
        </is>
      </c>
      <c r="F24" s="4" t="inlineStr">
        <is>
          <t>Van Houwelingen Sierteelt</t>
        </is>
      </c>
      <c r="G24" s="4" t="inlineStr">
        <is>
          <t>ALTURA 60 cm · COLOR Granate</t>
        </is>
      </c>
      <c r="H24" s="3" t="inlineStr"/>
      <c r="I24" s="3" t="n">
        <v>50</v>
      </c>
      <c r="J24" s="3" t="inlineStr">
        <is>
          <t>50</t>
        </is>
      </c>
      <c r="K24" s="4">
        <f>IMAGE("https://cdn.verdnatura.es/image/catalog/1600x900/172341")</f>
        <v/>
      </c>
      <c r="L24" s="5" t="n"/>
      <c r="M24" s="5" t="n"/>
      <c r="N24" s="6" t="n"/>
      <c r="O24" s="7" t="n">
        <v>0.09</v>
      </c>
      <c r="P24" s="7" t="n">
        <v>4.5</v>
      </c>
    </row>
    <row r="25" ht="110" customHeight="1">
      <c r="A25" s="3" t="inlineStr">
        <is>
          <t>12704549</t>
        </is>
      </c>
      <c r="B25" s="3" t="inlineStr">
        <is>
          <t>27-04-2026</t>
        </is>
      </c>
      <c r="C25" s="3" t="inlineStr">
        <is>
          <t>Gloria</t>
        </is>
      </c>
      <c r="D25" s="3" t="inlineStr">
        <is>
          <t>132603</t>
        </is>
      </c>
      <c r="E25" s="4" t="inlineStr">
        <is>
          <t>Peonia Pink Hawaiian Coral</t>
        </is>
      </c>
      <c r="F25" s="4" t="inlineStr"/>
      <c r="G25" s="4" t="inlineStr">
        <is>
          <t>COLOR Rosa · ALTURA 45 cm · APERTURA 2-3</t>
        </is>
      </c>
      <c r="H25" s="3" t="inlineStr"/>
      <c r="I25" s="3" t="n">
        <v>60</v>
      </c>
      <c r="J25" s="3" t="inlineStr">
        <is>
          <t>60</t>
        </is>
      </c>
      <c r="K25" s="4">
        <f>IMAGE("https://cdn.verdnatura.es/image/catalog/1600x900/132603")</f>
        <v/>
      </c>
      <c r="L25" s="5" t="n"/>
      <c r="M25" s="5" t="n"/>
      <c r="N25" s="6" t="n"/>
      <c r="O25" s="7" t="n">
        <v>0.8</v>
      </c>
      <c r="P25" s="7" t="n">
        <v>48</v>
      </c>
    </row>
    <row r="26" ht="110" customHeight="1">
      <c r="A26" s="3" t="inlineStr">
        <is>
          <t>12704549</t>
        </is>
      </c>
      <c r="B26" s="3" t="inlineStr">
        <is>
          <t>27-04-2026</t>
        </is>
      </c>
      <c r="C26" s="3" t="inlineStr">
        <is>
          <t>Gloria</t>
        </is>
      </c>
      <c r="D26" s="3" t="inlineStr">
        <is>
          <t>177703</t>
        </is>
      </c>
      <c r="E26" s="4" t="inlineStr">
        <is>
          <t>Peonia Pink Vanguard</t>
        </is>
      </c>
      <c r="F26" s="4" t="inlineStr">
        <is>
          <t>My-Peony</t>
        </is>
      </c>
      <c r="G26" s="4" t="inlineStr">
        <is>
          <t>COLOR Rosa Claro · ALTURA 50 cm · APERTURA 2-3</t>
        </is>
      </c>
      <c r="H26" s="3" t="inlineStr"/>
      <c r="I26" s="3" t="n">
        <v>60</v>
      </c>
      <c r="J26" s="3" t="inlineStr">
        <is>
          <t>60</t>
        </is>
      </c>
      <c r="K26" s="4">
        <f>IMAGE("https://cdn.verdnatura.es/image/catalog/1600x900/177703")</f>
        <v/>
      </c>
      <c r="L26" s="5" t="n"/>
      <c r="M26" s="5" t="n"/>
      <c r="N26" s="6" t="n"/>
      <c r="O26" s="7" t="n">
        <v>1.32</v>
      </c>
      <c r="P26" s="7" t="n">
        <v>79.2</v>
      </c>
    </row>
    <row r="27" ht="110" customHeight="1">
      <c r="A27" s="3" t="inlineStr">
        <is>
          <t>12704549</t>
        </is>
      </c>
      <c r="B27" s="3" t="inlineStr">
        <is>
          <t>27-04-2026</t>
        </is>
      </c>
      <c r="C27" s="3" t="inlineStr">
        <is>
          <t>Gloria</t>
        </is>
      </c>
      <c r="D27" s="3" t="inlineStr">
        <is>
          <t>33452</t>
        </is>
      </c>
      <c r="E27" s="4" t="inlineStr">
        <is>
          <t>Peonia Red Sarah Bernhard</t>
        </is>
      </c>
      <c r="F27" s="4" t="inlineStr"/>
      <c r="G27" s="4" t="inlineStr">
        <is>
          <t>COLOR Fucsia · ALTURA 55 cm · APERTURA 2-3</t>
        </is>
      </c>
      <c r="H27" s="3" t="inlineStr"/>
      <c r="I27" s="3" t="n">
        <v>30</v>
      </c>
      <c r="J27" s="3" t="inlineStr">
        <is>
          <t>30</t>
        </is>
      </c>
      <c r="K27" s="4">
        <f>IMAGE("https://cdn.verdnatura.es/image/catalog/1600x900/33452")</f>
        <v/>
      </c>
      <c r="L27" s="5" t="n"/>
      <c r="M27" s="5" t="n"/>
      <c r="N27" s="6" t="n"/>
      <c r="O27" s="7" t="n">
        <v>2.47</v>
      </c>
      <c r="P27" s="7" t="n">
        <v>74.09999999999999</v>
      </c>
    </row>
    <row r="28" ht="110" customHeight="1">
      <c r="A28" s="3" t="inlineStr">
        <is>
          <t>12704549</t>
        </is>
      </c>
      <c r="B28" s="3" t="inlineStr">
        <is>
          <t>27-04-2026</t>
        </is>
      </c>
      <c r="C28" s="3" t="inlineStr">
        <is>
          <t>Gloria</t>
        </is>
      </c>
      <c r="D28" s="3" t="inlineStr">
        <is>
          <t>199575</t>
        </is>
      </c>
      <c r="E28" s="4" t="inlineStr">
        <is>
          <t>Photinia Red Robin 400 gr</t>
        </is>
      </c>
      <c r="F28" s="4" t="inlineStr"/>
      <c r="G28" s="4" t="inlineStr">
        <is>
          <t>COLOR Granate · ALTURA 60 cm</t>
        </is>
      </c>
      <c r="H28" s="3" t="inlineStr">
        <is>
          <t>Paquete</t>
        </is>
      </c>
      <c r="I28" s="3" t="n">
        <v>3</v>
      </c>
      <c r="J28" s="3" t="inlineStr">
        <is>
          <t>3 пачек</t>
        </is>
      </c>
      <c r="K28" s="4">
        <f>IMAGE("https://cdn.verdnatura.es/image/catalog/1600x900/199575")</f>
        <v/>
      </c>
      <c r="L28" s="5" t="n"/>
      <c r="M28" s="5" t="n"/>
      <c r="N28" s="6" t="n"/>
      <c r="O28" s="7" t="n">
        <v>3.55</v>
      </c>
      <c r="P28" s="7" t="n">
        <v>10.65</v>
      </c>
    </row>
    <row r="29" ht="110" customHeight="1">
      <c r="A29" s="3" t="inlineStr">
        <is>
          <t>12704549</t>
        </is>
      </c>
      <c r="B29" s="3" t="inlineStr">
        <is>
          <t>27-04-2026</t>
        </is>
      </c>
      <c r="C29" s="3" t="inlineStr">
        <is>
          <t>Gloria</t>
        </is>
      </c>
      <c r="D29" s="3" t="inlineStr">
        <is>
          <t>191334</t>
        </is>
      </c>
      <c r="E29" s="4" t="inlineStr">
        <is>
          <t>RSR Rainbow</t>
        </is>
      </c>
      <c r="F29" s="4" t="inlineStr">
        <is>
          <t>Holla Roses BV</t>
        </is>
      </c>
      <c r="G29" s="4" t="inlineStr">
        <is>
          <t>COLOR Mixto · ALTURA 40 cm · TAMAÑO BOTON Pequeño</t>
        </is>
      </c>
      <c r="H29" s="3" t="inlineStr"/>
      <c r="I29" s="3" t="n">
        <v>30</v>
      </c>
      <c r="J29" s="3" t="inlineStr">
        <is>
          <t>30</t>
        </is>
      </c>
      <c r="K29" s="4">
        <f>IMAGE("https://cdn.verdnatura.es/image/catalog/1600x900/191334")</f>
        <v/>
      </c>
      <c r="L29" s="5" t="n"/>
      <c r="M29" s="5" t="n"/>
      <c r="N29" s="6" t="n"/>
      <c r="O29" s="7" t="n">
        <v>0.31</v>
      </c>
      <c r="P29" s="7" t="n">
        <v>9.300000000000001</v>
      </c>
    </row>
    <row r="30" ht="110" customHeight="1">
      <c r="A30" s="3" t="inlineStr">
        <is>
          <t>12704549</t>
        </is>
      </c>
      <c r="B30" s="3" t="inlineStr">
        <is>
          <t>27-04-2026</t>
        </is>
      </c>
      <c r="C30" s="3" t="inlineStr">
        <is>
          <t>Gloria</t>
        </is>
      </c>
      <c r="D30" s="3" t="inlineStr">
        <is>
          <t>73611</t>
        </is>
      </c>
      <c r="E30" s="4" t="inlineStr">
        <is>
          <t>Skimmia J Rubella</t>
        </is>
      </c>
      <c r="F30" s="4" t="inlineStr"/>
      <c r="G30" s="4" t="inlineStr">
        <is>
          <t>COLOR Granate · ALTURA 45 cm</t>
        </is>
      </c>
      <c r="H30" s="3" t="inlineStr">
        <is>
          <t>Paquete</t>
        </is>
      </c>
      <c r="I30" s="3" t="n">
        <v>10</v>
      </c>
      <c r="J30" s="3" t="inlineStr">
        <is>
          <t>10 пачек</t>
        </is>
      </c>
      <c r="K30" s="4">
        <f>IMAGE("https://cdn.verdnatura.es/image/catalog/1600x900/73611")</f>
        <v/>
      </c>
      <c r="L30" s="5" t="n"/>
      <c r="M30" s="5" t="n"/>
      <c r="N30" s="6" t="n"/>
      <c r="O30" s="7" t="n">
        <v>4.21</v>
      </c>
      <c r="P30" s="7" t="n">
        <v>42.1</v>
      </c>
    </row>
    <row r="31" ht="110" customHeight="1">
      <c r="A31" s="3" t="inlineStr">
        <is>
          <t>12704549</t>
        </is>
      </c>
      <c r="B31" s="3" t="inlineStr">
        <is>
          <t>27-04-2026</t>
        </is>
      </c>
      <c r="C31" s="3" t="inlineStr">
        <is>
          <t>Gloria</t>
        </is>
      </c>
      <c r="D31" s="3" t="inlineStr">
        <is>
          <t>162291</t>
        </is>
      </c>
      <c r="E31" s="4" t="inlineStr">
        <is>
          <t>TUL Cairns</t>
        </is>
      </c>
      <c r="F31" s="4" t="inlineStr"/>
      <c r="G31" s="4" t="inlineStr">
        <is>
          <t>COLOR Rosa · ALTURA 35 cm · PESO/TALLO 46 gr</t>
        </is>
      </c>
      <c r="H31" s="3" t="inlineStr"/>
      <c r="I31" s="3" t="n">
        <v>50</v>
      </c>
      <c r="J31" s="3" t="inlineStr">
        <is>
          <t>50</t>
        </is>
      </c>
      <c r="K31" s="4">
        <f>IMAGE("https://cdn.verdnatura.es/image/catalog/1600x900/162291")</f>
        <v/>
      </c>
      <c r="L31" s="5" t="n"/>
      <c r="M31" s="5" t="n"/>
      <c r="N31" s="6" t="n"/>
      <c r="O31" s="7" t="n">
        <v>0.61</v>
      </c>
      <c r="P31" s="7" t="n">
        <v>30.5</v>
      </c>
    </row>
    <row r="32" ht="110" customHeight="1">
      <c r="A32" s="3" t="inlineStr">
        <is>
          <t>12704549</t>
        </is>
      </c>
      <c r="B32" s="3" t="inlineStr">
        <is>
          <t>27-04-2026</t>
        </is>
      </c>
      <c r="C32" s="3" t="inlineStr">
        <is>
          <t>Gloria</t>
        </is>
      </c>
      <c r="D32" s="3" t="inlineStr">
        <is>
          <t>175699</t>
        </is>
      </c>
      <c r="E32" s="4" t="inlineStr">
        <is>
          <t>TUL Party Clown Fringed</t>
        </is>
      </c>
      <c r="F32" s="4" t="inlineStr"/>
      <c r="G32" s="4" t="inlineStr">
        <is>
          <t>COLOR Amarillo · ALTURA 42 cm · PESO/TALLO 40 gr</t>
        </is>
      </c>
      <c r="H32" s="3" t="inlineStr"/>
      <c r="I32" s="3" t="n">
        <v>50</v>
      </c>
      <c r="J32" s="3" t="inlineStr">
        <is>
          <t>50</t>
        </is>
      </c>
      <c r="K32" s="4">
        <f>IMAGE("https://cdn.verdnatura.es/image/catalog/1600x900/175699")</f>
        <v/>
      </c>
      <c r="L32" s="5" t="n"/>
      <c r="M32" s="5" t="n"/>
      <c r="N32" s="6" t="n"/>
      <c r="O32" s="7" t="n">
        <v>0.4</v>
      </c>
      <c r="P32" s="7" t="n">
        <v>20</v>
      </c>
    </row>
    <row r="33" ht="110" customHeight="1">
      <c r="A33" s="3" t="inlineStr">
        <is>
          <t>12704549</t>
        </is>
      </c>
      <c r="B33" s="3" t="inlineStr">
        <is>
          <t>27-04-2026</t>
        </is>
      </c>
      <c r="C33" s="3" t="inlineStr">
        <is>
          <t>Gloria</t>
        </is>
      </c>
      <c r="D33" s="3" t="inlineStr">
        <is>
          <t>89829</t>
        </is>
      </c>
      <c r="E33" s="4" t="inlineStr">
        <is>
          <t>TUL Tresor</t>
        </is>
      </c>
      <c r="F33" s="4" t="inlineStr"/>
      <c r="G33" s="4" t="inlineStr">
        <is>
          <t>COLOR Rosa · ALTURA 38 cm · PESO/TALLO 48 gr</t>
        </is>
      </c>
      <c r="H33" s="3" t="inlineStr"/>
      <c r="I33" s="3" t="n">
        <v>50</v>
      </c>
      <c r="J33" s="3" t="inlineStr">
        <is>
          <t>50</t>
        </is>
      </c>
      <c r="K33" s="4">
        <f>IMAGE("https://cdn.verdnatura.es/image/catalog/1600x900/89829")</f>
        <v/>
      </c>
      <c r="L33" s="5" t="n"/>
      <c r="M33" s="5" t="n"/>
      <c r="N33" s="6" t="n"/>
      <c r="O33" s="7" t="n">
        <v>0.71</v>
      </c>
      <c r="P33" s="7" t="n">
        <v>35.5</v>
      </c>
    </row>
    <row r="34" ht="110" customHeight="1">
      <c r="A34" s="3" t="inlineStr">
        <is>
          <t>12704549</t>
        </is>
      </c>
      <c r="B34" s="3" t="inlineStr">
        <is>
          <t>27-04-2026</t>
        </is>
      </c>
      <c r="C34" s="3" t="inlineStr">
        <is>
          <t>Gloria</t>
        </is>
      </c>
      <c r="D34" s="3" t="inlineStr">
        <is>
          <t>138248</t>
        </is>
      </c>
      <c r="E34" s="4" t="inlineStr">
        <is>
          <t>Tulipan Davenport Fringed</t>
        </is>
      </c>
      <c r="F34" s="4" t="inlineStr"/>
      <c r="G34" s="4" t="inlineStr">
        <is>
          <t>COLOR Rojo/Amarillo · ALTURA 39 cm · PESO/TALLO 35 gr</t>
        </is>
      </c>
      <c r="H34" s="3" t="inlineStr"/>
      <c r="I34" s="3" t="n">
        <v>50</v>
      </c>
      <c r="J34" s="3" t="inlineStr">
        <is>
          <t>50</t>
        </is>
      </c>
      <c r="K34" s="4">
        <f>IMAGE("https://cdn.verdnatura.es/image/catalog/1600x900/138248")</f>
        <v/>
      </c>
      <c r="L34" s="5" t="n"/>
      <c r="M34" s="5" t="n"/>
      <c r="N34" s="6" t="n"/>
      <c r="O34" s="7" t="n">
        <v>0.46</v>
      </c>
      <c r="P34" s="7" t="n">
        <v>23</v>
      </c>
    </row>
    <row r="35" ht="26" customHeight="1">
      <c r="A35" s="2" t="inlineStr">
        <is>
          <t>📦  Накладная #12704861  ·  27-04-2026  ·  Gloria  ·  13 позиций  ·  bultos: 2</t>
        </is>
      </c>
    </row>
    <row r="36" ht="110" customHeight="1">
      <c r="A36" s="3" t="inlineStr">
        <is>
          <t>12704861</t>
        </is>
      </c>
      <c r="B36" s="3" t="inlineStr">
        <is>
          <t>27-04-2026</t>
        </is>
      </c>
      <c r="C36" s="3" t="inlineStr">
        <is>
          <t>Gloria</t>
        </is>
      </c>
      <c r="D36" s="3" t="inlineStr">
        <is>
          <t>151845</t>
        </is>
      </c>
      <c r="E36" s="4" t="inlineStr">
        <is>
          <t>Asp Tree Fern</t>
        </is>
      </c>
      <c r="F36" s="4" t="inlineStr">
        <is>
          <t>The Green Genie</t>
        </is>
      </c>
      <c r="G36" s="4" t="inlineStr">
        <is>
          <t>COLOR Verde · ALTURA 70 cm</t>
        </is>
      </c>
      <c r="H36" s="3" t="inlineStr">
        <is>
          <t>Paquete</t>
        </is>
      </c>
      <c r="I36" s="3" t="n">
        <v>5</v>
      </c>
      <c r="J36" s="3" t="inlineStr">
        <is>
          <t>5 пачек</t>
        </is>
      </c>
      <c r="K36" s="4">
        <f>IMAGE("https://cdn.verdnatura.es/image/catalog/1600x900/151845")</f>
        <v/>
      </c>
      <c r="L36" s="5" t="n"/>
      <c r="M36" s="5" t="n"/>
      <c r="N36" s="6" t="n"/>
      <c r="O36" s="7" t="n">
        <v>2.78</v>
      </c>
      <c r="P36" s="7" t="n">
        <v>13.9</v>
      </c>
    </row>
    <row r="37" ht="110" customHeight="1">
      <c r="A37" s="3" t="inlineStr">
        <is>
          <t>12704861</t>
        </is>
      </c>
      <c r="B37" s="3" t="inlineStr">
        <is>
          <t>27-04-2026</t>
        </is>
      </c>
      <c r="C37" s="3" t="inlineStr">
        <is>
          <t>Gloria</t>
        </is>
      </c>
      <c r="D37" s="3" t="inlineStr">
        <is>
          <t>150859</t>
        </is>
      </c>
      <c r="E37" s="4" t="inlineStr">
        <is>
          <t>CL Farieta SEL</t>
        </is>
      </c>
      <c r="F37" s="4" t="inlineStr">
        <is>
          <t>Santa Dorotea</t>
        </is>
      </c>
      <c r="G37" s="4" t="inlineStr">
        <is>
          <t>COLOR Morado · ALTURA 70 cm · Nº TALLOS 20</t>
        </is>
      </c>
      <c r="H37" s="3" t="inlineStr"/>
      <c r="I37" s="3" t="n">
        <v>40</v>
      </c>
      <c r="J37" s="3" t="inlineStr">
        <is>
          <t>40</t>
        </is>
      </c>
      <c r="K37" s="4">
        <f>IMAGE("https://cdn.verdnatura.es/image/catalog/1600x900/150859")</f>
        <v/>
      </c>
      <c r="L37" s="5" t="n"/>
      <c r="M37" s="5" t="n"/>
      <c r="N37" s="6" t="n"/>
      <c r="O37" s="7" t="n">
        <v>0.28</v>
      </c>
      <c r="P37" s="7" t="n">
        <v>11.2</v>
      </c>
    </row>
    <row r="38" ht="110" customHeight="1">
      <c r="A38" s="3" t="inlineStr">
        <is>
          <t>12704861</t>
        </is>
      </c>
      <c r="B38" s="3" t="inlineStr">
        <is>
          <t>27-04-2026</t>
        </is>
      </c>
      <c r="C38" s="3" t="inlineStr">
        <is>
          <t>Gloria</t>
        </is>
      </c>
      <c r="D38" s="3" t="inlineStr">
        <is>
          <t>154704</t>
        </is>
      </c>
      <c r="E38" s="4" t="inlineStr">
        <is>
          <t>CL Pink Molly Teñido</t>
        </is>
      </c>
      <c r="F38" s="4" t="inlineStr">
        <is>
          <t>Santa Dorotea EXPORT</t>
        </is>
      </c>
      <c r="G38" s="4" t="inlineStr">
        <is>
          <t>COLOR Purpura/Rosa · ALTURA 70 cm · Nº TALLOS 20</t>
        </is>
      </c>
      <c r="H38" s="3" t="inlineStr"/>
      <c r="I38" s="3" t="n">
        <v>20</v>
      </c>
      <c r="J38" s="3" t="inlineStr">
        <is>
          <t>20</t>
        </is>
      </c>
      <c r="K38" s="4">
        <f>IMAGE("https://cdn.verdnatura.es/image/catalog/1600x900/154704")</f>
        <v/>
      </c>
      <c r="L38" s="5" t="n"/>
      <c r="M38" s="5" t="n"/>
      <c r="N38" s="6" t="n"/>
      <c r="O38" s="7" t="n">
        <v>0.4</v>
      </c>
      <c r="P38" s="7" t="n">
        <v>8</v>
      </c>
    </row>
    <row r="39" ht="110" customHeight="1">
      <c r="A39" s="3" t="inlineStr">
        <is>
          <t>12704861</t>
        </is>
      </c>
      <c r="B39" s="3" t="inlineStr">
        <is>
          <t>27-04-2026</t>
        </is>
      </c>
      <c r="C39" s="3" t="inlineStr">
        <is>
          <t>Gloria</t>
        </is>
      </c>
      <c r="D39" s="3" t="inlineStr">
        <is>
          <t>102166</t>
        </is>
      </c>
      <c r="E39" s="4" t="inlineStr">
        <is>
          <t>CR SANT Katy</t>
        </is>
      </c>
      <c r="F39" s="4" t="inlineStr">
        <is>
          <t>Benchmark</t>
        </is>
      </c>
      <c r="G39" s="4" t="inlineStr">
        <is>
          <t>COLOR Blanco · ALTURA 70 cm · BOTÓN Si</t>
        </is>
      </c>
      <c r="H39" s="3" t="inlineStr"/>
      <c r="I39" s="3" t="n">
        <v>30</v>
      </c>
      <c r="J39" s="3" t="inlineStr">
        <is>
          <t>30</t>
        </is>
      </c>
      <c r="K39" s="4">
        <f>IMAGE("https://cdn.verdnatura.es/image/catalog/1600x900/102166")</f>
        <v/>
      </c>
      <c r="L39" s="5" t="n"/>
      <c r="M39" s="5" t="n"/>
      <c r="N39" s="6" t="n"/>
      <c r="O39" s="7" t="n">
        <v>0.39</v>
      </c>
      <c r="P39" s="7" t="n">
        <v>11.7</v>
      </c>
    </row>
    <row r="40" ht="110" customHeight="1">
      <c r="A40" s="3" t="inlineStr">
        <is>
          <t>12704861</t>
        </is>
      </c>
      <c r="B40" s="3" t="inlineStr">
        <is>
          <t>27-04-2026</t>
        </is>
      </c>
      <c r="C40" s="3" t="inlineStr">
        <is>
          <t>Gloria</t>
        </is>
      </c>
      <c r="D40" s="3" t="inlineStr">
        <is>
          <t>169435</t>
        </is>
      </c>
      <c r="E40" s="4" t="inlineStr">
        <is>
          <t>HYD Green MI</t>
        </is>
      </c>
      <c r="F40" s="4" t="inlineStr">
        <is>
          <t>Gutimilko</t>
        </is>
      </c>
      <c r="G40" s="4" t="inlineStr">
        <is>
          <t>COLOR Verde Claro · ALTURA 50 cm · DIAMETRO 8 cm</t>
        </is>
      </c>
      <c r="H40" s="3" t="inlineStr"/>
      <c r="I40" s="3" t="n">
        <v>25</v>
      </c>
      <c r="J40" s="3" t="inlineStr">
        <is>
          <t>25</t>
        </is>
      </c>
      <c r="K40" s="4">
        <f>IMAGE("https://cdn.verdnatura.es/image/catalog/1600x900/169435")</f>
        <v/>
      </c>
      <c r="L40" s="5" t="n"/>
      <c r="M40" s="5" t="n"/>
      <c r="N40" s="6" t="n"/>
      <c r="O40" s="7" t="n">
        <v>0.65</v>
      </c>
      <c r="P40" s="7" t="n">
        <v>16.25</v>
      </c>
    </row>
    <row r="41" ht="110" customHeight="1">
      <c r="A41" s="3" t="inlineStr">
        <is>
          <t>12704861</t>
        </is>
      </c>
      <c r="B41" s="3" t="inlineStr">
        <is>
          <t>27-04-2026</t>
        </is>
      </c>
      <c r="C41" s="3" t="inlineStr">
        <is>
          <t>Gloria</t>
        </is>
      </c>
      <c r="D41" s="3" t="inlineStr">
        <is>
          <t>59034</t>
        </is>
      </c>
      <c r="E41" s="4" t="inlineStr">
        <is>
          <t>PAN Fucsia MA 30 gr</t>
        </is>
      </c>
      <c r="F41" s="4" t="inlineStr">
        <is>
          <t>Malima</t>
        </is>
      </c>
      <c r="G41" s="4" t="inlineStr">
        <is>
          <t>COLOR Fucsia · ALTURA 75 cm · TAMAÑO FLOR XL</t>
        </is>
      </c>
      <c r="H41" s="3" t="inlineStr"/>
      <c r="I41" s="3" t="n">
        <v>25</v>
      </c>
      <c r="J41" s="3" t="inlineStr">
        <is>
          <t>25</t>
        </is>
      </c>
      <c r="K41" s="4">
        <f>IMAGE("https://cdn.verdnatura.es/image/catalog/1600x900/59034")</f>
        <v/>
      </c>
      <c r="L41" s="5" t="n"/>
      <c r="M41" s="5" t="n"/>
      <c r="N41" s="6" t="n"/>
      <c r="O41" s="7" t="n">
        <v>0.49</v>
      </c>
      <c r="P41" s="7" t="n">
        <v>12.25</v>
      </c>
    </row>
    <row r="42" ht="110" customHeight="1">
      <c r="A42" s="3" t="inlineStr">
        <is>
          <t>12704861</t>
        </is>
      </c>
      <c r="B42" s="3" t="inlineStr">
        <is>
          <t>27-04-2026</t>
        </is>
      </c>
      <c r="C42" s="3" t="inlineStr">
        <is>
          <t>Gloria</t>
        </is>
      </c>
      <c r="D42" s="3" t="inlineStr">
        <is>
          <t>36764</t>
        </is>
      </c>
      <c r="E42" s="4" t="inlineStr">
        <is>
          <t>PAN Roja MA 30 gr</t>
        </is>
      </c>
      <c r="F42" s="4" t="inlineStr">
        <is>
          <t>Malima</t>
        </is>
      </c>
      <c r="G42" s="4" t="inlineStr">
        <is>
          <t>COLOR Rojo · ALTURA 75 cm · TAMAÑO FLOR XL</t>
        </is>
      </c>
      <c r="H42" s="3" t="inlineStr"/>
      <c r="I42" s="3" t="n">
        <v>25</v>
      </c>
      <c r="J42" s="3" t="inlineStr">
        <is>
          <t>25</t>
        </is>
      </c>
      <c r="K42" s="4">
        <f>IMAGE("https://cdn.verdnatura.es/image/catalog/1600x900/36764")</f>
        <v/>
      </c>
      <c r="L42" s="5" t="n"/>
      <c r="M42" s="5" t="n"/>
      <c r="N42" s="6" t="n"/>
      <c r="O42" s="7" t="n">
        <v>0.49</v>
      </c>
      <c r="P42" s="7" t="n">
        <v>12.25</v>
      </c>
    </row>
    <row r="43" ht="110" customHeight="1">
      <c r="A43" s="3" t="inlineStr">
        <is>
          <t>12704861</t>
        </is>
      </c>
      <c r="B43" s="3" t="inlineStr">
        <is>
          <t>27-04-2026</t>
        </is>
      </c>
      <c r="C43" s="3" t="inlineStr">
        <is>
          <t>Gloria</t>
        </is>
      </c>
      <c r="D43" s="3" t="inlineStr">
        <is>
          <t>59232</t>
        </is>
      </c>
      <c r="E43" s="4" t="inlineStr">
        <is>
          <t>PAN Salmon MA 30 gr</t>
        </is>
      </c>
      <c r="F43" s="4" t="inlineStr">
        <is>
          <t>Malima</t>
        </is>
      </c>
      <c r="G43" s="4" t="inlineStr">
        <is>
          <t>COLOR Salmón · ALTURA 75 cm · TAMAÑO FLOR XL</t>
        </is>
      </c>
      <c r="H43" s="3" t="inlineStr"/>
      <c r="I43" s="3" t="n">
        <v>25</v>
      </c>
      <c r="J43" s="3" t="inlineStr">
        <is>
          <t>25</t>
        </is>
      </c>
      <c r="K43" s="4">
        <f>IMAGE("https://cdn.verdnatura.es/image/catalog/1600x900/59232")</f>
        <v/>
      </c>
      <c r="L43" s="5" t="n"/>
      <c r="M43" s="5" t="n"/>
      <c r="N43" s="6" t="n"/>
      <c r="O43" s="7" t="n">
        <v>0.49</v>
      </c>
      <c r="P43" s="7" t="n">
        <v>12.25</v>
      </c>
    </row>
    <row r="44" ht="110" customHeight="1">
      <c r="A44" s="3" t="inlineStr">
        <is>
          <t>12704861</t>
        </is>
      </c>
      <c r="B44" s="3" t="inlineStr">
        <is>
          <t>27-04-2026</t>
        </is>
      </c>
      <c r="C44" s="3" t="inlineStr">
        <is>
          <t>Gloria</t>
        </is>
      </c>
      <c r="D44" s="3" t="inlineStr">
        <is>
          <t>171540</t>
        </is>
      </c>
      <c r="E44" s="4" t="inlineStr">
        <is>
          <t>PAN Small Bloom SD 40 gr</t>
        </is>
      </c>
      <c r="F44" s="4" t="inlineStr">
        <is>
          <t>Santa Dorotea</t>
        </is>
      </c>
      <c r="G44" s="4" t="inlineStr">
        <is>
          <t>COLOR Blanco · ALTURA 80 cm · TAMAÑO FLOR S</t>
        </is>
      </c>
      <c r="H44" s="3" t="inlineStr"/>
      <c r="I44" s="3" t="n">
        <v>25</v>
      </c>
      <c r="J44" s="3" t="inlineStr">
        <is>
          <t>25</t>
        </is>
      </c>
      <c r="K44" s="4">
        <f>IMAGE("https://cdn.verdnatura.es/image/catalog/1600x900/171540")</f>
        <v/>
      </c>
      <c r="L44" s="5" t="n"/>
      <c r="M44" s="5" t="n"/>
      <c r="N44" s="6" t="n"/>
      <c r="O44" s="7" t="n">
        <v>0.51</v>
      </c>
      <c r="P44" s="7" t="n">
        <v>12.75</v>
      </c>
    </row>
    <row r="45" ht="110" customHeight="1">
      <c r="A45" s="3" t="inlineStr">
        <is>
          <t>12704861</t>
        </is>
      </c>
      <c r="B45" s="3" t="inlineStr">
        <is>
          <t>27-04-2026</t>
        </is>
      </c>
      <c r="C45" s="3" t="inlineStr">
        <is>
          <t>Gloria</t>
        </is>
      </c>
      <c r="D45" s="3" t="inlineStr">
        <is>
          <t>186509</t>
        </is>
      </c>
      <c r="E45" s="4" t="inlineStr">
        <is>
          <t>RS Cherry O EXT</t>
        </is>
      </c>
      <c r="F45" s="4" t="inlineStr">
        <is>
          <t>Ecuador</t>
        </is>
      </c>
      <c r="G45" s="4" t="inlineStr">
        <is>
          <t>COLOR Fucsia · ALTURA 50 cm · BOTÓN MINIMO 5.5 cm</t>
        </is>
      </c>
      <c r="H45" s="3" t="inlineStr"/>
      <c r="I45" s="3" t="n">
        <v>50</v>
      </c>
      <c r="J45" s="3" t="inlineStr">
        <is>
          <t>50</t>
        </is>
      </c>
      <c r="K45" s="4">
        <f>IMAGE("https://cdn.verdnatura.es/image/catalog/1600x900/186509")</f>
        <v/>
      </c>
      <c r="L45" s="5" t="n"/>
      <c r="M45" s="5" t="n"/>
      <c r="N45" s="6" t="n"/>
      <c r="O45" s="7" t="n">
        <v>0.78</v>
      </c>
      <c r="P45" s="7" t="n">
        <v>39</v>
      </c>
    </row>
    <row r="46" ht="110" customHeight="1">
      <c r="A46" s="3" t="inlineStr">
        <is>
          <t>12704861</t>
        </is>
      </c>
      <c r="B46" s="3" t="inlineStr">
        <is>
          <t>27-04-2026</t>
        </is>
      </c>
      <c r="C46" s="3" t="inlineStr">
        <is>
          <t>Gloria</t>
        </is>
      </c>
      <c r="D46" s="3" t="inlineStr">
        <is>
          <t>130997</t>
        </is>
      </c>
      <c r="E46" s="4" t="inlineStr">
        <is>
          <t>RS Free Spirit PRE</t>
        </is>
      </c>
      <c r="F46" s="4" t="inlineStr">
        <is>
          <t>Rosaprima</t>
        </is>
      </c>
      <c r="G46" s="4" t="inlineStr">
        <is>
          <t>COLOR Coral · ALTURA 40 cm · BOTÓN MINIMO 5 cm</t>
        </is>
      </c>
      <c r="H46" s="3" t="inlineStr"/>
      <c r="I46" s="3" t="n">
        <v>50</v>
      </c>
      <c r="J46" s="3" t="inlineStr">
        <is>
          <t>50</t>
        </is>
      </c>
      <c r="K46" s="4">
        <f>IMAGE("https://cdn.verdnatura.es/image/catalog/1600x900/130997")</f>
        <v/>
      </c>
      <c r="L46" s="5" t="n"/>
      <c r="M46" s="5" t="n"/>
      <c r="N46" s="6" t="n"/>
      <c r="O46" s="7" t="n">
        <v>0.53</v>
      </c>
      <c r="P46" s="7" t="n">
        <v>26.5</v>
      </c>
    </row>
    <row r="47" ht="110" customHeight="1">
      <c r="A47" s="3" t="inlineStr">
        <is>
          <t>12704861</t>
        </is>
      </c>
      <c r="B47" s="3" t="inlineStr">
        <is>
          <t>27-04-2026</t>
        </is>
      </c>
      <c r="C47" s="3" t="inlineStr">
        <is>
          <t>Gloria</t>
        </is>
      </c>
      <c r="D47" s="3" t="inlineStr">
        <is>
          <t>136755</t>
        </is>
      </c>
      <c r="E47" s="4" t="inlineStr">
        <is>
          <t>RS Mondial PRE</t>
        </is>
      </c>
      <c r="F47" s="4" t="inlineStr">
        <is>
          <t>Santa Dorotea</t>
        </is>
      </c>
      <c r="G47" s="4" t="inlineStr">
        <is>
          <t>COLOR Blanco · ALTURA 60 cm · BOTÓN MINIMO 6 cm</t>
        </is>
      </c>
      <c r="H47" s="3" t="inlineStr"/>
      <c r="I47" s="3" t="n">
        <v>25</v>
      </c>
      <c r="J47" s="3" t="inlineStr">
        <is>
          <t>25</t>
        </is>
      </c>
      <c r="K47" s="4">
        <f>IMAGE("https://cdn.verdnatura.es/image/catalog/1600x900/136755")</f>
        <v/>
      </c>
      <c r="L47" s="5" t="n"/>
      <c r="M47" s="5" t="n"/>
      <c r="N47" s="6" t="n"/>
      <c r="O47" s="7" t="n">
        <v>0.96</v>
      </c>
      <c r="P47" s="7" t="n">
        <v>24</v>
      </c>
    </row>
    <row r="48" ht="110" customHeight="1">
      <c r="A48" s="3" t="inlineStr">
        <is>
          <t>12704861</t>
        </is>
      </c>
      <c r="B48" s="3" t="inlineStr">
        <is>
          <t>27-04-2026</t>
        </is>
      </c>
      <c r="C48" s="3" t="inlineStr">
        <is>
          <t>Gloria</t>
        </is>
      </c>
      <c r="D48" s="3" t="inlineStr">
        <is>
          <t>189611</t>
        </is>
      </c>
      <c r="E48" s="4" t="inlineStr">
        <is>
          <t>RS Wedding Spirit PRE</t>
        </is>
      </c>
      <c r="F48" s="4" t="inlineStr">
        <is>
          <t>Rosaprima</t>
        </is>
      </c>
      <c r="G48" s="4" t="inlineStr">
        <is>
          <t>COLOR Rosa Claro · ALTURA 50 cm · BOTÓN MINIMO 5 cm</t>
        </is>
      </c>
      <c r="H48" s="3" t="inlineStr"/>
      <c r="I48" s="3" t="n">
        <v>25</v>
      </c>
      <c r="J48" s="3" t="inlineStr">
        <is>
          <t>25</t>
        </is>
      </c>
      <c r="K48" s="4">
        <f>IMAGE("https://cdn.verdnatura.es/image/catalog/1600x900/189611")</f>
        <v/>
      </c>
      <c r="L48" s="5" t="n"/>
      <c r="M48" s="5" t="n"/>
      <c r="N48" s="6" t="n"/>
      <c r="O48" s="7" t="n">
        <v>0.6</v>
      </c>
      <c r="P48" s="7" t="n">
        <v>15</v>
      </c>
    </row>
    <row r="49" ht="26" customHeight="1">
      <c r="A49" s="2" t="inlineStr">
        <is>
          <t>📦  Накладная #12705219  ·  27-04-2026  ·  Gloria  ·  14 позиций  ·  bultos: 17</t>
        </is>
      </c>
    </row>
    <row r="50" ht="110" customHeight="1">
      <c r="A50" s="3" t="inlineStr">
        <is>
          <t>12705219</t>
        </is>
      </c>
      <c r="B50" s="3" t="inlineStr">
        <is>
          <t>27-04-2026</t>
        </is>
      </c>
      <c r="C50" s="3" t="inlineStr">
        <is>
          <t>Gloria</t>
        </is>
      </c>
      <c r="D50" s="3" t="inlineStr">
        <is>
          <t>111708</t>
        </is>
      </c>
      <c r="E50" s="4" t="inlineStr">
        <is>
          <t>BONS Ginseng Cerámica</t>
        </is>
      </c>
      <c r="F50" s="4" t="inlineStr">
        <is>
          <t>Oriental</t>
        </is>
      </c>
      <c r="G50" s="4" t="inlineStr">
        <is>
          <t>COLOR Verde · ALTURA 45 cm · MACETA 23</t>
        </is>
      </c>
      <c r="H50" s="3" t="inlineStr"/>
      <c r="I50" s="3" t="n">
        <v>2</v>
      </c>
      <c r="J50" s="3" t="inlineStr">
        <is>
          <t>2 шт.</t>
        </is>
      </c>
      <c r="K50" s="4">
        <f>IMAGE("https://cdn.verdnatura.es/image/catalog/1600x900/111708")</f>
        <v/>
      </c>
      <c r="L50" s="5" t="n"/>
      <c r="M50" s="5" t="n"/>
      <c r="N50" s="6" t="n"/>
      <c r="O50" s="7" t="n">
        <v>22.03</v>
      </c>
      <c r="P50" s="7" t="n">
        <v>44.06</v>
      </c>
    </row>
    <row r="51" ht="110" customHeight="1">
      <c r="A51" s="3" t="inlineStr">
        <is>
          <t>12705219</t>
        </is>
      </c>
      <c r="B51" s="3" t="inlineStr">
        <is>
          <t>27-04-2026</t>
        </is>
      </c>
      <c r="C51" s="3" t="inlineStr">
        <is>
          <t>Gloria</t>
        </is>
      </c>
      <c r="D51" s="3" t="inlineStr">
        <is>
          <t>139272</t>
        </is>
      </c>
      <c r="E51" s="4" t="inlineStr">
        <is>
          <t>Calas Julia Mix</t>
        </is>
      </c>
      <c r="F51" s="4" t="inlineStr">
        <is>
          <t>Dynaplant</t>
        </is>
      </c>
      <c r="G51" s="4" t="inlineStr">
        <is>
          <t>COLOR Mixto · ALTURA 40 cm · MACETA 15</t>
        </is>
      </c>
      <c r="H51" s="3" t="inlineStr"/>
      <c r="I51" s="3" t="n">
        <v>12</v>
      </c>
      <c r="J51" s="3" t="inlineStr">
        <is>
          <t>12 шт.</t>
        </is>
      </c>
      <c r="K51" s="4">
        <f>IMAGE("https://cdn.verdnatura.es/image/catalog/1600x900/139272")</f>
        <v/>
      </c>
      <c r="L51" s="5" t="n"/>
      <c r="M51" s="5" t="n"/>
      <c r="N51" s="6" t="n"/>
      <c r="O51" s="7" t="n">
        <v>9.050000000000001</v>
      </c>
      <c r="P51" s="7" t="n">
        <v>108.6</v>
      </c>
    </row>
    <row r="52" ht="110" customHeight="1">
      <c r="A52" s="3" t="inlineStr">
        <is>
          <t>12705219</t>
        </is>
      </c>
      <c r="B52" s="3" t="inlineStr">
        <is>
          <t>27-04-2026</t>
        </is>
      </c>
      <c r="C52" s="3" t="inlineStr">
        <is>
          <t>Gloria</t>
        </is>
      </c>
      <c r="D52" s="3" t="inlineStr">
        <is>
          <t>114094</t>
        </is>
      </c>
      <c r="E52" s="4" t="inlineStr">
        <is>
          <t>Copa Emperatriz</t>
        </is>
      </c>
      <c r="F52" s="4" t="inlineStr">
        <is>
          <t>Verdnatura</t>
        </is>
      </c>
      <c r="G52" s="4" t="inlineStr">
        <is>
          <t>ALTURA 17.7 cm · DIAMETRO 28.5 cm · DIAMETRO BOCA 25.5 cm</t>
        </is>
      </c>
      <c r="H52" s="3" t="inlineStr"/>
      <c r="I52" s="3" t="n">
        <v>4</v>
      </c>
      <c r="J52" s="3" t="inlineStr">
        <is>
          <t>4 шт.</t>
        </is>
      </c>
      <c r="K52" s="4">
        <f>IMAGE("https://cdn.verdnatura.es/image/catalog/1600x900/114094")</f>
        <v/>
      </c>
      <c r="L52" s="5" t="n"/>
      <c r="M52" s="5" t="n"/>
      <c r="N52" s="6" t="n"/>
      <c r="O52" s="7" t="n">
        <v>9.09</v>
      </c>
      <c r="P52" s="7" t="n">
        <v>36.36</v>
      </c>
    </row>
    <row r="53" ht="110" customHeight="1">
      <c r="A53" s="3" t="inlineStr">
        <is>
          <t>12705219</t>
        </is>
      </c>
      <c r="B53" s="3" t="inlineStr">
        <is>
          <t>27-04-2026</t>
        </is>
      </c>
      <c r="C53" s="3" t="inlineStr">
        <is>
          <t>Gloria</t>
        </is>
      </c>
      <c r="D53" s="3" t="inlineStr">
        <is>
          <t>115932</t>
        </is>
      </c>
      <c r="E53" s="4" t="inlineStr">
        <is>
          <t>Copa Nieve Aurora</t>
        </is>
      </c>
      <c r="F53" s="4" t="inlineStr">
        <is>
          <t>Verdnatura</t>
        </is>
      </c>
      <c r="G53" s="4" t="inlineStr">
        <is>
          <t>ALTURA 40 cm · DIAMETRO 19 cm · DIAMETRO BOCA 17 cm</t>
        </is>
      </c>
      <c r="H53" s="3" t="inlineStr"/>
      <c r="I53" s="3" t="n">
        <v>4</v>
      </c>
      <c r="J53" s="3" t="inlineStr">
        <is>
          <t>4 шт.</t>
        </is>
      </c>
      <c r="K53" s="4">
        <f>IMAGE("https://cdn.verdnatura.es/image/catalog/1600x900/115932")</f>
        <v/>
      </c>
      <c r="L53" s="5" t="n"/>
      <c r="M53" s="5" t="n"/>
      <c r="N53" s="6" t="n"/>
      <c r="O53" s="7" t="n">
        <v>11.94</v>
      </c>
      <c r="P53" s="7" t="n">
        <v>47.76</v>
      </c>
    </row>
    <row r="54" ht="110" customHeight="1">
      <c r="A54" s="3" t="inlineStr">
        <is>
          <t>12705219</t>
        </is>
      </c>
      <c r="B54" s="3" t="inlineStr">
        <is>
          <t>27-04-2026</t>
        </is>
      </c>
      <c r="C54" s="3" t="inlineStr">
        <is>
          <t>Gloria</t>
        </is>
      </c>
      <c r="D54" s="3" t="inlineStr">
        <is>
          <t>178573</t>
        </is>
      </c>
      <c r="E54" s="4" t="inlineStr">
        <is>
          <t>Hypoestes Ph Confetti Compact</t>
        </is>
      </c>
      <c r="F54" s="4" t="inlineStr">
        <is>
          <t>Willem Jongenotter Kw.</t>
        </is>
      </c>
      <c r="G54" s="4" t="inlineStr">
        <is>
          <t>COLOR Mixto · ALTURA 20 cm · MACETA 12</t>
        </is>
      </c>
      <c r="H54" s="3" t="inlineStr"/>
      <c r="I54" s="3" t="n">
        <v>8</v>
      </c>
      <c r="J54" s="3" t="inlineStr">
        <is>
          <t>8 шт.</t>
        </is>
      </c>
      <c r="K54" s="4">
        <f>IMAGE("https://cdn.verdnatura.es/image/catalog/1600x900/178573")</f>
        <v/>
      </c>
      <c r="L54" s="5" t="n"/>
      <c r="M54" s="5" t="n"/>
      <c r="N54" s="6" t="n"/>
      <c r="O54" s="7" t="n">
        <v>1.33</v>
      </c>
      <c r="P54" s="7" t="n">
        <v>10.64</v>
      </c>
    </row>
    <row r="55" ht="110" customHeight="1">
      <c r="A55" s="3" t="inlineStr">
        <is>
          <t>12705219</t>
        </is>
      </c>
      <c r="B55" s="3" t="inlineStr">
        <is>
          <t>27-04-2026</t>
        </is>
      </c>
      <c r="C55" s="3" t="inlineStr">
        <is>
          <t>Gloria</t>
        </is>
      </c>
      <c r="D55" s="3" t="inlineStr">
        <is>
          <t>102720</t>
        </is>
      </c>
      <c r="E55" s="4" t="inlineStr">
        <is>
          <t>KAL Carnaval Mix</t>
        </is>
      </c>
      <c r="F55" s="4" t="inlineStr">
        <is>
          <t>SlijkermanKalanchoe</t>
        </is>
      </c>
      <c r="G55" s="4" t="inlineStr">
        <is>
          <t>COLOR Mixto · ALTURA 25 cm · MACETA 23</t>
        </is>
      </c>
      <c r="H55" s="3" t="inlineStr"/>
      <c r="I55" s="3" t="n">
        <v>6</v>
      </c>
      <c r="J55" s="3" t="inlineStr">
        <is>
          <t>6 шт.</t>
        </is>
      </c>
      <c r="K55" s="4">
        <f>IMAGE("https://cdn.verdnatura.es/image/catalog/1600x900/102720")</f>
        <v/>
      </c>
      <c r="L55" s="5" t="n"/>
      <c r="M55" s="5" t="n"/>
      <c r="N55" s="6" t="n"/>
      <c r="O55" s="7" t="n">
        <v>6.7</v>
      </c>
      <c r="P55" s="7" t="n">
        <v>40.2</v>
      </c>
    </row>
    <row r="56" ht="110" customHeight="1">
      <c r="A56" s="3" t="inlineStr">
        <is>
          <t>12705219</t>
        </is>
      </c>
      <c r="B56" s="3" t="inlineStr">
        <is>
          <t>27-04-2026</t>
        </is>
      </c>
      <c r="C56" s="3" t="inlineStr">
        <is>
          <t>Gloria</t>
        </is>
      </c>
      <c r="D56" s="3" t="inlineStr">
        <is>
          <t>73864</t>
        </is>
      </c>
      <c r="E56" s="4" t="inlineStr">
        <is>
          <t>KAL Moments Purple PRO</t>
        </is>
      </c>
      <c r="F56" s="4" t="inlineStr">
        <is>
          <t>SlijkermanKalanchoe</t>
        </is>
      </c>
      <c r="G56" s="4" t="inlineStr">
        <is>
          <t>COLOR Fucsia · ALTURA 23 cm · MACETA 10,5</t>
        </is>
      </c>
      <c r="H56" s="3" t="inlineStr"/>
      <c r="I56" s="3" t="n">
        <v>10</v>
      </c>
      <c r="J56" s="3" t="inlineStr">
        <is>
          <t>10 шт.</t>
        </is>
      </c>
      <c r="K56" s="4">
        <f>IMAGE("https://cdn.verdnatura.es/image/catalog/1600x900/73864")</f>
        <v/>
      </c>
      <c r="L56" s="5" t="n"/>
      <c r="M56" s="5" t="n"/>
      <c r="N56" s="6" t="n"/>
      <c r="O56" s="7" t="n">
        <v>1.66</v>
      </c>
      <c r="P56" s="7" t="n">
        <v>16.6</v>
      </c>
    </row>
    <row r="57" ht="110" customHeight="1">
      <c r="A57" s="3" t="inlineStr">
        <is>
          <t>12705219</t>
        </is>
      </c>
      <c r="B57" s="3" t="inlineStr">
        <is>
          <t>27-04-2026</t>
        </is>
      </c>
      <c r="C57" s="3" t="inlineStr">
        <is>
          <t>Gloria</t>
        </is>
      </c>
      <c r="D57" s="3" t="inlineStr">
        <is>
          <t>200988</t>
        </is>
      </c>
      <c r="E57" s="4" t="inlineStr">
        <is>
          <t>KAL TENDER Serenity Rosa</t>
        </is>
      </c>
      <c r="F57" s="4" t="inlineStr">
        <is>
          <t>SlijkermanKalanchoe</t>
        </is>
      </c>
      <c r="G57" s="4" t="inlineStr">
        <is>
          <t>COLOR Rosa · ALTURA 23 cm · MACETA 10,5</t>
        </is>
      </c>
      <c r="H57" s="3" t="inlineStr"/>
      <c r="I57" s="3" t="n">
        <v>10</v>
      </c>
      <c r="J57" s="3" t="inlineStr">
        <is>
          <t>10 шт.</t>
        </is>
      </c>
      <c r="K57" s="4">
        <f>IMAGE("https://cdn.verdnatura.es/image/catalog/1600x900/200988")</f>
        <v/>
      </c>
      <c r="L57" s="5" t="n"/>
      <c r="M57" s="5" t="n"/>
      <c r="N57" s="6" t="n"/>
      <c r="O57" s="7" t="n">
        <v>1.66</v>
      </c>
      <c r="P57" s="7" t="n">
        <v>16.6</v>
      </c>
    </row>
    <row r="58" ht="110" customHeight="1">
      <c r="A58" s="3" t="inlineStr">
        <is>
          <t>12705219</t>
        </is>
      </c>
      <c r="B58" s="3" t="inlineStr">
        <is>
          <t>27-04-2026</t>
        </is>
      </c>
      <c r="C58" s="3" t="inlineStr">
        <is>
          <t>Gloria</t>
        </is>
      </c>
      <c r="D58" s="3" t="inlineStr">
        <is>
          <t>150510</t>
        </is>
      </c>
      <c r="E58" s="4" t="inlineStr">
        <is>
          <t>Muguete Convallaria Majalis</t>
        </is>
      </c>
      <c r="F58" s="4" t="inlineStr">
        <is>
          <t>Johan Oudshoorn</t>
        </is>
      </c>
      <c r="G58" s="4" t="inlineStr">
        <is>
          <t>COLOR Blanco · ALTURA 25 cm · MACETA 9</t>
        </is>
      </c>
      <c r="H58" s="3" t="inlineStr"/>
      <c r="I58" s="3" t="n">
        <v>18</v>
      </c>
      <c r="J58" s="3" t="inlineStr">
        <is>
          <t>18 шт.</t>
        </is>
      </c>
      <c r="K58" s="4">
        <f>IMAGE("https://cdn.verdnatura.es/image/catalog/1600x900/150510")</f>
        <v/>
      </c>
      <c r="L58" s="5" t="n"/>
      <c r="M58" s="5" t="n"/>
      <c r="N58" s="6" t="n"/>
      <c r="O58" s="7" t="n">
        <v>2.53</v>
      </c>
      <c r="P58" s="7" t="n">
        <v>45.54</v>
      </c>
    </row>
    <row r="59" ht="110" customHeight="1">
      <c r="A59" s="3" t="inlineStr">
        <is>
          <t>12705219</t>
        </is>
      </c>
      <c r="B59" s="3" t="inlineStr">
        <is>
          <t>27-04-2026</t>
        </is>
      </c>
      <c r="C59" s="3" t="inlineStr">
        <is>
          <t>Gloria</t>
        </is>
      </c>
      <c r="D59" s="3" t="inlineStr">
        <is>
          <t>200176</t>
        </is>
      </c>
      <c r="E59" s="4" t="inlineStr">
        <is>
          <t>Muguete Convallaria Majalis Bi</t>
        </is>
      </c>
      <c r="F59" s="4" t="inlineStr">
        <is>
          <t>Velzeboer</t>
        </is>
      </c>
      <c r="G59" s="4" t="inlineStr">
        <is>
          <t>COLOR Blanco · ALTURA 25 cm · MACETA 12</t>
        </is>
      </c>
      <c r="H59" s="3" t="inlineStr"/>
      <c r="I59" s="3" t="n">
        <v>10</v>
      </c>
      <c r="J59" s="3" t="inlineStr">
        <is>
          <t>10 шт.</t>
        </is>
      </c>
      <c r="K59" s="4">
        <f>IMAGE("https://cdn.verdnatura.es/image/catalog/1600x900/200176")</f>
        <v/>
      </c>
      <c r="L59" s="5" t="n"/>
      <c r="M59" s="5" t="n"/>
      <c r="N59" s="6" t="n"/>
      <c r="O59" s="7" t="n">
        <v>5.56</v>
      </c>
      <c r="P59" s="7" t="n">
        <v>55.6</v>
      </c>
    </row>
    <row r="60" ht="110" customHeight="1">
      <c r="A60" s="3" t="inlineStr">
        <is>
          <t>12705219</t>
        </is>
      </c>
      <c r="B60" s="3" t="inlineStr">
        <is>
          <t>27-04-2026</t>
        </is>
      </c>
      <c r="C60" s="3" t="inlineStr">
        <is>
          <t>Gloria</t>
        </is>
      </c>
      <c r="D60" s="3" t="inlineStr">
        <is>
          <t>150378</t>
        </is>
      </c>
      <c r="E60" s="4" t="inlineStr">
        <is>
          <t>Muguete Convallaria Majalis x1</t>
        </is>
      </c>
      <c r="F60" s="4" t="inlineStr">
        <is>
          <t>Velzeboer</t>
        </is>
      </c>
      <c r="G60" s="4" t="inlineStr">
        <is>
          <t>COLOR Blanco · ALTURA 25 cm · MACETA 12</t>
        </is>
      </c>
      <c r="H60" s="3" t="inlineStr"/>
      <c r="I60" s="3" t="n">
        <v>10</v>
      </c>
      <c r="J60" s="3" t="inlineStr">
        <is>
          <t>10 связок · ×1 в связке</t>
        </is>
      </c>
      <c r="K60" s="4">
        <f>IMAGE("https://cdn.verdnatura.es/image/catalog/1600x900/150378")</f>
        <v/>
      </c>
      <c r="L60" s="5" t="n"/>
      <c r="M60" s="5" t="n"/>
      <c r="N60" s="6" t="n"/>
      <c r="O60" s="7" t="n">
        <v>3.84</v>
      </c>
      <c r="P60" s="7" t="n">
        <v>38.4</v>
      </c>
    </row>
    <row r="61" ht="110" customHeight="1">
      <c r="A61" s="3" t="inlineStr">
        <is>
          <t>12705219</t>
        </is>
      </c>
      <c r="B61" s="3" t="inlineStr">
        <is>
          <t>27-04-2026</t>
        </is>
      </c>
      <c r="C61" s="3" t="inlineStr">
        <is>
          <t>Gloria</t>
        </is>
      </c>
      <c r="D61" s="3" t="inlineStr">
        <is>
          <t>140596</t>
        </is>
      </c>
      <c r="E61" s="4" t="inlineStr">
        <is>
          <t>PHAL 1T Eleg Cascade Asian Cor</t>
        </is>
      </c>
      <c r="F61" s="4" t="inlineStr">
        <is>
          <t>T &amp; L Variety Plants BV</t>
        </is>
      </c>
      <c r="G61" s="4" t="inlineStr">
        <is>
          <t>COLOR Naranja · ALTURA 45 cm · MACETA 12</t>
        </is>
      </c>
      <c r="H61" s="3" t="inlineStr"/>
      <c r="I61" s="3" t="n">
        <v>6</v>
      </c>
      <c r="J61" s="3" t="inlineStr">
        <is>
          <t>6 шт.</t>
        </is>
      </c>
      <c r="K61" s="4">
        <f>IMAGE("https://cdn.verdnatura.es/image/catalog/1600x900/140596")</f>
        <v/>
      </c>
      <c r="L61" s="5" t="n"/>
      <c r="M61" s="5" t="n"/>
      <c r="N61" s="6" t="n"/>
      <c r="O61" s="7" t="n">
        <v>6.68</v>
      </c>
      <c r="P61" s="7" t="n">
        <v>40.08</v>
      </c>
    </row>
    <row r="62" ht="110" customHeight="1">
      <c r="A62" s="3" t="inlineStr">
        <is>
          <t>12705219</t>
        </is>
      </c>
      <c r="B62" s="3" t="inlineStr">
        <is>
          <t>27-04-2026</t>
        </is>
      </c>
      <c r="C62" s="3" t="inlineStr">
        <is>
          <t>Gloria</t>
        </is>
      </c>
      <c r="D62" s="3" t="inlineStr">
        <is>
          <t>144102</t>
        </is>
      </c>
      <c r="E62" s="4" t="inlineStr">
        <is>
          <t>PHAL 2T Cerámica Kolibri Mix (</t>
        </is>
      </c>
      <c r="F62" s="4" t="inlineStr">
        <is>
          <t>OK Plant</t>
        </is>
      </c>
      <c r="G62" s="4" t="inlineStr">
        <is>
          <t>COLOR Mixto · ALTURA 40 cm · MACETA 9</t>
        </is>
      </c>
      <c r="H62" s="3" t="inlineStr"/>
      <c r="I62" s="3" t="n">
        <v>8</v>
      </c>
      <c r="J62" s="3" t="inlineStr">
        <is>
          <t>8 шт.</t>
        </is>
      </c>
      <c r="K62" s="4">
        <f>IMAGE("https://cdn.verdnatura.es/image/catalog/1600x900/144102")</f>
        <v/>
      </c>
      <c r="L62" s="5" t="n"/>
      <c r="M62" s="5" t="n"/>
      <c r="N62" s="6" t="n"/>
      <c r="O62" s="7" t="n">
        <v>8.26</v>
      </c>
      <c r="P62" s="7" t="n">
        <v>66.08</v>
      </c>
    </row>
    <row r="63" ht="110" customHeight="1">
      <c r="A63" s="3" t="inlineStr">
        <is>
          <t>12705219</t>
        </is>
      </c>
      <c r="B63" s="3" t="inlineStr">
        <is>
          <t>27-04-2026</t>
        </is>
      </c>
      <c r="C63" s="3" t="inlineStr">
        <is>
          <t>Gloria</t>
        </is>
      </c>
      <c r="D63" s="3" t="inlineStr">
        <is>
          <t>198180</t>
        </is>
      </c>
      <c r="E63" s="4" t="inlineStr">
        <is>
          <t>PHAL 2T Cerámica Kolibri Mix C</t>
        </is>
      </c>
      <c r="F63" s="4" t="inlineStr">
        <is>
          <t>OK Plant</t>
        </is>
      </c>
      <c r="G63" s="4" t="inlineStr">
        <is>
          <t>COLOR Mixto · ALTURA 40 cm · MACETA 12</t>
        </is>
      </c>
      <c r="H63" s="3" t="inlineStr"/>
      <c r="I63" s="3" t="n">
        <v>8</v>
      </c>
      <c r="J63" s="3" t="inlineStr">
        <is>
          <t>8 шт.</t>
        </is>
      </c>
      <c r="K63" s="4">
        <f>IMAGE("https://cdn.verdnatura.es/image/catalog/1600x900/198180")</f>
        <v/>
      </c>
      <c r="L63" s="5" t="n"/>
      <c r="M63" s="5" t="n"/>
      <c r="N63" s="6" t="n"/>
      <c r="O63" s="7" t="n">
        <v>14.92</v>
      </c>
      <c r="P63" s="7" t="n">
        <v>119.36</v>
      </c>
    </row>
  </sheetData>
  <autoFilter ref="A1:P1"/>
  <mergeCells count="4">
    <mergeCell ref="A35:P35"/>
    <mergeCell ref="A49:P49"/>
    <mergeCell ref="A7:P7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2026-04-28T07:52:51Z</dcterms:created>
  <dcterms:modified xmlns:dcterms="http://purl.org/dc/terms/" xmlns:xsi="http://www.w3.org/2001/XMLSchema-instance" xsi:type="dcterms:W3CDTF">2026-04-28T07:52:51Z</dcterms:modified>
</cp:coreProperties>
</file>