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гист" sheetId="1" state="visible" r:id="rId1"/>
    <sheet xmlns:r="http://schemas.openxmlformats.org/officeDocument/2006/relationships" name="Plaza" sheetId="2" state="visible" r:id="rId2"/>
    <sheet xmlns:r="http://schemas.openxmlformats.org/officeDocument/2006/relationships" name="Gloria" sheetId="3" state="visible" r:id="rId3"/>
    <sheet xmlns:r="http://schemas.openxmlformats.org/officeDocument/2006/relationships" name="Blau" sheetId="4" state="visible" r:id="rId4"/>
  </sheets>
  <definedNames>
    <definedName name="_xlnm._FilterDatabase" localSheetId="0" hidden="1">'Логист'!$A$1:$Q$1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4B5"/>
        <bgColor rgb="00FFE4B5"/>
      </patternFill>
    </fill>
    <fill>
      <patternFill patternType="solid">
        <fgColor rgb="00FFF9DC"/>
        <bgColor rgb="00FFF9DC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FFFFFF"/>
        <sz val="11"/>
      </font>
      <fill>
        <patternFill patternType="solid">
          <fgColor rgb="00FF9800"/>
          <bgColor rgb="00FF98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7" customWidth="1" min="6" max="6"/>
    <col width="20" customWidth="1" min="7" max="7"/>
    <col width="7" customWidth="1" min="8" max="8"/>
    <col width="22" customWidth="1" min="9" max="9"/>
    <col width="8" customWidth="1" min="10" max="10"/>
    <col width="10" customWidth="1" min="11" max="11"/>
    <col width="10" customWidth="1" min="12" max="12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6" customHeight="1">
      <c r="A1" s="1" t="inlineStr">
        <is>
          <t>Order #</t>
        </is>
      </c>
      <c r="B1" s="1" t="inlineStr">
        <is>
          <t>VBN</t>
        </is>
      </c>
      <c r="C1" s="1" t="inlineStr">
        <is>
          <t>Артикул</t>
        </is>
      </c>
      <c r="D1" s="1" t="inlineStr">
        <is>
          <t>Цвет</t>
        </is>
      </c>
      <c r="E1" s="1" t="inlineStr">
        <is>
          <t>Высота</t>
        </is>
      </c>
      <c r="F1" s="1" t="inlineStr">
        <is>
          <t>Длина</t>
        </is>
      </c>
      <c r="G1" s="1" t="inlineStr">
        <is>
          <t>Productor</t>
        </is>
      </c>
      <c r="H1" s="1" t="inlineStr">
        <is>
          <t>Origin</t>
        </is>
      </c>
      <c r="I1" s="1" t="inlineStr">
        <is>
          <t>Фото</t>
        </is>
      </c>
      <c r="J1" s="1" t="inlineStr">
        <is>
          <t>Связок</t>
        </is>
      </c>
      <c r="K1" s="1" t="inlineStr">
        <is>
          <t>шт./связке</t>
        </is>
      </c>
      <c r="L1" s="1" t="inlineStr">
        <is>
          <t>Всего шт.</t>
        </is>
      </c>
      <c r="M1" s="1" t="inlineStr">
        <is>
          <t>Подсказка</t>
        </is>
      </c>
      <c r="N1" s="1" t="inlineStr">
        <is>
          <t>→ Plaza</t>
        </is>
      </c>
      <c r="O1" s="1" t="inlineStr">
        <is>
          <t>→ Gloria</t>
        </is>
      </c>
      <c r="P1" s="1" t="inlineStr">
        <is>
          <t>→ Blau</t>
        </is>
      </c>
      <c r="Q1" s="1" t="inlineStr">
        <is>
          <t>Остаток</t>
        </is>
      </c>
    </row>
    <row r="2" ht="26" customHeight="1">
      <c r="A2" s="2" t="inlineStr">
        <is>
          <t>📦 Order #3  ·  28-04-2026  ·  Order_14981457-2.xlsx  ·  10 позиций</t>
        </is>
      </c>
    </row>
    <row r="3" ht="110" customHeight="1">
      <c r="A3" s="3" t="inlineStr">
        <is>
          <t>3</t>
        </is>
      </c>
      <c r="B3" s="3" t="n">
        <v>17684</v>
      </c>
      <c r="C3" s="4" t="inlineStr">
        <is>
          <t>Chrys sa mix blossom</t>
        </is>
      </c>
      <c r="D3" s="3" t="inlineStr">
        <is>
          <t>MX</t>
        </is>
      </c>
      <c r="E3" s="3" t="inlineStr">
        <is>
          <t>55</t>
        </is>
      </c>
      <c r="F3" s="3" t="inlineStr">
        <is>
          <t>120</t>
        </is>
      </c>
      <c r="G3" s="4" t="inlineStr"/>
      <c r="H3" s="3" t="inlineStr">
        <is>
          <t>NL</t>
        </is>
      </c>
      <c r="I3" s="3">
        <f>IMAGE("https://img.ozexport.nl/artikelfotos/LIVE_fotos/0xF9E051005C59107BB2EF4DBE316748AA025DA2DF.jpg")</f>
        <v/>
      </c>
      <c r="J3" s="3" t="n">
        <v>2</v>
      </c>
      <c r="K3" s="3" t="n">
        <v>75</v>
      </c>
      <c r="L3" s="3" t="n">
        <v>150</v>
      </c>
      <c r="M3" s="4" t="inlineStr">
        <is>
          <t>2 связок × 75 шт = 150 шт</t>
        </is>
      </c>
      <c r="N3" s="5" t="n"/>
      <c r="O3" s="5" t="n"/>
      <c r="P3" s="5" t="n"/>
      <c r="Q3" s="3">
        <f>L3-N3-O3-P3</f>
        <v/>
      </c>
    </row>
    <row r="4" ht="110" customHeight="1">
      <c r="A4" s="3" t="inlineStr">
        <is>
          <t>3</t>
        </is>
      </c>
      <c r="B4" s="3" t="n">
        <v>17684</v>
      </c>
      <c r="C4" s="4" t="inlineStr">
        <is>
          <t>Chrys sa mix miller</t>
        </is>
      </c>
      <c r="D4" s="3" t="inlineStr">
        <is>
          <t>MX</t>
        </is>
      </c>
      <c r="E4" s="3" t="inlineStr">
        <is>
          <t>55</t>
        </is>
      </c>
      <c r="F4" s="3" t="inlineStr">
        <is>
          <t>110</t>
        </is>
      </c>
      <c r="G4" s="4" t="inlineStr"/>
      <c r="H4" s="3" t="inlineStr">
        <is>
          <t>NL</t>
        </is>
      </c>
      <c r="I4" s="3">
        <f>IMAGE("https://img.ozexport.nl/artikelfotos/LIVE_fotos/0x4519E6FFB4C82AE79EDD65BA65C285259478A44A.jpg")</f>
        <v/>
      </c>
      <c r="J4" s="3" t="n">
        <v>3</v>
      </c>
      <c r="K4" s="3" t="n">
        <v>75</v>
      </c>
      <c r="L4" s="3" t="n">
        <v>225</v>
      </c>
      <c r="M4" s="4" t="inlineStr">
        <is>
          <t>3 связок × 75 шт = 225 шт</t>
        </is>
      </c>
      <c r="N4" s="5" t="n"/>
      <c r="O4" s="5" t="n"/>
      <c r="P4" s="5" t="n"/>
      <c r="Q4" s="3">
        <f>L4-N4-O4-P4</f>
        <v/>
      </c>
    </row>
    <row r="5" ht="110" customHeight="1">
      <c r="A5" s="3" t="inlineStr">
        <is>
          <t>3</t>
        </is>
      </c>
      <c r="B5" s="3" t="n">
        <v>128631</v>
      </c>
      <c r="C5" s="4" t="inlineStr">
        <is>
          <t>Hydrangea mag pink floyd</t>
        </is>
      </c>
      <c r="D5" s="3" t="inlineStr">
        <is>
          <t>RS</t>
        </is>
      </c>
      <c r="E5" s="3" t="inlineStr">
        <is>
          <t>50</t>
        </is>
      </c>
      <c r="F5" s="3" t="inlineStr">
        <is>
          <t>16</t>
        </is>
      </c>
      <c r="G5" s="4" t="inlineStr"/>
      <c r="H5" s="3" t="inlineStr">
        <is>
          <t>NL</t>
        </is>
      </c>
      <c r="I5" s="3">
        <f>IMAGE("https://img.ozexport.nl/artikelfotos/LIVE_fotos/0x84F56A1D7048F659818EE78CA764FCEC4581D367.jpg")</f>
        <v/>
      </c>
      <c r="J5" s="3" t="n">
        <v>3</v>
      </c>
      <c r="K5" s="3" t="n">
        <v>10</v>
      </c>
      <c r="L5" s="3" t="n">
        <v>30</v>
      </c>
      <c r="M5" s="4" t="inlineStr">
        <is>
          <t>3 связок × 10 шт = 30 шт</t>
        </is>
      </c>
      <c r="N5" s="5" t="n"/>
      <c r="O5" s="5" t="n"/>
      <c r="P5" s="5" t="n"/>
      <c r="Q5" s="3">
        <f>L5-N5-O5-P5</f>
        <v/>
      </c>
    </row>
    <row r="6" ht="110" customHeight="1">
      <c r="A6" s="3" t="inlineStr">
        <is>
          <t>3</t>
        </is>
      </c>
      <c r="B6" s="3" t="n">
        <v>28168</v>
      </c>
      <c r="C6" s="4" t="inlineStr">
        <is>
          <t>Hydrangea mix in bucket</t>
        </is>
      </c>
      <c r="D6" s="3" t="inlineStr">
        <is>
          <t>MX</t>
        </is>
      </c>
      <c r="E6" s="3" t="inlineStr">
        <is>
          <t>40</t>
        </is>
      </c>
      <c r="F6" s="3" t="inlineStr">
        <is>
          <t>14</t>
        </is>
      </c>
      <c r="G6" s="4" t="inlineStr"/>
      <c r="H6" s="3" t="inlineStr">
        <is>
          <t>NL</t>
        </is>
      </c>
      <c r="I6" s="3">
        <f>IMAGE("https://img.ozexport.nl/artikelfotos/LIVE_fotos/0x24D71F3D3142FBF64FB1FB14089868B7FAFCA17F.jpg")</f>
        <v/>
      </c>
      <c r="J6" s="3" t="n">
        <v>3</v>
      </c>
      <c r="K6" s="3" t="n">
        <v>10</v>
      </c>
      <c r="L6" s="3" t="n">
        <v>30</v>
      </c>
      <c r="M6" s="4" t="inlineStr">
        <is>
          <t>3 связок × 10 шт = 30 шт</t>
        </is>
      </c>
      <c r="N6" s="5" t="n"/>
      <c r="O6" s="5" t="n"/>
      <c r="P6" s="5" t="n"/>
      <c r="Q6" s="3">
        <f>L6-N6-O6-P6</f>
        <v/>
      </c>
    </row>
    <row r="7" ht="110" customHeight="1">
      <c r="A7" s="3" t="inlineStr">
        <is>
          <t>3</t>
        </is>
      </c>
      <c r="B7" s="3" t="n">
        <v>125463</v>
      </c>
      <c r="C7" s="4" t="inlineStr">
        <is>
          <t>Rosa large mai tai</t>
        </is>
      </c>
      <c r="D7" s="3" t="inlineStr">
        <is>
          <t>RS</t>
        </is>
      </c>
      <c r="E7" s="3" t="inlineStr">
        <is>
          <t>50</t>
        </is>
      </c>
      <c r="F7" s="3" t="inlineStr">
        <is>
          <t>23</t>
        </is>
      </c>
      <c r="G7" s="4" t="inlineStr"/>
      <c r="H7" s="3" t="inlineStr">
        <is>
          <t>KE</t>
        </is>
      </c>
      <c r="I7" s="3">
        <f>IMAGE("https://img.ozexport.nl/artikelfotos/LIVE_fotos/0x8E753F55E1C30392FEBDFCE0EAB2AAC6EB7DA8F1.jpg")</f>
        <v/>
      </c>
      <c r="J7" s="3" t="n">
        <v>1</v>
      </c>
      <c r="K7" s="3" t="n">
        <v>60</v>
      </c>
      <c r="L7" s="3" t="n">
        <v>60</v>
      </c>
      <c r="M7" s="4" t="inlineStr">
        <is>
          <t>1 связок × 60 шт = 60 шт</t>
        </is>
      </c>
      <c r="N7" s="5" t="n"/>
      <c r="O7" s="5" t="n"/>
      <c r="P7" s="5" t="n"/>
      <c r="Q7" s="3">
        <f>L7-N7-O7-P7</f>
        <v/>
      </c>
    </row>
    <row r="8" ht="110" customHeight="1">
      <c r="A8" s="3" t="inlineStr">
        <is>
          <t>3</t>
        </is>
      </c>
      <c r="B8" s="3" t="n">
        <v>132297</v>
      </c>
      <c r="C8" s="4" t="inlineStr">
        <is>
          <t>Rosa spray birds nest+</t>
        </is>
      </c>
      <c r="D8" s="3" t="inlineStr">
        <is>
          <t>RS</t>
        </is>
      </c>
      <c r="E8" s="3" t="inlineStr">
        <is>
          <t>40</t>
        </is>
      </c>
      <c r="F8" s="3" t="inlineStr">
        <is>
          <t>4/5</t>
        </is>
      </c>
      <c r="G8" s="4" t="inlineStr"/>
      <c r="H8" s="3" t="inlineStr">
        <is>
          <t>KE</t>
        </is>
      </c>
      <c r="I8" s="3">
        <f>IMAGE("https://img.ozexport.nl/artikelfotos/LIVE_fotos/0x60538DF46DC4CAA6E3EE611EC8AB12EE8FFC0385.jpg")</f>
        <v/>
      </c>
      <c r="J8" s="3" t="n">
        <v>1</v>
      </c>
      <c r="K8" s="3" t="n">
        <v>40</v>
      </c>
      <c r="L8" s="3" t="n">
        <v>40</v>
      </c>
      <c r="M8" s="4" t="inlineStr">
        <is>
          <t>1 связок × 40 шт = 40 шт</t>
        </is>
      </c>
      <c r="N8" s="5" t="n"/>
      <c r="O8" s="5" t="n"/>
      <c r="P8" s="5" t="n"/>
      <c r="Q8" s="3">
        <f>L8-N8-O8-P8</f>
        <v/>
      </c>
    </row>
    <row r="9" ht="110" customHeight="1">
      <c r="A9" s="3" t="inlineStr">
        <is>
          <t>3</t>
        </is>
      </c>
      <c r="B9" s="3" t="n">
        <v>132297</v>
      </c>
      <c r="C9" s="4" t="inlineStr">
        <is>
          <t>Rosa spray birds nest+</t>
        </is>
      </c>
      <c r="D9" s="3" t="inlineStr">
        <is>
          <t>RS</t>
        </is>
      </c>
      <c r="E9" s="3" t="inlineStr">
        <is>
          <t>40</t>
        </is>
      </c>
      <c r="F9" s="3" t="inlineStr">
        <is>
          <t>4/5</t>
        </is>
      </c>
      <c r="G9" s="4" t="inlineStr"/>
      <c r="H9" s="3" t="inlineStr">
        <is>
          <t>KE</t>
        </is>
      </c>
      <c r="I9" s="3">
        <f>IMAGE("https://img.ozexport.nl/artikelfotos/LIVE_fotos/0x60538DF46DC4CAA6E3EE611EC8AB12EE8FFC0385.jpg")</f>
        <v/>
      </c>
      <c r="J9" s="3" t="n">
        <v>2</v>
      </c>
      <c r="K9" s="3" t="n">
        <v>40</v>
      </c>
      <c r="L9" s="3" t="n">
        <v>80</v>
      </c>
      <c r="M9" s="4" t="inlineStr">
        <is>
          <t>2 связок × 40 шт = 80 шт</t>
        </is>
      </c>
      <c r="N9" s="5" t="n"/>
      <c r="O9" s="5" t="n"/>
      <c r="P9" s="5" t="n"/>
      <c r="Q9" s="3">
        <f>L9-N9-O9-P9</f>
        <v/>
      </c>
    </row>
    <row r="10" ht="110" customHeight="1">
      <c r="A10" s="3" t="inlineStr">
        <is>
          <t>3</t>
        </is>
      </c>
      <c r="B10" s="3" t="n">
        <v>127726</v>
      </c>
      <c r="C10" s="4" t="inlineStr">
        <is>
          <t>Tulipa do marax pride</t>
        </is>
      </c>
      <c r="D10" s="3" t="inlineStr">
        <is>
          <t>RO</t>
        </is>
      </c>
      <c r="E10" s="3" t="inlineStr">
        <is>
          <t>36</t>
        </is>
      </c>
      <c r="F10" s="3" t="inlineStr">
        <is>
          <t>38</t>
        </is>
      </c>
      <c r="G10" s="4" t="inlineStr"/>
      <c r="H10" s="3" t="inlineStr">
        <is>
          <t>NL</t>
        </is>
      </c>
      <c r="I10" s="3">
        <f>IMAGE("https://img.ozexport.nl/artikelfotos/LIVE_fotos/0x7A170CE9059148DABDFC3248F3730BFB4CD722D6.jpg")</f>
        <v/>
      </c>
      <c r="J10" s="3" t="n">
        <v>2</v>
      </c>
      <c r="K10" s="3" t="n">
        <v>50</v>
      </c>
      <c r="L10" s="3" t="n">
        <v>100</v>
      </c>
      <c r="M10" s="4" t="inlineStr">
        <is>
          <t>2 связок × 50 шт = 100 шт</t>
        </is>
      </c>
      <c r="N10" s="5" t="n"/>
      <c r="O10" s="5" t="n"/>
      <c r="P10" s="5" t="n"/>
      <c r="Q10" s="3">
        <f>L10-N10-O10-P10</f>
        <v/>
      </c>
    </row>
    <row r="11" ht="110" customHeight="1">
      <c r="A11" s="3" t="inlineStr">
        <is>
          <t>3</t>
        </is>
      </c>
      <c r="B11" s="3" t="n">
        <v>127912</v>
      </c>
      <c r="C11" s="4" t="inlineStr">
        <is>
          <t>Tulipa do soulmate</t>
        </is>
      </c>
      <c r="D11" s="3" t="inlineStr">
        <is>
          <t>RO</t>
        </is>
      </c>
      <c r="E11" s="3" t="inlineStr">
        <is>
          <t>36</t>
        </is>
      </c>
      <c r="F11" s="3" t="inlineStr">
        <is>
          <t>34</t>
        </is>
      </c>
      <c r="G11" s="4" t="inlineStr"/>
      <c r="H11" s="3" t="inlineStr">
        <is>
          <t>NL</t>
        </is>
      </c>
      <c r="I11" s="3">
        <f>IMAGE("https://img.ozexport.nl/artikelfotos/LIVE_fotos/0xFC4D68C8E930517D0F1F4FBE6970EFA3CA1F00AE.jpg")</f>
        <v/>
      </c>
      <c r="J11" s="3" t="n">
        <v>2</v>
      </c>
      <c r="K11" s="3" t="n">
        <v>50</v>
      </c>
      <c r="L11" s="3" t="n">
        <v>100</v>
      </c>
      <c r="M11" s="4" t="inlineStr">
        <is>
          <t>2 связок × 50 шт = 100 шт</t>
        </is>
      </c>
      <c r="N11" s="5" t="n"/>
      <c r="O11" s="5" t="n"/>
      <c r="P11" s="5" t="n"/>
      <c r="Q11" s="3">
        <f>L11-N11-O11-P11</f>
        <v/>
      </c>
    </row>
    <row r="12" ht="110" customHeight="1">
      <c r="A12" s="3" t="inlineStr">
        <is>
          <t>3</t>
        </is>
      </c>
      <c r="B12" s="3" t="n">
        <v>315</v>
      </c>
      <c r="C12" s="4" t="inlineStr">
        <is>
          <t>Tulipa si flamingo shake</t>
        </is>
      </c>
      <c r="D12" s="3" t="inlineStr">
        <is>
          <t>ORRS</t>
        </is>
      </c>
      <c r="E12" s="3" t="inlineStr">
        <is>
          <t>52</t>
        </is>
      </c>
      <c r="F12" s="3" t="inlineStr">
        <is>
          <t>52</t>
        </is>
      </c>
      <c r="G12" s="4" t="inlineStr"/>
      <c r="H12" s="3" t="inlineStr">
        <is>
          <t>NL</t>
        </is>
      </c>
      <c r="I12" s="3">
        <f>IMAGE("https://img.ozexport.nl/artikelfotos/LIVE_fotos/0x00A11E7140D509AAB65998411B2C367109CFF328.jpg")</f>
        <v/>
      </c>
      <c r="J12" s="3" t="n">
        <v>4</v>
      </c>
      <c r="K12" s="3" t="n">
        <v>50</v>
      </c>
      <c r="L12" s="3" t="n">
        <v>200</v>
      </c>
      <c r="M12" s="4" t="inlineStr">
        <is>
          <t>4 связок × 50 шт = 200 шт</t>
        </is>
      </c>
      <c r="N12" s="5" t="n"/>
      <c r="O12" s="5" t="n"/>
      <c r="P12" s="5" t="n"/>
      <c r="Q12" s="3">
        <f>L12-N12-O12-P12</f>
        <v/>
      </c>
    </row>
    <row r="13" ht="26" customHeight="1">
      <c r="A13" s="2" t="inlineStr">
        <is>
          <t>📦 Order #8  ·  28-04-2026  ·  Order_14981805-2.xlsx  ·  10 позиций</t>
        </is>
      </c>
    </row>
    <row r="14" ht="110" customHeight="1">
      <c r="A14" s="3" t="inlineStr">
        <is>
          <t>8</t>
        </is>
      </c>
      <c r="B14" s="3" t="n">
        <v>23079</v>
      </c>
      <c r="C14" s="4" t="inlineStr">
        <is>
          <t>.Ficus micr ginseng in ceramic</t>
        </is>
      </c>
      <c r="D14" s="3" t="inlineStr">
        <is>
          <t>NT</t>
        </is>
      </c>
      <c r="E14" s="3" t="inlineStr">
        <is>
          <t>20</t>
        </is>
      </c>
      <c r="F14" s="3" t="inlineStr">
        <is>
          <t>45</t>
        </is>
      </c>
      <c r="G14" s="4" t="inlineStr"/>
      <c r="H14" s="3" t="inlineStr">
        <is>
          <t>NL</t>
        </is>
      </c>
      <c r="I14" s="3">
        <f>IMAGE("https://img.ozexport.nl/artikelfotos/ART_fotos/VBN/vbn23079.jpg")</f>
        <v/>
      </c>
      <c r="J14" s="3" t="n">
        <v>2</v>
      </c>
      <c r="K14" s="3" t="n">
        <v>2</v>
      </c>
      <c r="L14" s="3" t="n">
        <v>4</v>
      </c>
      <c r="M14" s="4" t="inlineStr">
        <is>
          <t>2 связок × 2 шт = 4 шт</t>
        </is>
      </c>
      <c r="N14" s="5" t="n"/>
      <c r="O14" s="5" t="n"/>
      <c r="P14" s="5" t="n"/>
      <c r="Q14" s="3">
        <f>L14-N14-O14-P14</f>
        <v/>
      </c>
    </row>
    <row r="15" ht="110" customHeight="1">
      <c r="A15" s="3" t="inlineStr">
        <is>
          <t>8</t>
        </is>
      </c>
      <c r="B15" s="3" t="n">
        <v>9682</v>
      </c>
      <c r="C15" s="4" t="inlineStr">
        <is>
          <t>Codiaeum vari mrs iceton</t>
        </is>
      </c>
      <c r="D15" s="3" t="inlineStr">
        <is>
          <t>_</t>
        </is>
      </c>
      <c r="E15" s="3" t="inlineStr">
        <is>
          <t>24</t>
        </is>
      </c>
      <c r="F15" s="3" t="inlineStr">
        <is>
          <t>100</t>
        </is>
      </c>
      <c r="G15" s="4" t="inlineStr"/>
      <c r="H15" s="3" t="inlineStr">
        <is>
          <t>NL</t>
        </is>
      </c>
      <c r="I15" s="3">
        <f>IMAGE("https://img.ozexport.nl/artikelfotos/LIVE_fotos/0x08D44912019657C046741E2F2B39F0467CF80585.jpg")</f>
        <v/>
      </c>
      <c r="J15" s="3" t="n">
        <v>2</v>
      </c>
      <c r="K15" s="3" t="n">
        <v>1</v>
      </c>
      <c r="L15" s="3" t="n">
        <v>2</v>
      </c>
      <c r="M15" s="4" t="inlineStr">
        <is>
          <t>2 связок × 1 шт = 2 шт</t>
        </is>
      </c>
      <c r="N15" s="5" t="n"/>
      <c r="O15" s="5" t="n"/>
      <c r="P15" s="5" t="n"/>
      <c r="Q15" s="3">
        <f>L15-N15-O15-P15</f>
        <v/>
      </c>
    </row>
    <row r="16" ht="110" customHeight="1">
      <c r="A16" s="3" t="inlineStr">
        <is>
          <t>8</t>
        </is>
      </c>
      <c r="B16" s="3" t="n">
        <v>9682</v>
      </c>
      <c r="C16" s="4" t="inlineStr">
        <is>
          <t>Codiaeum vari mrs iceton</t>
        </is>
      </c>
      <c r="D16" s="3" t="inlineStr">
        <is>
          <t>_</t>
        </is>
      </c>
      <c r="E16" s="3" t="inlineStr">
        <is>
          <t>19</t>
        </is>
      </c>
      <c r="F16" s="3" t="inlineStr">
        <is>
          <t>60</t>
        </is>
      </c>
      <c r="G16" s="4" t="inlineStr"/>
      <c r="H16" s="3" t="inlineStr">
        <is>
          <t>NL</t>
        </is>
      </c>
      <c r="I16" s="3">
        <f>IMAGE("https://img.ozexport.nl/artikelfotos/LIVE_fotos/0x8F6769B0CBFB7F791D088F4431134993680B6DBB.jpg")</f>
        <v/>
      </c>
      <c r="J16" s="3" t="n">
        <v>1</v>
      </c>
      <c r="K16" s="3" t="n">
        <v>3</v>
      </c>
      <c r="L16" s="3" t="n">
        <v>3</v>
      </c>
      <c r="M16" s="4" t="inlineStr">
        <is>
          <t>1 связок × 3 шт = 3 шт</t>
        </is>
      </c>
      <c r="N16" s="5" t="n"/>
      <c r="O16" s="5" t="n"/>
      <c r="P16" s="5" t="n"/>
      <c r="Q16" s="3">
        <f>L16-N16-O16-P16</f>
        <v/>
      </c>
    </row>
    <row r="17" ht="110" customHeight="1">
      <c r="A17" s="3" t="inlineStr">
        <is>
          <t>8</t>
        </is>
      </c>
      <c r="B17" s="3" t="n">
        <v>9703</v>
      </c>
      <c r="C17" s="4" t="inlineStr">
        <is>
          <t>Codiaeum vari petra</t>
        </is>
      </c>
      <c r="D17" s="3" t="inlineStr">
        <is>
          <t>NT</t>
        </is>
      </c>
      <c r="E17" s="3" t="inlineStr">
        <is>
          <t>24</t>
        </is>
      </c>
      <c r="F17" s="3" t="inlineStr">
        <is>
          <t>100</t>
        </is>
      </c>
      <c r="G17" s="4" t="inlineStr"/>
      <c r="H17" s="3" t="inlineStr">
        <is>
          <t>NL</t>
        </is>
      </c>
      <c r="I17" s="3">
        <f>IMAGE("https://img.ozexport.nl/artikelfotos/LIVE_fotos/0x151F22E1068F51325940236FAC100FB14B09B1D8.jpg")</f>
        <v/>
      </c>
      <c r="J17" s="3" t="n">
        <v>1</v>
      </c>
      <c r="K17" s="3" t="n">
        <v>1</v>
      </c>
      <c r="L17" s="3" t="n">
        <v>1</v>
      </c>
      <c r="M17" s="4" t="inlineStr">
        <is>
          <t>1 связок × 1 шт = 1 шт</t>
        </is>
      </c>
      <c r="N17" s="5" t="n"/>
      <c r="O17" s="5" t="n"/>
      <c r="P17" s="5" t="n"/>
      <c r="Q17" s="3">
        <f>L17-N17-O17-P17</f>
        <v/>
      </c>
    </row>
    <row r="18" ht="110" customHeight="1">
      <c r="A18" s="3" t="inlineStr">
        <is>
          <t>8</t>
        </is>
      </c>
      <c r="B18" s="3" t="n">
        <v>9762</v>
      </c>
      <c r="C18" s="4" t="inlineStr">
        <is>
          <t>Dracaena frag compacta</t>
        </is>
      </c>
      <c r="D18" s="3" t="inlineStr">
        <is>
          <t>NT</t>
        </is>
      </c>
      <c r="E18" s="3" t="inlineStr">
        <is>
          <t>17</t>
        </is>
      </c>
      <c r="F18" s="3" t="inlineStr">
        <is>
          <t>45</t>
        </is>
      </c>
      <c r="G18" s="4" t="inlineStr"/>
      <c r="H18" s="3" t="inlineStr">
        <is>
          <t>NL</t>
        </is>
      </c>
      <c r="I18" s="3">
        <f>IMAGE("https://img.ozexport.nl/artikelfotos/LIVE_fotos/0xE38F4B07D57CC6BF21D151680D76D3C89D6CED37.jpg")</f>
        <v/>
      </c>
      <c r="J18" s="3" t="n">
        <v>2</v>
      </c>
      <c r="K18" s="3" t="n">
        <v>6</v>
      </c>
      <c r="L18" s="3" t="n">
        <v>12</v>
      </c>
      <c r="M18" s="4" t="inlineStr">
        <is>
          <t>2 связок × 6 шт = 12 шт</t>
        </is>
      </c>
      <c r="N18" s="5" t="n"/>
      <c r="O18" s="5" t="n"/>
      <c r="P18" s="5" t="n"/>
      <c r="Q18" s="3">
        <f>L18-N18-O18-P18</f>
        <v/>
      </c>
    </row>
    <row r="19" ht="110" customHeight="1">
      <c r="A19" s="3" t="inlineStr">
        <is>
          <t>8</t>
        </is>
      </c>
      <c r="B19" s="3" t="n">
        <v>114296</v>
      </c>
      <c r="C19" s="4" t="inlineStr">
        <is>
          <t>Dracaena frag lemon lime</t>
        </is>
      </c>
      <c r="D19" s="3" t="inlineStr">
        <is>
          <t>NT</t>
        </is>
      </c>
      <c r="E19" s="3" t="inlineStr">
        <is>
          <t>27</t>
        </is>
      </c>
      <c r="F19" s="3" t="inlineStr">
        <is>
          <t>140</t>
        </is>
      </c>
      <c r="G19" s="4" t="inlineStr"/>
      <c r="H19" s="3" t="inlineStr">
        <is>
          <t>NL</t>
        </is>
      </c>
      <c r="I19" s="3">
        <f>IMAGE("https://img.ozexport.nl/artikelfotos/LIVE_fotos/0xBA0DAD493FDD77ABAFFE62FC146017AD5D44282A.jpg")</f>
        <v/>
      </c>
      <c r="J19" s="3" t="n">
        <v>2</v>
      </c>
      <c r="K19" s="3" t="n">
        <v>1</v>
      </c>
      <c r="L19" s="3" t="n">
        <v>2</v>
      </c>
      <c r="M19" s="4" t="inlineStr">
        <is>
          <t>2 связок × 1 шт = 2 шт</t>
        </is>
      </c>
      <c r="N19" s="5" t="n"/>
      <c r="O19" s="5" t="n"/>
      <c r="P19" s="5" t="n"/>
      <c r="Q19" s="3">
        <f>L19-N19-O19-P19</f>
        <v/>
      </c>
    </row>
    <row r="20" ht="110" customHeight="1">
      <c r="A20" s="3" t="inlineStr">
        <is>
          <t>8</t>
        </is>
      </c>
      <c r="B20" s="3" t="n">
        <v>17115</v>
      </c>
      <c r="C20" s="4" t="inlineStr">
        <is>
          <t>Dracaena sand lucky bamboo</t>
        </is>
      </c>
      <c r="D20" s="3" t="inlineStr">
        <is>
          <t>GR</t>
        </is>
      </c>
      <c r="E20" s="3" t="inlineStr">
        <is>
          <t>10</t>
        </is>
      </c>
      <c r="F20" s="3" t="inlineStr">
        <is>
          <t>18</t>
        </is>
      </c>
      <c r="G20" s="4" t="inlineStr"/>
      <c r="H20" s="3" t="inlineStr">
        <is>
          <t>NL</t>
        </is>
      </c>
      <c r="I20" s="3">
        <f>IMAGE("https://img.ozexport.nl/artikelfotos/LIVE_fotos/0x7F5D8AC832994BF5B79253A479321A200834E649.jpg")</f>
        <v/>
      </c>
      <c r="J20" s="3" t="n">
        <v>1</v>
      </c>
      <c r="K20" s="3" t="n">
        <v>7</v>
      </c>
      <c r="L20" s="3" t="n">
        <v>7</v>
      </c>
      <c r="M20" s="4" t="inlineStr">
        <is>
          <t>1 связок × 7 шт = 7 шт</t>
        </is>
      </c>
      <c r="N20" s="5" t="n"/>
      <c r="O20" s="5" t="n"/>
      <c r="P20" s="5" t="n"/>
      <c r="Q20" s="3">
        <f>L20-N20-O20-P20</f>
        <v/>
      </c>
    </row>
    <row r="21" ht="110" customHeight="1">
      <c r="A21" s="3" t="inlineStr">
        <is>
          <t>8</t>
        </is>
      </c>
      <c r="B21" s="3" t="n">
        <v>23079</v>
      </c>
      <c r="C21" s="4" t="inlineStr">
        <is>
          <t>Ficus micr ginseng</t>
        </is>
      </c>
      <c r="D21" s="3" t="inlineStr">
        <is>
          <t>NT</t>
        </is>
      </c>
      <c r="E21" s="3" t="inlineStr">
        <is>
          <t>35</t>
        </is>
      </c>
      <c r="F21" s="3" t="inlineStr">
        <is>
          <t>110</t>
        </is>
      </c>
      <c r="G21" s="4" t="inlineStr"/>
      <c r="H21" s="3" t="inlineStr">
        <is>
          <t>NL</t>
        </is>
      </c>
      <c r="I21" s="3">
        <f>IMAGE("https://img.ozexport.nl/artikelfotos/LIVE_fotos/0xAF48D3DD025B570282F417C46618BF4F1D73F072.jpg")</f>
        <v/>
      </c>
      <c r="J21" s="3" t="n">
        <v>1</v>
      </c>
      <c r="K21" s="3" t="n">
        <v>1</v>
      </c>
      <c r="L21" s="3" t="n">
        <v>1</v>
      </c>
      <c r="M21" s="4" t="inlineStr">
        <is>
          <t>1 связок × 1 шт = 1 шт</t>
        </is>
      </c>
      <c r="N21" s="5" t="n"/>
      <c r="O21" s="5" t="n"/>
      <c r="P21" s="5" t="n"/>
      <c r="Q21" s="3">
        <f>L21-N21-O21-P21</f>
        <v/>
      </c>
    </row>
    <row r="22" ht="110" customHeight="1">
      <c r="A22" s="3" t="inlineStr">
        <is>
          <t>8</t>
        </is>
      </c>
      <c r="B22" s="3" t="n">
        <v>9569</v>
      </c>
      <c r="C22" s="4" t="inlineStr">
        <is>
          <t>Sansevieria trifasciata laurentii</t>
        </is>
      </c>
      <c r="D22" s="3" t="inlineStr">
        <is>
          <t>NT</t>
        </is>
      </c>
      <c r="E22" s="3" t="inlineStr">
        <is>
          <t>21</t>
        </is>
      </c>
      <c r="F22" s="3" t="inlineStr">
        <is>
          <t>75</t>
        </is>
      </c>
      <c r="G22" s="4" t="inlineStr"/>
      <c r="H22" s="3" t="inlineStr">
        <is>
          <t>NL</t>
        </is>
      </c>
      <c r="I22" s="3">
        <f>IMAGE("https://img.ozexport.nl/artikelfotos/LIVE_fotos/0x2ADC7994A9F4F6211D8354DF9BDAE5C3419EF578.jpg")</f>
        <v/>
      </c>
      <c r="J22" s="3" t="n">
        <v>2</v>
      </c>
      <c r="K22" s="3" t="n">
        <v>1</v>
      </c>
      <c r="L22" s="3" t="n">
        <v>2</v>
      </c>
      <c r="M22" s="4" t="inlineStr">
        <is>
          <t>2 связок × 1 шт = 2 шт</t>
        </is>
      </c>
      <c r="N22" s="5" t="n"/>
      <c r="O22" s="5" t="n"/>
      <c r="P22" s="5" t="n"/>
      <c r="Q22" s="3">
        <f>L22-N22-O22-P22</f>
        <v/>
      </c>
    </row>
    <row r="23" ht="110" customHeight="1">
      <c r="A23" s="3" t="inlineStr">
        <is>
          <t>8</t>
        </is>
      </c>
      <c r="B23" s="3" t="n">
        <v>9652</v>
      </c>
      <c r="C23" s="4" t="inlineStr">
        <is>
          <t>Zantedeschia other</t>
        </is>
      </c>
      <c r="D23" s="3" t="inlineStr">
        <is>
          <t>OG</t>
        </is>
      </c>
      <c r="E23" s="3" t="inlineStr">
        <is>
          <t>14</t>
        </is>
      </c>
      <c r="F23" s="3" t="inlineStr">
        <is>
          <t>45</t>
        </is>
      </c>
      <c r="G23" s="4" t="inlineStr"/>
      <c r="H23" s="3" t="inlineStr">
        <is>
          <t>NL</t>
        </is>
      </c>
      <c r="I23" s="3">
        <f>IMAGE("https://img.ozexport.nl/artikelfotos/LIVE_fotos/0x8DC283452E971BA2C56BA205E71E85EB8E7A5FFB.jpg")</f>
        <v/>
      </c>
      <c r="J23" s="3" t="n">
        <v>1</v>
      </c>
      <c r="K23" s="3" t="n">
        <v>7</v>
      </c>
      <c r="L23" s="3" t="n">
        <v>7</v>
      </c>
      <c r="M23" s="4" t="inlineStr">
        <is>
          <t>1 связок × 7 шт = 7 шт</t>
        </is>
      </c>
      <c r="N23" s="5" t="n"/>
      <c r="O23" s="5" t="n"/>
      <c r="P23" s="5" t="n"/>
      <c r="Q23" s="3">
        <f>L23-N23-O23-P23</f>
        <v/>
      </c>
    </row>
  </sheetData>
  <autoFilter ref="A1:Q1"/>
  <mergeCells count="2">
    <mergeCell ref="A2:Q2"/>
    <mergeCell ref="A13:Q13"/>
  </mergeCells>
  <conditionalFormatting sqref="Q2:Q23">
    <cfRule type="expression" priority="1" dxfId="0">
      <formula>AND(ISNUMBER(Q2), Q2&lt;&gt;0)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Plaza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ISNUMBER('Логист'!N:N)*('Логист'!N:N&gt;0)); "")</f>
        <v/>
      </c>
      <c r="B3" s="3">
        <f>IFERROR(FILTER('Логист'!B:B; ISNUMBER('Логист'!N:N)*('Логист'!N:N&gt;0)); "")</f>
        <v/>
      </c>
      <c r="C3" s="4">
        <f>IFERROR(FILTER('Логист'!C:C; ISNUMBER('Логист'!N:N)*('Логист'!N:N&gt;0)); "")</f>
        <v/>
      </c>
      <c r="D3" s="3">
        <f>IFERROR(FILTER('Логист'!D:D; ISNUMBER('Логист'!N:N)*('Логист'!N:N&gt;0)); "")</f>
        <v/>
      </c>
      <c r="E3" s="3">
        <f>IFERROR(FILTER('Логист'!E:E; ISNUMBER('Логист'!N:N)*('Логист'!N:N&gt;0)); "")</f>
        <v/>
      </c>
      <c r="F3" s="3">
        <f>IFERROR(FILTER('Логист'!I:I; ISNUMBER('Логист'!N:N)*('Логист'!N:N&gt;0)); "")</f>
        <v/>
      </c>
      <c r="G3" s="3">
        <f>IFERROR(FILTER('Логист'!N:N; ISNUMBER('Логист'!N:N)*('Логист'!N:N&gt;0)); "")</f>
        <v/>
      </c>
      <c r="H3" s="3">
        <f>IFERROR(FILTER('Логист'!K:K; ISNUMBER('Логист'!N:N)*('Логист'!N:N&gt;0)); "")</f>
        <v/>
      </c>
      <c r="I3" s="4">
        <f>IFERROR(FILTER('Логист'!M:M; ISNUMBER('Логист'!N:N)*('Логист'!N:N&gt;0));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Gloria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ISNUMBER('Логист'!O:O)*('Логист'!O:O&gt;0)); "")</f>
        <v/>
      </c>
      <c r="B3" s="3">
        <f>IFERROR(FILTER('Логист'!B:B; ISNUMBER('Логист'!O:O)*('Логист'!O:O&gt;0)); "")</f>
        <v/>
      </c>
      <c r="C3" s="4">
        <f>IFERROR(FILTER('Логист'!C:C; ISNUMBER('Логист'!O:O)*('Логист'!O:O&gt;0)); "")</f>
        <v/>
      </c>
      <c r="D3" s="3">
        <f>IFERROR(FILTER('Логист'!D:D; ISNUMBER('Логист'!O:O)*('Логист'!O:O&gt;0)); "")</f>
        <v/>
      </c>
      <c r="E3" s="3">
        <f>IFERROR(FILTER('Логист'!E:E; ISNUMBER('Логист'!O:O)*('Логист'!O:O&gt;0)); "")</f>
        <v/>
      </c>
      <c r="F3" s="3">
        <f>IFERROR(FILTER('Логист'!I:I; ISNUMBER('Логист'!O:O)*('Логист'!O:O&gt;0)); "")</f>
        <v/>
      </c>
      <c r="G3" s="3">
        <f>IFERROR(FILTER('Логист'!O:O; ISNUMBER('Логист'!O:O)*('Логист'!O:O&gt;0)); "")</f>
        <v/>
      </c>
      <c r="H3" s="3">
        <f>IFERROR(FILTER('Логист'!K:K; ISNUMBER('Логист'!O:O)*('Логист'!O:O&gt;0)); "")</f>
        <v/>
      </c>
      <c r="I3" s="4">
        <f>IFERROR(FILTER('Логист'!M:M; ISNUMBER('Логист'!O:O)*('Логист'!O:O&gt;0));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Blau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ISNUMBER('Логист'!P:P)*('Логист'!P:P&gt;0)); "")</f>
        <v/>
      </c>
      <c r="B3" s="3">
        <f>IFERROR(FILTER('Логист'!B:B; ISNUMBER('Логист'!P:P)*('Логист'!P:P&gt;0)); "")</f>
        <v/>
      </c>
      <c r="C3" s="4">
        <f>IFERROR(FILTER('Логист'!C:C; ISNUMBER('Логист'!P:P)*('Логист'!P:P&gt;0)); "")</f>
        <v/>
      </c>
      <c r="D3" s="3">
        <f>IFERROR(FILTER('Логист'!D:D; ISNUMBER('Логист'!P:P)*('Логист'!P:P&gt;0)); "")</f>
        <v/>
      </c>
      <c r="E3" s="3">
        <f>IFERROR(FILTER('Логист'!E:E; ISNUMBER('Логист'!P:P)*('Логист'!P:P&gt;0)); "")</f>
        <v/>
      </c>
      <c r="F3" s="3">
        <f>IFERROR(FILTER('Логист'!I:I; ISNUMBER('Логист'!P:P)*('Логист'!P:P&gt;0)); "")</f>
        <v/>
      </c>
      <c r="G3" s="3">
        <f>IFERROR(FILTER('Логист'!P:P; ISNUMBER('Логист'!P:P)*('Логист'!P:P&gt;0)); "")</f>
        <v/>
      </c>
      <c r="H3" s="3">
        <f>IFERROR(FILTER('Логист'!K:K; ISNUMBER('Логист'!P:P)*('Логист'!P:P&gt;0)); "")</f>
        <v/>
      </c>
      <c r="I3" s="4">
        <f>IFERROR(FILTER('Логист'!M:M; ISNUMBER('Логист'!P:P)*('Логист'!P:P&gt;0));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2026-04-30T16:02:31Z</dcterms:created>
  <dcterms:modified xmlns:dcterms="http://purl.org/dc/terms/" xmlns:xsi="http://www.w3.org/2001/XMLSchema-instance" xsi:type="dcterms:W3CDTF">2026-04-30T16:02:31Z</dcterms:modified>
</cp:coreProperties>
</file>