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f0f1827ff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Index" sheetId="1" r:id="R75ca129c0fe0463d"/>
    <x:sheet xmlns:r="http://schemas.openxmlformats.org/officeDocument/2006/relationships" name="Summary" sheetId="2" r:id="R50a8f600bb95489d"/>
    <x:sheet xmlns:r="http://schemas.openxmlformats.org/officeDocument/2006/relationships" name="Read Me" sheetId="3" r:id="R73bc4899018b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0baf94c884db8" /><Relationship Type="http://schemas.openxmlformats.org/officeDocument/2006/relationships/theme" Target="/xl/theme/theme1.xml" Id="Raf0c257a741e4ef6" /><Relationship Type="http://schemas.openxmlformats.org/officeDocument/2006/relationships/sharedStrings" Target="/xl/sharedStrings.xml" Id="R5fb52070f8214e8b" /><Relationship Type="http://schemas.openxmlformats.org/officeDocument/2006/relationships/worksheet" Target="/xl/worksheets/sheet1.xml" Id="R75ca129c0fe0463d" /><Relationship Type="http://schemas.openxmlformats.org/officeDocument/2006/relationships/worksheet" Target="/xl/worksheets/sheet2.xml" Id="R50a8f600bb95489d" /><Relationship Type="http://schemas.openxmlformats.org/officeDocument/2006/relationships/worksheet" Target="/xl/worksheets/sheet3.xml" Id="R73bc4899018b499b" /></Relationships>
</file>

<file path=xl/tables/table1.xml><?xml version="1.0" encoding="utf-8"?>
<x:table xmlns:x="http://schemas.openxmlformats.org/spreadsheetml/2006/main" id="1" name="ServiflorEventIndex" displayName="ServiflorEventIndex" ref="A1:R15" headerRowCount="1">
  <x:tableColumns count="18">
    <x:tableColumn id="1" name="online_order_date"/>
    <x:tableColumn id="2" name="online_order_no"/>
    <x:tableColumn id="3" name="online_order_file"/>
    <x:tableColumn id="4" name="online_lines"/>
    <x:tableColumn id="5" name="online_base"/>
    <x:tableColumn id="6" name="processed_status"/>
    <x:tableColumn id="7" name="processed_files"/>
    <x:tableColumn id="8" name="processed_summary"/>
    <x:tableColumn id="9" name="factura_no"/>
    <x:tableColumn id="10" name="factura_file"/>
    <x:tableColumn id="11" name="factura_base"/>
    <x:tableColumn id="12" name="factura_status"/>
    <x:tableColumn id="13" name="factura_diff_summary"/>
    <x:tableColumn id="14" name="bookkeeper_workbook"/>
    <x:tableColumn id="15" name="holded_found"/>
    <x:tableColumn id="16" name="holded_albaran_count"/>
    <x:tableColumn id="17" name="holded_summary"/>
    <x:tableColumn id="18" name="package_statu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8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91056461394a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6b3c92aeb74db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28" hidden="0" customWidth="1"/>
    <x:col min="4" max="4" width="10" hidden="0" customWidth="1"/>
    <x:col min="5" max="5" width="12" hidden="0" customWidth="1"/>
    <x:col min="6" max="6" width="22" hidden="0" customWidth="1"/>
    <x:col min="7" max="7" width="35" hidden="0" customWidth="1"/>
    <x:col min="8" max="8" width="60" hidden="0" customWidth="1"/>
    <x:col min="9" max="9" width="16" hidden="0" customWidth="1"/>
    <x:col min="10" max="10" width="32" hidden="0" customWidth="1"/>
    <x:col min="11" max="11" width="12" hidden="0" customWidth="1"/>
    <x:col min="12" max="12" width="28" hidden="0" customWidth="1"/>
    <x:col min="13" max="13" width="80" hidden="0" customWidth="1"/>
    <x:col min="14" max="14" width="36" hidden="0" customWidth="1"/>
    <x:col min="15" max="15" width="12" hidden="0" customWidth="1"/>
    <x:col min="16" max="16" width="12" hidden="0" customWidth="1"/>
    <x:col min="17" max="17" width="45" hidden="0" customWidth="1"/>
    <x:col min="18" max="18" width="20" hidden="0" customWidth="1"/>
  </x:cols>
  <x:sheetData>
    <x:row r="1">
      <x:c r="A1" s="6" t="str">
        <x:v>online_order_date</x:v>
      </x:c>
      <x:c r="B1" s="6" t="str">
        <x:v>online_order_no</x:v>
      </x:c>
      <x:c r="C1" s="6" t="str">
        <x:v>online_order_file</x:v>
      </x:c>
      <x:c r="D1" s="6" t="str">
        <x:v>online_lines</x:v>
      </x:c>
      <x:c r="E1" s="6" t="str">
        <x:v>online_base</x:v>
      </x:c>
      <x:c r="F1" s="6" t="str">
        <x:v>processed_status</x:v>
      </x:c>
      <x:c r="G1" s="6" t="str">
        <x:v>processed_files</x:v>
      </x:c>
      <x:c r="H1" s="6" t="str">
        <x:v>processed_summary</x:v>
      </x:c>
      <x:c r="I1" s="6" t="str">
        <x:v>factura_no</x:v>
      </x:c>
      <x:c r="J1" s="6" t="str">
        <x:v>factura_file</x:v>
      </x:c>
      <x:c r="K1" s="6" t="str">
        <x:v>factura_base</x:v>
      </x:c>
      <x:c r="L1" s="6" t="str">
        <x:v>factura_status</x:v>
      </x:c>
      <x:c r="M1" s="6" t="str">
        <x:v>factura_diff_summary</x:v>
      </x:c>
      <x:c r="N1" s="6" t="str">
        <x:v>bookkeeper_workbook</x:v>
      </x:c>
      <x:c r="O1" s="6" t="str">
        <x:v>holded_found</x:v>
      </x:c>
      <x:c r="P1" s="6" t="str">
        <x:v>holded_albaran_count</x:v>
      </x:c>
      <x:c r="Q1" s="6" t="str">
        <x:v>holded_summary</x:v>
      </x:c>
      <x:c r="R1" s="6" t="str">
        <x:v>package_status</x:v>
      </x:c>
    </x:row>
    <x:row r="2">
      <x:c r="A2" s="10" t="str">
        <x:v>2025-12-11</x:v>
      </x:c>
      <x:c r="B2" s="8" t="str">
        <x:v>14620443</x:v>
      </x:c>
      <x:c r="C2" s="8" t="str">
        <x:v>Order_14620443.xlsx</x:v>
      </x:c>
      <x:c r="D2" s="8" t="n">
        <x:v>10</x:v>
      </x:c>
      <x:c r="E2" s="12" t="n">
        <x:v>521.27</x:v>
      </x:c>
      <x:c r="F2" s="8" t="str">
        <x:v>NO_TODAS_FOUND</x:v>
      </x:c>
      <x:c r="G2" s="8" t="str">
        <x:v>—</x:v>
      </x:c>
      <x:c r="H2" s="8" t="str">
        <x:v>Todas-файл не найден; исполнение проверяется напрямую по factura.</x:v>
      </x:c>
      <x:c r="I2" s="8" t="str">
        <x:v>FRA 7630</x:v>
      </x:c>
      <x:c r="J2" s="8" t="str">
        <x:v>FRA 7630.pdf</x:v>
      </x:c>
      <x:c r="K2" s="12" t="n">
        <x:v>306.22</x:v>
      </x:c>
      <x:c r="L2" s="8" t="str">
        <x:v>FACTURA_LESS_THAN_ONLINE</x:v>
      </x:c>
      <x:c r="M2" s="8" t="str">
        <x:v>Factura меньше online на 215.05. В factura есть замены/возвраты: добавлены Rosa Explorer 25.50, Skimmia 8.82, Rosa ramificada Star Blush 11.50, Hortensia 10.20; Bromelia Grand Prix выставлена 0.00 вместо online 82.75. Не попали/не совпали: Dianthus Viper Wine 57.60, Rosa Spray Lianne 49.20, Vanda Duo Box 13.92, Phalaenopsis 67.60 и др. Похоже на ранний возврат/частичную поставку — нужен review.</x:v>
      </x:c>
      <x:c r="N2" s="8" t="str">
        <x:v>2025-12-15 - Vilassar.xlsx</x:v>
      </x:c>
      <x:c r="O2" s="8" t="str">
        <x:v>NO</x:v>
      </x:c>
      <x:c r="P2" s="8" t="n">
        <x:v>0</x:v>
      </x:c>
      <x:c r="Q2" s="8" t="str">
        <x:v>—</x:v>
      </x:c>
      <x:c r="R2" s="8" t="str">
        <x:v>READY_WITH_REVIEW</x:v>
      </x:c>
    </x:row>
    <x:row r="3">
      <x:c r="A3" s="10" t="str">
        <x:v>2025-12-18</x:v>
      </x:c>
      <x:c r="B3" s="8" t="str">
        <x:v>14646628</x:v>
      </x:c>
      <x:c r="C3" s="8" t="str">
        <x:v>Order_14646628.xlsx</x:v>
      </x:c>
      <x:c r="D3" s="8" t="n">
        <x:v>9</x:v>
      </x:c>
      <x:c r="E3" s="12" t="n">
        <x:v>575.02</x:v>
      </x:c>
      <x:c r="F3" s="8" t="str">
        <x:v>NO_TODAS_FOUND</x:v>
      </x:c>
      <x:c r="G3" s="8" t="str">
        <x:v>—</x:v>
      </x:c>
      <x:c r="H3" s="8" t="str">
        <x:v>Todas-файл не найден.</x:v>
      </x:c>
      <x:c r="I3" s="8" t="str">
        <x:v>—</x:v>
      </x:c>
      <x:c r="J3" s="8" t="str">
        <x:v>—</x:v>
      </x:c>
      <x:c r="K3" s="12"/>
      <x:c r="L3" s="8" t="str">
        <x:v>NO_FACTURA</x:v>
      </x:c>
      <x:c r="M3" s="8" t="str">
        <x:v>Factura не найдена среди загруженных PDF.</x:v>
      </x:c>
      <x:c r="N3" s="8" t="str">
        <x:v>2025-23-12 - Vilassar.xlsx</x:v>
      </x:c>
      <x:c r="O3" s="8" t="str">
        <x:v>NO</x:v>
      </x:c>
      <x:c r="P3" s="8" t="n">
        <x:v>0</x:v>
      </x:c>
      <x:c r="Q3" s="8" t="str">
        <x:v>—</x:v>
      </x:c>
      <x:c r="R3" s="8" t="str">
        <x:v>INCOMPLETE</x:v>
      </x:c>
    </x:row>
    <x:row r="4">
      <x:c r="A4" s="10" t="str">
        <x:v>2026-01-06</x:v>
      </x:c>
      <x:c r="B4" s="8" t="str">
        <x:v>14673176</x:v>
      </x:c>
      <x:c r="C4" s="8" t="str">
        <x:v>Order_14673176.xlsx</x:v>
      </x:c>
      <x:c r="D4" s="8" t="n">
        <x:v>31</x:v>
      </x:c>
      <x:c r="E4" s="12" t="n">
        <x:v>2242.93</x:v>
      </x:c>
      <x:c r="F4" s="8" t="str">
        <x:v>PARTIAL_TODAS</x:v>
      </x:c>
      <x:c r="G4" s="8" t="str">
        <x:v>Order_14668590-2.xlsx</x:v>
      </x:c>
      <x:c r="H4" s="8" t="str">
        <x:v>Todas покрывает 20 из 31 online-строк; сумма Todas 1510.01. Существенного extra в Todas сверх online не видно — наоборот online шире.</x:v>
      </x:c>
      <x:c r="I4" s="8" t="str">
        <x:v>000081 + Fra 113</x:v>
      </x:c>
      <x:c r="J4" s="8" t="str">
        <x:v>000081 SERVIFLOR VILASSAR SL.pdf; Fra 113.pdf</x:v>
      </x:c>
      <x:c r="K4" s="12" t="n">
        <x:v>2165.73</x:v>
      </x:c>
      <x:c r="L4" s="8" t="str">
        <x:v>FACTURA_REVIEW</x:v>
      </x:c>
      <x:c r="M4" s="8" t="str">
        <x:v>Factura base 2165.73 против online 2242.93. Добавлены/отдельно выставлены Papaver Sweet Poppy Mix 25+25 ×1.11 = 55.50 вместо online одной строки 50 ×1.11; добавлена тара Fra 113: Galleda 20.00 + Alça 3.00. Не найдены в factura как exact-match: Chrys SP Pastela Pink 67.20, Sanguisorba Red Dream 33.00. Нужен line-level review.</x:v>
      </x:c>
      <x:c r="N4" s="8" t="str">
        <x:v>2026-01-09 - Vilassar.xlsx</x:v>
      </x:c>
      <x:c r="O4" s="8" t="str">
        <x:v>YES</x:v>
      </x:c>
      <x:c r="P4" s="8" t="n">
        <x:v>1</x:v>
      </x:c>
      <x:c r="Q4" s="8" t="str">
        <x:v>AC260366 / Gloria only / 29 lines / vendor ref 81</x:v>
      </x:c>
      <x:c r="R4" s="8" t="str">
        <x:v>READY_WITH_REVIEW</x:v>
      </x:c>
    </x:row>
    <x:row r="5">
      <x:c r="A5" s="10" t="str">
        <x:v>2026-01-08</x:v>
      </x:c>
      <x:c r="B5" s="8" t="str">
        <x:v>14676750</x:v>
      </x:c>
      <x:c r="C5" s="8" t="str">
        <x:v>Order_14676750.xlsx</x:v>
      </x:c>
      <x:c r="D5" s="8" t="n">
        <x:v>13</x:v>
      </x:c>
      <x:c r="E5" s="12" t="n">
        <x:v>748.9</x:v>
      </x:c>
      <x:c r="F5" s="8" t="str">
        <x:v>NO_TODAS_FOUND</x:v>
      </x:c>
      <x:c r="G5" s="8" t="str">
        <x:v>—</x:v>
      </x:c>
      <x:c r="H5" s="8" t="str">
        <x:v>Todas-файл не найден; factura совпадает напрямую с online.</x:v>
      </x:c>
      <x:c r="I5" s="8" t="str">
        <x:v>000128</x:v>
      </x:c>
      <x:c r="J5" s="8" t="str">
        <x:v>000128 SERVIFLOR VILASSAR SL.pdf</x:v>
      </x:c>
      <x:c r="K5" s="12" t="n">
        <x:v>748.9</x:v>
      </x:c>
      <x:c r="L5" s="8" t="str">
        <x:v>MATCH_ONLINE</x:v>
      </x:c>
      <x:c r="M5" s="8" t="str">
        <x:v>Factura base точно совпадает с online. Лишних коммерческих строк не выявлено.</x:v>
      </x:c>
      <x:c r="N5" s="8" t="str">
        <x:v>2026-01-13 - Vilassar Hecho.xlsx</x:v>
      </x:c>
      <x:c r="O5" s="8" t="str">
        <x:v>YES</x:v>
      </x:c>
      <x:c r="P5" s="8" t="n">
        <x:v>1</x:v>
      </x:c>
      <x:c r="Q5" s="8" t="str">
        <x:v>AC260368 / Gloria only / 13 lines / vendor ref 128</x:v>
      </x:c>
      <x:c r="R5" s="8" t="str">
        <x:v>READY</x:v>
      </x:c>
    </x:row>
    <x:row r="6">
      <x:c r="A6" s="10" t="str">
        <x:v>2026-01-15</x:v>
      </x:c>
      <x:c r="B6" s="8" t="str">
        <x:v>14695212</x:v>
      </x:c>
      <x:c r="C6" s="8" t="str">
        <x:v>Order_14695212.xlsx</x:v>
      </x:c>
      <x:c r="D6" s="8" t="n">
        <x:v>18</x:v>
      </x:c>
      <x:c r="E6" s="12" t="n">
        <x:v>966.35</x:v>
      </x:c>
      <x:c r="F6" s="8" t="str">
        <x:v>NO_TODAS_FOUND</x:v>
      </x:c>
      <x:c r="G6" s="8" t="str">
        <x:v>—</x:v>
      </x:c>
      <x:c r="H6" s="8" t="str">
        <x:v>Todas-файл не найден.</x:v>
      </x:c>
      <x:c r="I6" s="8" t="str">
        <x:v>000238</x:v>
      </x:c>
      <x:c r="J6" s="8" t="str">
        <x:v>000238-2 SERVIFLOR VILASSAR SL.pdf</x:v>
      </x:c>
      <x:c r="K6" s="12" t="n">
        <x:v>993.65</x:v>
      </x:c>
      <x:c r="L6" s="8" t="str">
        <x:v>FACTURA_MORE_THAN_ONLINE</x:v>
      </x:c>
      <x:c r="M6" s="8" t="str">
        <x:v>Factura больше online на 27.30. Отличия: Rhipsalis Other 8×13.69 в online разбит как 4+4 в factura; Ranunculus Clooney Fragolino 30×1.33 заменён/увеличен на Ranunculus Clooney Passion 60×1.33 (+39.90); Rosa Athena Royale 60×0.51 не найдена; добавлена доставка Entrega en Barcelona 18.00. Нужен review.</x:v>
      </x:c>
      <x:c r="N6" s="8" t="str">
        <x:v>2026-01-19 - Vilassar.xlsx</x:v>
      </x:c>
      <x:c r="O6" s="8" t="str">
        <x:v>YES</x:v>
      </x:c>
      <x:c r="P6" s="8" t="n">
        <x:v>2</x:v>
      </x:c>
      <x:c r="Q6" s="8" t="str">
        <x:v>AC260400, AC260401 / Blau+Gloria / 18 lines / vendor ref 238</x:v>
      </x:c>
      <x:c r="R6" s="8" t="str">
        <x:v>READY_WITH_REVIEW</x:v>
      </x:c>
    </x:row>
    <x:row r="7">
      <x:c r="A7" s="10" t="str">
        <x:v>2026-01-22</x:v>
      </x:c>
      <x:c r="B7" s="8" t="str">
        <x:v>14710273</x:v>
      </x:c>
      <x:c r="C7" s="8" t="str">
        <x:v>Order_14710273.xlsx</x:v>
      </x:c>
      <x:c r="D7" s="8" t="n">
        <x:v>23</x:v>
      </x:c>
      <x:c r="E7" s="12" t="n">
        <x:v>1842.66</x:v>
      </x:c>
      <x:c r="F7" s="8" t="str">
        <x:v>NO_TODAS_FOUND</x:v>
      </x:c>
      <x:c r="G7" s="8" t="str">
        <x:v>—</x:v>
      </x:c>
      <x:c r="H7" s="8" t="str">
        <x:v>Todas-файл не найден.</x:v>
      </x:c>
      <x:c r="I7" s="8" t="str">
        <x:v>000358</x:v>
      </x:c>
      <x:c r="J7" s="8" t="str">
        <x:v>000358 SERVIFLOR VILASSAR SL.pdf</x:v>
      </x:c>
      <x:c r="K7" s="12" t="n">
        <x:v>1858.64</x:v>
      </x:c>
      <x:c r="L7" s="8" t="str">
        <x:v>FACTURA_MORE_THAN_ONLINE_WITH_TARA</x:v>
      </x:c>
      <x:c r="M7" s="8" t="str">
        <x:v>Factura больше online на 15.98. В factura добавлены Ports 18.00, Galleda 104.00, Alça 18.00; Rosa Mai Tai 80→70 (-5.80); не найдены/заменены Crassula Mix 67.92 и Arr. Phalaenopsis White in Ceramic 50.30. Итоговая разница объясняется тарой/доставкой и исключениями — review.</x:v>
      </x:c>
      <x:c r="N7" s="8" t="str">
        <x:v>2026-01-26 - Vilassar.xlsx</x:v>
      </x:c>
      <x:c r="O7" s="8" t="str">
        <x:v>YES</x:v>
      </x:c>
      <x:c r="P7" s="8" t="n">
        <x:v>2</x:v>
      </x:c>
      <x:c r="Q7" s="8" t="str">
        <x:v>AC260414, AC260415 / Blau+Gloria / 39 lines / vendor ref 358</x:v>
      </x:c>
      <x:c r="R7" s="8" t="str">
        <x:v>READY_WITH_REVIEW</x:v>
      </x:c>
    </x:row>
    <x:row r="8">
      <x:c r="A8" s="10" t="str">
        <x:v>2026-01-28/29</x:v>
      </x:c>
      <x:c r="B8" s="8" t="str">
        <x:v>14721344 + 14723837</x:v>
      </x:c>
      <x:c r="C8" s="8" t="str">
        <x:v>Order_14721344.xlsx; Order_14723837.xlsx</x:v>
      </x:c>
      <x:c r="D8" s="8" t="n">
        <x:v>13</x:v>
      </x:c>
      <x:c r="E8" s="12" t="n">
        <x:v>718.4</x:v>
      </x:c>
      <x:c r="F8" s="8" t="str">
        <x:v>NO_TODAS_FOUND</x:v>
      </x:c>
      <x:c r="G8" s="8" t="str">
        <x:v>—</x:v>
      </x:c>
      <x:c r="H8" s="8" t="str">
        <x:v>Два маленьких online-order объединены в одну candidate factura.</x:v>
      </x:c>
      <x:c r="I8" s="8" t="str">
        <x:v>000494</x:v>
      </x:c>
      <x:c r="J8" s="8" t="str">
        <x:v>000494 SERVIFLOR VILASSAR SL.pdf</x:v>
      </x:c>
      <x:c r="K8" s="12" t="n">
        <x:v>782.54</x:v>
      </x:c>
      <x:c r="L8" s="8" t="str">
        <x:v>FACTURA_MORE_THAN_ONLINE_WITH_RETURNS</x:v>
      </x:c>
      <x:c r="M8" s="8" t="str">
        <x:v>Factura больше online на 64.14, но внутри есть крупные возвраты тары: Galleda -164.00 и Alça -27.00; добавлены Galleda 60.00 + Alça 9.00; также добавлены Crassula Mix 135.84 и Arr. Phalaenopsis White in Ceramic 50.30. Это не чистое совпадение — нужен review.</x:v>
      </x:c>
      <x:c r="N8" s="8" t="str">
        <x:v>2026-02-02 - Vilassar_.xlsx</x:v>
      </x:c>
      <x:c r="O8" s="8" t="str">
        <x:v>YES</x:v>
      </x:c>
      <x:c r="P8" s="8" t="n">
        <x:v>2</x:v>
      </x:c>
      <x:c r="Q8" s="8" t="str">
        <x:v>AC260427, AC260428 / Blau+Gloria / 24 lines / vendor ref 494</x:v>
      </x:c>
      <x:c r="R8" s="8" t="str">
        <x:v>READY_WITH_REVIEW</x:v>
      </x:c>
    </x:row>
    <x:row r="9">
      <x:c r="A9" s="10" t="str">
        <x:v>2026-02-26</x:v>
      </x:c>
      <x:c r="B9" s="8" t="str">
        <x:v>14807019</x:v>
      </x:c>
      <x:c r="C9" s="8" t="str">
        <x:v>Order_14807019.xlsx</x:v>
      </x:c>
      <x:c r="D9" s="8" t="n">
        <x:v>21</x:v>
      </x:c>
      <x:c r="E9" s="12" t="n">
        <x:v>1823.94</x:v>
      </x:c>
      <x:c r="F9" s="8" t="str">
        <x:v>NO_TODAS_FOUND</x:v>
      </x:c>
      <x:c r="G9" s="8" t="str">
        <x:v>—</x:v>
      </x:c>
      <x:c r="H9" s="8" t="str">
        <x:v>Todas-файл не найден.</x:v>
      </x:c>
      <x:c r="I9" s="8" t="str">
        <x:v>—</x:v>
      </x:c>
      <x:c r="J9" s="8" t="str">
        <x:v>—</x:v>
      </x:c>
      <x:c r="K9" s="12"/>
      <x:c r="L9" s="8" t="str">
        <x:v>NO_FACTURA</x:v>
      </x:c>
      <x:c r="M9" s="8" t="str">
        <x:v>Factura не найдена среди загруженных PDF.</x:v>
      </x:c>
      <x:c r="N9" s="8" t="str">
        <x:v>2026-03-02 - Vilassar.xlsx</x:v>
      </x:c>
      <x:c r="O9" s="8" t="str">
        <x:v>NO</x:v>
      </x:c>
      <x:c r="P9" s="8" t="n">
        <x:v>0</x:v>
      </x:c>
      <x:c r="Q9" s="8" t="str">
        <x:v>—</x:v>
      </x:c>
      <x:c r="R9" s="8" t="str">
        <x:v>INCOMPLETE</x:v>
      </x:c>
    </x:row>
    <x:row r="10">
      <x:c r="A10" s="10" t="str">
        <x:v>2026-03-10</x:v>
      </x:c>
      <x:c r="B10" s="8" t="str">
        <x:v>14851852</x:v>
      </x:c>
      <x:c r="C10" s="8" t="str">
        <x:v>Order_14851852.xlsx</x:v>
      </x:c>
      <x:c r="D10" s="8" t="n">
        <x:v>28</x:v>
      </x:c>
      <x:c r="E10" s="12" t="n">
        <x:v>1569.31</x:v>
      </x:c>
      <x:c r="F10" s="8" t="str">
        <x:v>DUPLICATE_MATCH</x:v>
      </x:c>
      <x:c r="G10" s="8" t="str">
        <x:v>Order_14851690-2.xlsx</x:v>
      </x:c>
      <x:c r="H10" s="8" t="str">
        <x:v>Todas совпадает с online: 28/28 строк, base 1569.31. Это второе представление, не отдельный заказ.</x:v>
      </x:c>
      <x:c r="I10" s="8" t="str">
        <x:v>001369</x:v>
      </x:c>
      <x:c r="J10" s="8" t="str">
        <x:v>001369-3 SERVIFLOR VILASSAR SL.pdf</x:v>
      </x:c>
      <x:c r="K10" s="12" t="n">
        <x:v>1643.31</x:v>
      </x:c>
      <x:c r="L10" s="8" t="str">
        <x:v>FACTURA_MORE_THAN_PROCESSED_TARA</x:v>
      </x:c>
      <x:c r="M10" s="8" t="str">
        <x:v>Factura больше online/Todas на 74.00. Разница ровно тара: Galleda 14×4 = 56.00 + Alça 6×3 = 18.00. Остальные строки совпадают по сумме. Похоже на clean review.</x:v>
      </x:c>
      <x:c r="N10" s="8" t="str">
        <x:v>2026-03-12 - Vilassar.xlsx</x:v>
      </x:c>
      <x:c r="O10" s="8" t="str">
        <x:v>YES</x:v>
      </x:c>
      <x:c r="P10" s="8" t="n">
        <x:v>3</x:v>
      </x:c>
      <x:c r="Q10" s="8" t="str">
        <x:v>AC260490, AC260491, AC260499 / Plaza+Gloria+Blau / 48 lines / vendor ref 1369</x:v>
      </x:c>
      <x:c r="R10" s="8" t="str">
        <x:v>READY_WITH_REVIEW</x:v>
      </x:c>
    </x:row>
    <x:row r="11">
      <x:c r="A11" s="10" t="str">
        <x:v>2026-03-12</x:v>
      </x:c>
      <x:c r="B11" s="8" t="str">
        <x:v>14855590</x:v>
      </x:c>
      <x:c r="C11" s="8" t="str">
        <x:v>Order_14855590.xlsx</x:v>
      </x:c>
      <x:c r="D11" s="8" t="n">
        <x:v>12</x:v>
      </x:c>
      <x:c r="E11" s="12" t="n">
        <x:v>820.32</x:v>
      </x:c>
      <x:c r="F11" s="8" t="str">
        <x:v>NO_TODAS_FOUND</x:v>
      </x:c>
      <x:c r="G11" s="8" t="str">
        <x:v>—</x:v>
      </x:c>
      <x:c r="H11" s="8" t="str">
        <x:v>Todas-файл не найден.</x:v>
      </x:c>
      <x:c r="I11" s="8" t="str">
        <x:v>1461</x:v>
      </x:c>
      <x:c r="J11" s="8" t="str">
        <x:v>Factura1461_2026.pdf</x:v>
      </x:c>
      <x:c r="K11" s="12" t="n">
        <x:v>886.32</x:v>
      </x:c>
      <x:c r="L11" s="8" t="str">
        <x:v>FACTURA_MORE_THAN_ONLINE_TARA</x:v>
      </x:c>
      <x:c r="M11" s="8" t="str">
        <x:v>Factura больше online на 66.00. Разница ровно тара: Galleda 15×4 = 60.00 + Alça 2×3 = 6.00. Остальные строки совпадают по сумме.</x:v>
      </x:c>
      <x:c r="N11" s="8" t="str">
        <x:v>2026-03-16 - Vilassar.xlsx</x:v>
      </x:c>
      <x:c r="O11" s="8" t="str">
        <x:v>NO</x:v>
      </x:c>
      <x:c r="P11" s="8" t="n">
        <x:v>0</x:v>
      </x:c>
      <x:c r="Q11" s="8" t="str">
        <x:v>—</x:v>
      </x:c>
      <x:c r="R11" s="8" t="str">
        <x:v>READY_WITH_REVIEW</x:v>
      </x:c>
    </x:row>
    <x:row r="12">
      <x:c r="A12" s="10" t="str">
        <x:v>2026-03-26</x:v>
      </x:c>
      <x:c r="B12" s="8" t="str">
        <x:v>14884803</x:v>
      </x:c>
      <x:c r="C12" s="8" t="str">
        <x:v>Order_14884803-2.xlsx</x:v>
      </x:c>
      <x:c r="D12" s="8" t="n">
        <x:v>29</x:v>
      </x:c>
      <x:c r="E12" s="12" t="n">
        <x:v>1897.85</x:v>
      </x:c>
      <x:c r="F12" s="8" t="str">
        <x:v>NO_TODAS_FOUND</x:v>
      </x:c>
      <x:c r="G12" s="8" t="str">
        <x:v>—</x:v>
      </x:c>
      <x:c r="H12" s="8" t="str">
        <x:v>Todas-файл не найден; factura почти напрямую закрывает online.</x:v>
      </x:c>
      <x:c r="I12" s="8" t="str">
        <x:v>1797</x:v>
      </x:c>
      <x:c r="J12" s="8" t="str">
        <x:v>Factura1797_2026.pdf</x:v>
      </x:c>
      <x:c r="K12" s="12" t="n">
        <x:v>1905.35</x:v>
      </x:c>
      <x:c r="L12" s="8" t="str">
        <x:v>FACTURA_MINOR_QTY_DIFF</x:v>
      </x:c>
      <x:c r="M12" s="8" t="str">
        <x:v>Factura больше online на 7.50: Alstroemeria SI Sofiena увеличена 50→60 шт. при 0.75. Остальные строки совпадают по сумме.</x:v>
      </x:c>
      <x:c r="N12" s="8" t="str">
        <x:v>2026-03-30 - Vilassar.xlsx</x:v>
      </x:c>
      <x:c r="O12" s="8" t="str">
        <x:v>YES</x:v>
      </x:c>
      <x:c r="P12" s="8" t="n">
        <x:v>3</x:v>
      </x:c>
      <x:c r="Q12" s="8" t="str">
        <x:v>AC260501, AC260502, AC260503 / Plaza+Gloria+Blau / 45 lines / vendor ref 1797</x:v>
      </x:c>
      <x:c r="R12" s="8" t="str">
        <x:v>READY_WITH_REVIEW</x:v>
      </x:c>
    </x:row>
    <x:row r="13">
      <x:c r="A13" s="10" t="str">
        <x:v>2026-04-07</x:v>
      </x:c>
      <x:c r="B13" s="8" t="str">
        <x:v>14921295</x:v>
      </x:c>
      <x:c r="C13" s="8" t="str">
        <x:v>Order_14921295.xlsx</x:v>
      </x:c>
      <x:c r="D13" s="8" t="n">
        <x:v>16</x:v>
      </x:c>
      <x:c r="E13" s="12" t="n">
        <x:v>1065.2</x:v>
      </x:c>
      <x:c r="F13" s="8" t="str">
        <x:v>NEAR_MATCH</x:v>
      </x:c>
      <x:c r="G13" s="8" t="str">
        <x:v>Order_14921022-2.xlsx</x:v>
      </x:c>
      <x:c r="H13" s="8" t="str">
        <x:v>Todas total совпадает с online: 1065.20. 13/16 exact; остальные различия похожи на naming/representation, не на новый товар.</x:v>
      </x:c>
      <x:c r="I13" s="8" t="str">
        <x:v>2057</x:v>
      </x:c>
      <x:c r="J13" s="8" t="str">
        <x:v>Factura2057_2026.pdf</x:v>
      </x:c>
      <x:c r="K13" s="12" t="n">
        <x:v>1065.2</x:v>
      </x:c>
      <x:c r="L13" s="8" t="str">
        <x:v>MATCH_PROCESSED</x:v>
      </x:c>
      <x:c r="M13" s="8" t="str">
        <x:v>Factura base совпадает с online/Todas. Существенных лишних строк не выявлено.</x:v>
      </x:c>
      <x:c r="N13" s="8" t="str">
        <x:v>2026-04-09 - Vilassar.xlsx</x:v>
      </x:c>
      <x:c r="O13" s="8" t="str">
        <x:v>NO</x:v>
      </x:c>
      <x:c r="P13" s="8" t="n">
        <x:v>0</x:v>
      </x:c>
      <x:c r="Q13" s="8" t="str">
        <x:v>—</x:v>
      </x:c>
      <x:c r="R13" s="8" t="str">
        <x:v>READY</x:v>
      </x:c>
    </x:row>
    <x:row r="14">
      <x:c r="A14" s="10" t="str">
        <x:v>2026-04-28</x:v>
      </x:c>
      <x:c r="B14" s="8" t="str">
        <x:v>14983602</x:v>
      </x:c>
      <x:c r="C14" s="8" t="str">
        <x:v>Order_14983602-4.xlsx</x:v>
      </x:c>
      <x:c r="D14" s="8" t="n">
        <x:v>20</x:v>
      </x:c>
      <x:c r="E14" s="12" t="n">
        <x:v>1838.07</x:v>
      </x:c>
      <x:c r="F14" s="8" t="str">
        <x:v>SPLIT_MATCH</x:v>
      </x:c>
      <x:c r="G14" s="8" t="str">
        <x:v>Order_14981457-4.xlsx; Order_14981805-4.xlsx</x:v>
      </x:c>
      <x:c r="H14" s="8" t="str">
        <x:v>Идеальный split: 10+10 строк; 999.50 + 838.57 = 1838.07. Существенного extra в Todas нет.</x:v>
      </x:c>
      <x:c r="I14" s="8" t="str">
        <x:v>2971 only</x:v>
      </x:c>
      <x:c r="J14" s="8" t="str">
        <x:v>Factura2971_2026.pdf</x:v>
      </x:c>
      <x:c r="K14" s="12" t="n">
        <x:v>-117</x:v>
      </x:c>
      <x:c r="L14" s="8" t="str">
        <x:v>MAIN_FACTURA_MISSING_CREDIT_NOTE_ONLY</x:v>
      </x:c>
      <x:c r="M14" s="8" t="str">
        <x:v>Основная factura на 1838.07 не найдена. Найден только credit note -117.00: Chrys SA Mix Blossom -150×0.78. Нельзя отдавать как полный пакет без основной factura.</x:v>
      </x:c>
      <x:c r="N14" s="8" t="str">
        <x:v>—</x:v>
      </x:c>
      <x:c r="O14" s="8" t="str">
        <x:v>NO</x:v>
      </x:c>
      <x:c r="P14" s="8" t="n">
        <x:v>0</x:v>
      </x:c>
      <x:c r="Q14" s="8" t="str">
        <x:v>—</x:v>
      </x:c>
      <x:c r="R14" s="8" t="str">
        <x:v>INCOMPLETE</x:v>
      </x:c>
    </x:row>
    <x:row r="15">
      <x:c r="A15" s="10" t="str">
        <x:v>2026-05-05</x:v>
      </x:c>
      <x:c r="B15" s="8" t="str">
        <x:v>15000475</x:v>
      </x:c>
      <x:c r="C15" s="8" t="str">
        <x:v>Order_15000475-2.xlsx</x:v>
      </x:c>
      <x:c r="D15" s="8" t="n">
        <x:v>22</x:v>
      </x:c>
      <x:c r="E15" s="12" t="n">
        <x:v>2362.28</x:v>
      </x:c>
      <x:c r="F15" s="8" t="str">
        <x:v>NEAR_MATCH</x:v>
      </x:c>
      <x:c r="G15" s="8" t="str">
        <x:v>Order_14995845-2.xlsx</x:v>
      </x:c>
      <x:c r="H15" s="8" t="str">
        <x:v>Todas total совпадает с online: 2362.28. 21/22 exact; одна naming difference: Chrys SA Mix Sweet vs Blossom, qty/price/sum совпадают.</x:v>
      </x:c>
      <x:c r="I15" s="8" t="str">
        <x:v>3031</x:v>
      </x:c>
      <x:c r="J15" s="8" t="str">
        <x:v>Factura3031_2026.pdf</x:v>
      </x:c>
      <x:c r="K15" s="12" t="n">
        <x:v>2362.28</x:v>
      </x:c>
      <x:c r="L15" s="8" t="str">
        <x:v>MATCH_PROCESSED</x:v>
      </x:c>
      <x:c r="M15" s="8" t="str">
        <x:v>Factura base совпадает с online/Todas. Существенных лишних строк не выявлено.</x:v>
      </x:c>
      <x:c r="N15" s="8" t="str">
        <x:v>—</x:v>
      </x:c>
      <x:c r="O15" s="8" t="str">
        <x:v>NO</x:v>
      </x:c>
      <x:c r="P15" s="8" t="n">
        <x:v>0</x:v>
      </x:c>
      <x:c r="Q15" s="8" t="str">
        <x:v>—</x:v>
      </x:c>
      <x:c r="R15" s="8" t="str">
        <x:v>READY_NO_BOOKKEEPER</x:v>
      </x:c>
    </x:row>
  </x:sheetData>
  <x:conditionalFormatting sqref="R2:R15">
    <x:cfRule type="expression" dxfId="0" priority="1">
      <x:formula>R2="READY"</x:formula>
    </x:cfRule>
    <x:cfRule type="expression" dxfId="1" priority="2">
      <x:formula>R2="READY_WITH_REVIEW"</x:formula>
    </x:cfRule>
    <x:cfRule type="expression" dxfId="2" priority="3">
      <x:formula>R2="READY_NO_BOOKKEEPER"</x:formula>
    </x:cfRule>
    <x:cfRule type="expression" dxfId="3" priority="4">
      <x:formula>R2="INCOMPLETE"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91056461394a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Всего online-events</x:v>
      </x:c>
      <x:c r="B2" t="n">
        <x:v>14</x:v>
      </x:c>
    </x:row>
    <x:row r="3">
      <x:c r="A3" t="str">
        <x:v>READY</x:v>
      </x:c>
      <x:c r="B3" t="n">
        <x:v>2</x:v>
      </x:c>
    </x:row>
    <x:row r="4">
      <x:c r="A4" t="str">
        <x:v>READY_WITH_REVIEW</x:v>
      </x:c>
      <x:c r="B4" t="n">
        <x:v>8</x:v>
      </x:c>
    </x:row>
    <x:row r="5">
      <x:c r="A5" t="str">
        <x:v>READY_NO_BOOKKEEPER</x:v>
      </x:c>
      <x:c r="B5" t="n">
        <x:v>1</x:v>
      </x:c>
    </x:row>
    <x:row r="6">
      <x:c r="A6" t="str">
        <x:v>INCOMPLETE</x:v>
      </x:c>
      <x:c r="B6" t="n">
        <x:v>3</x:v>
      </x:c>
    </x:row>
    <x:row r="7">
      <x:c r="A7" t="str">
        <x:v>Есть Holded albaranes</x:v>
      </x:c>
      <x:c r="B7" t="n">
        <x:v>7</x:v>
      </x:c>
    </x:row>
    <x:row r="8">
      <x:c r="A8" t="str">
        <x:v>Есть workbook бухгалтера</x:v>
      </x:c>
      <x:c r="B8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e86b3c92aeb74d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6" t="str">
        <x:v>Topic</x:v>
      </x:c>
      <x:c r="B1" s="6" t="str">
        <x:v>Note</x:v>
      </x:c>
    </x:row>
    <x:row r="2">
      <x:c r="A2" s="8" t="str">
        <x:v>Правило</x:v>
      </x:c>
      <x:c r="B2" s="8" t="str">
        <x:v>Одна строка Event Index = один исходный online-order / будущая папка для сабагента.</x:v>
      </x:c>
    </x:row>
    <x:row r="3">
      <x:c r="A3" s="8" t="str">
        <x:v>Слой 1</x:v>
      </x:c>
      <x:c r="B3" s="8" t="str">
        <x:v>Pedidos online = базовая начальная правда: что мы заказали.</x:v>
      </x:c>
    </x:row>
    <x:row r="4">
      <x:c r="A4" s="8" t="str">
        <x:v>Слой 2</x:v>
      </x:c>
      <x:c r="B4" s="8" t="str">
        <x:v>Todas las órdenes = как Serviflor обработал заказ: дубль, split, near-match или partial.</x:v>
      </x:c>
    </x:row>
    <x:row r="5">
      <x:c r="A5" s="8" t="str">
        <x:v>Слой 3</x:v>
      </x:c>
      <x:c r="B5" s="8" t="str">
        <x:v>Factura = commercial result: что выставили к оплате. Для Odoo import factura остаётся commercial truth.</x:v>
      </x:c>
    </x:row>
    <x:row r="6">
      <x:c r="A6" s="8" t="str">
        <x:v>Bookkeeper</x:v>
      </x:c>
      <x:c r="B6" s="8" t="str">
        <x:v>Workbook бухгалтера подложен по ближайшему фактурному/рабочему batch. Это downstream allocation layer, не source truth.</x:v>
      </x:c>
    </x:row>
    <x:row r="7">
      <x:c r="A7" s="8" t="str">
        <x:v>Holded</x:v>
      </x:c>
      <x:c r="B7" s="8" t="str">
        <x:v>Holded albaranes посчитаны из odoo-pedido - serviflor.csv по Vendor Reference; CSV покрывает только часть facturas.</x:v>
      </x:c>
    </x:row>
    <x:row r="8">
      <x:c r="A8" s="8"/>
      <x:c r="B8" s="8"/>
    </x:row>
    <x:row r="9">
      <x:c r="A9" s="8"/>
      <x:c r="B9" s="8"/>
    </x:row>
    <x:row r="10">
      <x:c r="A10" s="8"/>
      <x:c r="B10" s="8"/>
    </x:row>
  </x:sheetData>
  <x:pageMargins left="0.7" right="0.7" top="0.75" bottom="0.75" header="0.3" footer="0.3"/>
</x:worksheet>
</file>