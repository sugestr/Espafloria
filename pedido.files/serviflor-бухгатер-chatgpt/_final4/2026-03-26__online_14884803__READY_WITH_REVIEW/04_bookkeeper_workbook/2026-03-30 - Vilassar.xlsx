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<sst xmlns="http://schemas.openxmlformats.org/spreadsheetml/2006/main" count="4933" uniqueCount="4738">
  <si>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</si>
  <si>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</si>
  <si>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</si>
  <si>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</si>
  <si>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</si>
  <si>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</si>
  <si>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</si>
  <si>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</si>
  <si>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</si>
  <si>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</si>
  <si>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</si>
  <si>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</si>
  <si>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</si>
  <si>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</si>
  <si>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</si>
  <si>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</si>
  <si>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</si>
  <si>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</si>
  <si>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</si>
  <si>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</si>
  <si>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</si>
  <si>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</si>
  <si>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</si>
  <si>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</si>
  <si>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</si>
  <si>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</si>
  <si>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</si>
  <si>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</si>
  <si>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001797 / 2026</t>
  </si>
  <si>
    <t>1.1</t>
  </si>
  <si>
    <t>RANUNCULUS CLOONEY TUAREQ</t>
  </si>
  <si>
    <t>10</t>
  </si>
  <si>
    <t>8400518 - RANUNCULUS - Butterfly - flor ( RANUBUBL, RANUBUSA, 174946, 147132, 126830)</t>
  </si>
  <si>
    <t>RANUNCULUS - Butterfly - flor</t>
  </si>
  <si>
    <t xml:space="preserve"> RANUBUBL, RANUBUSA, 174946, 147132, 126830</t>
  </si>
  <si>
    <t>https://drive.google.com/uc?export=view&amp;id=1mbmVjM82bGnM8nxdZnDYmJjSQLnHiol0</t>
  </si>
  <si>
    <t>1.2</t>
  </si>
  <si>
    <t>RANUNCULUS CLOONEY GRAND PASTEL</t>
  </si>
  <si>
    <t>1.3</t>
  </si>
  <si>
    <t>ALSTROEMERIA SI SOFIENA</t>
  </si>
  <si>
    <t>8400154 - ALSTROEMERIA - flor (00027, 11920, 146548, 148465, ALS VA, 148462, 148466, 11920, ALS-P, 137896, 137077, 137894, 148289, 148469, ALSTROEMERIES ALSTROEMERIA, ALSP, 11920)</t>
  </si>
  <si>
    <t>ALSTROEMERIA - flor</t>
  </si>
  <si>
    <t>00027, 11920, 146548, 148465, ALS VA, 148462, 148466, 11920, ALS-P, 137896, 137077, 137894, 148289, 148469, ALSTROEMERIES ALSTROEMERIA, ALSP, 11920</t>
  </si>
  <si>
    <t>https://drive.google.com/uc?export=view&amp;id=1hD_EIkM8w5p_WtnrcMdhYX6szEYoVelf</t>
  </si>
  <si>
    <t>1.4</t>
  </si>
  <si>
    <t>ROSA LARGE BELLE ROSE</t>
  </si>
  <si>
    <t>8400731 - RS ROSA LA BELLE LOLOMARIK - flor (181496)</t>
  </si>
  <si>
    <t>RS ROSA LA BELLE LOLOMARIK - flor</t>
  </si>
  <si>
    <t>https://drive.google.com/uc?export=view&amp;id=1fUhUDsiSHWrleyP7h5w_2pEpagbWza0G</t>
  </si>
  <si>
    <t>1.5</t>
  </si>
  <si>
    <t>ROSA GARDEN PRISCILLA!</t>
  </si>
  <si>
    <t>5</t>
  </si>
  <si>
    <t>84001081 - ROSA PRISCILLA - flor ()</t>
  </si>
  <si>
    <t>ROSA PRISCILLA - flor</t>
  </si>
  <si>
    <t>https://drive.google.com/uc?export=view&amp;id=1dI4YSHY8sPn-AzvYOdjKrrjGMV26hEE0</t>
  </si>
  <si>
    <t>1.6</t>
  </si>
  <si>
    <t>ROSA GARDEN MIX UHURU</t>
  </si>
  <si>
    <t>6</t>
  </si>
  <si>
    <t>84001157 - RISA GARDAN MIX - flor/3 ()</t>
  </si>
  <si>
    <t>RISA GARDAN MIX - flor/3</t>
  </si>
  <si>
    <t>❗Ошибка: application/json</t>
  </si>
  <si>
    <t>1.7</t>
  </si>
  <si>
    <t>ROSA SPRAY CHIMO</t>
  </si>
  <si>
    <t>8400828 - ROSA CHIMO - flor (135409)</t>
  </si>
  <si>
    <t>ROSA CHIMO - flor</t>
  </si>
  <si>
    <t>https://drive.google.com/uc?export=view&amp;id=14lKbr1IZa_y54C-n_irMTGAXEPdZJoIn</t>
  </si>
  <si>
    <t>1.8</t>
  </si>
  <si>
    <t>ROSA SPRAY BIRDS NEST+</t>
  </si>
  <si>
    <t>84001078 - ROSA BIRDS NEST - flor ()</t>
  </si>
  <si>
    <t>ROSA BIRDS NEST - flor</t>
  </si>
  <si>
    <t>https://drive.google.com/uc?export=view&amp;id=1cMWmYq9Ijr9CTBLT1xhfRb5ZQ_GrN7hE</t>
  </si>
  <si>
    <t>1.9</t>
  </si>
  <si>
    <t>ROSA LARGE CELEB</t>
  </si>
  <si>
    <t>84001044 - ROSA CELEBRATING HEATHER - flor ()</t>
  </si>
  <si>
    <t>ROSA CELEBRATING HEATHER - flor</t>
  </si>
  <si>
    <t>https://drive.google.com/uc?export=view&amp;id=14z6focMNsmhbYM377L2M-B88nBfvXnJJ</t>
  </si>
  <si>
    <t>1.10</t>
  </si>
  <si>
    <t>ARR CACTUS</t>
  </si>
  <si>
    <t>1</t>
  </si>
  <si>
    <t>8400594 - CACTUS - planta/22 (TEST 13 cactus)</t>
  </si>
  <si>
    <t>CACTUS - planta/22</t>
  </si>
  <si>
    <t>TEST 13 cactus</t>
  </si>
  <si>
    <t>https://drive.google.com/uc?export=view&amp;id=1Q-AyZHgyh6uUyL-RDutGOkXSIkuILjHz</t>
  </si>
  <si>
    <t>1.11</t>
  </si>
  <si>
    <t>ALOE ARBO</t>
  </si>
  <si>
    <t>84001156 - ALOE ARBO - planta/67 ()</t>
  </si>
  <si>
    <t>ALOE ARBO - planta/67</t>
  </si>
  <si>
    <t>https://drive.google.com/uc?export=view&amp;id=1nhRiZiSymvZqgrwdzMgNfzK5d8VGqcGQ</t>
  </si>
  <si>
    <t>1.12</t>
  </si>
  <si>
    <t>84001155 - ALOE ARBO - planta/47 ()</t>
  </si>
  <si>
    <t>ALOE ARBO - planta/47</t>
  </si>
  <si>
    <t>https://drive.google.com/uc?export=view&amp;id=1jKGrPrhB6pvkBpjJKJWeb0LNLwFLMWiM</t>
  </si>
  <si>
    <t>1.13</t>
  </si>
  <si>
    <t>ARR2 MB GROEN IJZER REK 1 BOL</t>
  </si>
  <si>
    <t>8400410 - SUCCULENTUS T16, T22 - MIX - planta/22 (6CRASA22, 54, CRASS16 )</t>
  </si>
  <si>
    <t>SUCCULENTUS T16, T22 - MIX - planta/22</t>
  </si>
  <si>
    <t xml:space="preserve">6CRASA22, 54, CRASS16 </t>
  </si>
  <si>
    <t>https://drive.google.com/uc?export=view&amp;id=1NfWhvI4iOJyVFjUEUpFej-EfjH2FiZmQ</t>
  </si>
  <si>
    <t>1.14</t>
  </si>
  <si>
    <t>ARR NARCISSUS TETE-A-TETE</t>
  </si>
  <si>
    <t>84001152 - NARCISO TETE-A-TETE - composición/14 ()</t>
  </si>
  <si>
    <t>NARCISO TETE-A-TETE - composición/14</t>
  </si>
  <si>
    <t>https://drive.google.com/uc?export=view&amp;id=1jCZc_-4baAz784L3_VmKEcFHD_O4bGxB</t>
  </si>
  <si>
    <t>1.15</t>
  </si>
  <si>
    <t>ARR NARCISSUS</t>
  </si>
  <si>
    <t>84001038 - NARCIS MASCOTA - planta  /17 ()</t>
  </si>
  <si>
    <t>NARCIS MASCOTA - planta  /17</t>
  </si>
  <si>
    <t>https://drive.google.com/uc?export=view&amp;id=1ANQILzJ7Mt0PRTsFNY6NHq3nJ6aUQJyJ</t>
  </si>
  <si>
    <t>1.16</t>
  </si>
  <si>
    <t>ARR2 PL KER BAROK DRACENA</t>
  </si>
  <si>
    <t>84001154 - COMPOSITION DE DRECENA - planta/38 ()</t>
  </si>
  <si>
    <t>COMPOSITION DE DRECENA - planta/38</t>
  </si>
  <si>
    <t>https://drive.google.com/uc?export=view&amp;id=1Wq_Uard5MdVY8XSrul4hRMbglxiw4tPZ</t>
  </si>
  <si>
    <t>1.17</t>
  </si>
  <si>
    <t>https://drive.google.com/uc?export=view&amp;id=1rQlNeojmuigxCKDDyLyE9853PtyPfBIF</t>
  </si>
  <si>
    <t>1.18</t>
  </si>
  <si>
    <t>ARR2 PL GLAS CILINDER PHAL PAARS</t>
  </si>
  <si>
    <t>84001153 - ARRANGEMENT DE PHALAENOPSIS - composición/56 ()</t>
  </si>
  <si>
    <t>ARRANGEMENT DE PHALAENOPSIS - composición/56</t>
  </si>
  <si>
    <t>https://drive.google.com/uc?export=view&amp;id=1SK1jetqpkHm4wysAal2kTf97P1BEWhpF</t>
  </si>
  <si>
    <t>1.19</t>
  </si>
  <si>
    <t>CRASSULA OVATA</t>
  </si>
  <si>
    <t>8400365 - ARBOL DE JADE T25 -planta/120 ( ARBOL DE JADE GRANDE  (Crassula Ovata) T-25)</t>
  </si>
  <si>
    <t>ARBOL DE JADE T25 -planta/120</t>
  </si>
  <si>
    <t xml:space="preserve"> ARBOL DE JADE GRANDE  (Crassula Ovata) T-25</t>
  </si>
  <si>
    <t>https://drive.google.com/uc?export=view&amp;id=1lx61k_U5Kp0yFS3ThzMZxvaYOsDd3GCE</t>
  </si>
  <si>
    <t>1.20</t>
  </si>
  <si>
    <t>8400365 - ARBOL DE JADE T25 -planta/188 ( ARBOL DE JADE GRANDE  (Crassula Ovata) T-25)</t>
  </si>
  <si>
    <t>ARBOL DE JADE T25 -planta/188</t>
  </si>
  <si>
    <t>1.21</t>
  </si>
  <si>
    <t>CODIAEUM VARI MRS ICETON</t>
  </si>
  <si>
    <t>8400558 - CROTON 50cm - Petra - planta/36 (81945, CROMA20)</t>
  </si>
  <si>
    <t>CROTON 50cm - Petra - planta/36</t>
  </si>
  <si>
    <t>81945, CROMA20</t>
  </si>
  <si>
    <t>https://drive.google.com/uc?export=view&amp;id=1bQ_DhntG2uRO8Okt4v1vWc7zG6mHvaCV</t>
  </si>
  <si>
    <t>1.22</t>
  </si>
  <si>
    <t>LAVANDULA STOE ANOUK</t>
  </si>
  <si>
    <t>8400357 - LAVANDULA T13 - planta (LAV13 LAVANDULA T-13, 42454)</t>
  </si>
  <si>
    <t>LAVANDULA T13 - planta</t>
  </si>
  <si>
    <t>LAV13 LAVANDULA T-13, 42454</t>
  </si>
  <si>
    <t>https://drive.google.com/uc?export=view&amp;id=1b7R1A9LoTC34-OMZMrvcLKwKIECUi_Os</t>
  </si>
  <si>
    <t>1.23</t>
  </si>
  <si>
    <t>KALANCHOE LUCKY BELLS</t>
  </si>
  <si>
    <t>8400448 - KALANCHOE T25 - Pumila - planta/18 (KAL-P  KALANCHOE PUMILA T-25 planta, KCALT)</t>
  </si>
  <si>
    <t>KALANCHOE T25 - Pumila - planta/18</t>
  </si>
  <si>
    <t>KAL-P  KALANCHOE PUMILA T-25 planta, KCALT</t>
  </si>
  <si>
    <t>https://drive.google.com/uc?export=view&amp;id=1OsLbWUraJBcbC_4ErrdcoBAP-oM2MkBa</t>
  </si>
  <si>
    <t>1.24</t>
  </si>
  <si>
    <t>EUPHORBIA TRIGONA</t>
  </si>
  <si>
    <t>8400556 - EUPHORBIA 30cm -Milii - planta/22 (174581, EUV)</t>
  </si>
  <si>
    <t>EUPHORBIA 30cm -Milii - planta/22</t>
  </si>
  <si>
    <t>174581, EUV</t>
  </si>
  <si>
    <t>https://drive.google.com/uc?export=view&amp;id=12K7rSNmKuUyPiVea-hixINhAgk9pFzEX</t>
  </si>
  <si>
    <t>1.25</t>
  </si>
  <si>
    <t>PTPB6537 ARRANGEMENTEN PASEN</t>
  </si>
  <si>
    <t>1.26</t>
  </si>
  <si>
    <t>PTPB6525 ARRANGEMENTEN PASEN</t>
  </si>
  <si>
    <t>1.27</t>
  </si>
  <si>
    <t>PHALAENOPSIS OTHER YELLOW</t>
  </si>
  <si>
    <t>8400391 - PHALAENOPSIS MIX - planta/28 (161202, 179376, 144102, 179304, 191963, 135419, 182797, 127000, 191284)</t>
  </si>
  <si>
    <t>PHALAENOPSIS MIX - planta/28</t>
  </si>
  <si>
    <t>161202, 179376, 144102, 179304, 191963, 135419, 182797, 127000, 191284</t>
  </si>
  <si>
    <t>https://drive.google.com/uc?export=view&amp;id=1r3AGRebywrGIf9rgKm41rhLoFBf_VJYs</t>
  </si>
  <si>
    <t>1.28</t>
  </si>
  <si>
    <t>SUCCULENTEN OTHER</t>
  </si>
  <si>
    <t>8400591 - SUCCULENTUS OTHER - planta/28 (CRASSCI-9, AEON.012)</t>
  </si>
  <si>
    <t>SUCCULENTUS OTHER - planta/28</t>
  </si>
  <si>
    <t>CRASSCI-9, AEON.012</t>
  </si>
  <si>
    <t>https://drive.google.com/uc?export=view&amp;id=1sZGDN8zhyq19KpYdDu_85JCqZfDsrTCK</t>
  </si>
  <si>
    <t>1.29</t>
  </si>
  <si>
    <t>RHIPSALIS MIX</t>
  </si>
  <si>
    <t>8400895 - RHIPSALIS MIX - T17 planta colganta (83612)</t>
  </si>
  <si>
    <t>RHIPSALIS MIX - T17 planta colganta</t>
  </si>
  <si>
    <t>https://drive.google.com/uc?export=view&amp;id=1HMPt7u6wRyq_7yXxw94RmWmhwr-9paUV</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</si>
  <si>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</si>
  <si>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</si>
  <si>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</si>
  <si>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</si>
  <si>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</si>
  <si>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</si>
  <si>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</si>
  <si>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</si>
  <si>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</si>
  <si>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</si>
  <si>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</si>
  <si>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</si>
  <si>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</si>
  <si>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</si>
  <si>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</si>
  <si>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</si>
  <si>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</si>
  <si>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</si>
  <si>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</si>
  <si>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</si>
  <si>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</si>
  <si>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</si>
  <si>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</si>
  <si>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</si>
  <si>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</si>
  <si>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</si>
  <si>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</si>
  <si>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</si>
  <si>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</si>
  <si>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</si>
  <si>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</si>
  <si>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</si>
  <si>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</si>
  <si>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</si>
  <si>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</si>
  <si>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</si>
  <si>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</si>
  <si>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</si>
  <si>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</si>
  <si>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</si>
  <si>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</si>
  <si>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</si>
  <si>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</si>
  <si>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</si>
  <si>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</si>
  <si>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</si>
  <si>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</si>
  <si>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67a397d0d3f7c54b2c00dd8b</t>
  </si>
  <si>
    <t>8400916</t>
  </si>
  <si>
    <t>CILINDRO CRISTAL 155XH350MM</t>
  </si>
  <si>
    <t>YE6000760</t>
  </si>
  <si>
    <t>6798e60810946ac55101581d</t>
  </si>
  <si>
    <t>R00038</t>
  </si>
  <si>
    <t>MARCADOR</t>
  </si>
  <si>
    <t xml:space="preserve"> rotulador</t>
  </si>
  <si>
    <t>6798e5b55aa428f092028194</t>
  </si>
  <si>
    <t>R00037</t>
  </si>
  <si>
    <t>BOLIGRAFO</t>
  </si>
  <si>
    <t xml:space="preserve"> </t>
  </si>
  <si>
    <t>6798e5228e08ea0b190a75bf</t>
  </si>
  <si>
    <t>R00036</t>
  </si>
  <si>
    <t>TRAPO PARA FREGONA</t>
  </si>
  <si>
    <t>6798e4a511a9d29d6f0a44e9</t>
  </si>
  <si>
    <t>R00035</t>
  </si>
  <si>
    <t>ESPONJA PARA LAVAR</t>
  </si>
  <si>
    <t>6798e345728a2c96600b4901</t>
  </si>
  <si>
    <t>R00034</t>
  </si>
  <si>
    <t>BOLSAS DE BASURA</t>
  </si>
  <si>
    <t>6798e2ed2c73d8973e084548</t>
  </si>
  <si>
    <t>R00033</t>
  </si>
  <si>
    <t>LIMPIACRISTALES</t>
  </si>
  <si>
    <t>6798e26530bae3b3e20e44bb</t>
  </si>
  <si>
    <t>R00032</t>
  </si>
  <si>
    <t>LIMPIADOR DE SUELOS</t>
  </si>
  <si>
    <t>6798e1e33b01d2095f0a52c1</t>
  </si>
  <si>
    <t>R00031</t>
  </si>
  <si>
    <t>BAYETA DE LIMPIEZA</t>
  </si>
  <si>
    <t>6798e11e36e153e1c90b9b71</t>
  </si>
  <si>
    <t>R00030</t>
  </si>
  <si>
    <t>GUANTES FLORISTICOS</t>
  </si>
  <si>
    <t>6798e05464ae6abe870282e8</t>
  </si>
  <si>
    <t>R00029</t>
  </si>
  <si>
    <t>TOALLA DE PAPEL</t>
  </si>
  <si>
    <t>67781cc6a8ab4e31b00a3b89</t>
  </si>
  <si>
    <t>R00028</t>
  </si>
  <si>
    <t>BOLSA ARAIK TAMAÑO XL</t>
  </si>
  <si>
    <t>6050 8400274 8050503522105</t>
  </si>
  <si>
    <t>67781a9dfb31216da1064f2e</t>
  </si>
  <si>
    <t>R00027</t>
  </si>
  <si>
    <t>BOLSA ARAIK TAMAÑO M</t>
  </si>
  <si>
    <t>6106 8400273</t>
  </si>
  <si>
    <t>67781e0d6c7befe3d307b4d3</t>
  </si>
  <si>
    <t>R00026</t>
  </si>
  <si>
    <t>BOLSA ARAIK TAMAÑO S</t>
  </si>
  <si>
    <t>2623</t>
  </si>
  <si>
    <t>6798dc94824c3e36c1016596</t>
  </si>
  <si>
    <t>R00025</t>
  </si>
  <si>
    <t>Albaran de traslado de mercancias</t>
  </si>
  <si>
    <t xml:space="preserve"> Albaran de traslado de mercancias</t>
  </si>
  <si>
    <t>6798dbca8236d5a68a07efab</t>
  </si>
  <si>
    <t>R00024</t>
  </si>
  <si>
    <t>Acta de recepcion de mercancia</t>
  </si>
  <si>
    <t xml:space="preserve"> Acta de recepcion de mercancia</t>
  </si>
  <si>
    <t>6798d9b06b7c8765e9006733</t>
  </si>
  <si>
    <t>R00023</t>
  </si>
  <si>
    <t>Etiquetas adhesivas (impresora de precios)</t>
  </si>
  <si>
    <t xml:space="preserve"> Etiquetas adhesivas</t>
  </si>
  <si>
    <t>673c901c2f96c98c700f48c5</t>
  </si>
  <si>
    <t>R00022</t>
  </si>
  <si>
    <t>CUCHILLO FLORISTA 1UND</t>
  </si>
  <si>
    <t>5024242421459, 1987-16</t>
  </si>
  <si>
    <t>673c91136cb13b6f1405044d</t>
  </si>
  <si>
    <t>R00021</t>
  </si>
  <si>
    <t>TIJERAS DE PODAR</t>
  </si>
  <si>
    <t>8422347199018, 80523360176, 4000510982830, secadores, 32-00011</t>
  </si>
  <si>
    <t>6703dd70d0d4310e8f0af140</t>
  </si>
  <si>
    <t>R00020</t>
  </si>
  <si>
    <t>TIJERAS FLORES</t>
  </si>
  <si>
    <t>8719202891010, 5024242421527, 8410990001284</t>
  </si>
  <si>
    <t>672c8e0fd6c084279b031cf8</t>
  </si>
  <si>
    <t>R00019</t>
  </si>
  <si>
    <t>ADHESIVO DE SILICONA 1KG OASIS</t>
  </si>
  <si>
    <t xml:space="preserve">5024242663071 ADHESIVO DE SILICONA 1KG OASIS </t>
  </si>
  <si>
    <t>6703dc92bd2e45464000f3d2</t>
  </si>
  <si>
    <t>R00018</t>
  </si>
  <si>
    <t>PISTOLA SILICONA 80W OASIS</t>
  </si>
  <si>
    <t>4000510929200 PISTOLA SILICONA 80W OASIS</t>
  </si>
  <si>
    <t>6798d205d8356889ed0b3607</t>
  </si>
  <si>
    <t>R00017</t>
  </si>
  <si>
    <t>PALITOS DE BAMBU</t>
  </si>
  <si>
    <t>6798d0f3e0446df5880375a6</t>
  </si>
  <si>
    <t>R00016</t>
  </si>
  <si>
    <t>CINTA ADHESIVA NEGRA</t>
  </si>
  <si>
    <t xml:space="preserve"> CINTA ADHESIVA NEGRA</t>
  </si>
  <si>
    <t>673f596d8816b03a3801eac7</t>
  </si>
  <si>
    <t>R00015</t>
  </si>
  <si>
    <t>Hilo negro para etiquetas</t>
  </si>
  <si>
    <t>8436036131531, 8436548911973</t>
  </si>
  <si>
    <t>677eb58111dfddbee20bc222</t>
  </si>
  <si>
    <t>R00014</t>
  </si>
  <si>
    <t>CINTA ORGANZA</t>
  </si>
  <si>
    <t xml:space="preserve"> CINTA ORGANZA, 2716</t>
  </si>
  <si>
    <t>6703df5376586e9b5b03a58a</t>
  </si>
  <si>
    <t>R00013</t>
  </si>
  <si>
    <t>CELOFAN BLANCO MATE</t>
  </si>
  <si>
    <t>8434329000038, 09001735070050</t>
  </si>
  <si>
    <t>676ec6339c087d28580805e5</t>
  </si>
  <si>
    <t>R00012</t>
  </si>
  <si>
    <t>CELOFAN NEGRO OPACO</t>
  </si>
  <si>
    <t xml:space="preserve"> 34224323070025</t>
  </si>
  <si>
    <t>675c597b32e0808baf0bbbb8</t>
  </si>
  <si>
    <t>R00011</t>
  </si>
  <si>
    <t>Etiquetas de marca Araik Galstyan</t>
  </si>
  <si>
    <t>8400224 Etiquetas de marca Araik Galstyan</t>
  </si>
  <si>
    <t>673c932cf25d73aa020dee6f</t>
  </si>
  <si>
    <t>R00010</t>
  </si>
  <si>
    <t>PULVERIZADOR 1L</t>
  </si>
  <si>
    <t>8711295692222 PULVERIZADOR 1L</t>
  </si>
  <si>
    <t>672c909e82bb45ce870dd345</t>
  </si>
  <si>
    <t>R00009</t>
  </si>
  <si>
    <t>OASIS ESPONJA FLORAL 1 und</t>
  </si>
  <si>
    <t>4000510010106, 10-01010, 1002002, 5104</t>
  </si>
  <si>
    <t>677d50f6c61cb92f6301222e</t>
  </si>
  <si>
    <t>R00008</t>
  </si>
  <si>
    <t>Papel térmico en rollo (terminal)</t>
  </si>
  <si>
    <t xml:space="preserve"> Papel para terminal</t>
  </si>
  <si>
    <t>677d4819ca31ed30a40b3633</t>
  </si>
  <si>
    <t>R00006</t>
  </si>
  <si>
    <t>Papel blanco en rollo Fernando</t>
  </si>
  <si>
    <t>PP05 Papel blanco en rollo Fernando</t>
  </si>
  <si>
    <t>677d47a91185280a01074be8</t>
  </si>
  <si>
    <t>R00005</t>
  </si>
  <si>
    <t>Papel transparente en rollo</t>
  </si>
  <si>
    <t>70050 Papel transparente en rollo</t>
  </si>
  <si>
    <t>677d4736b00df30d300b2fbd</t>
  </si>
  <si>
    <t>R00004</t>
  </si>
  <si>
    <t>Papel blanco, negro en rollo</t>
  </si>
  <si>
    <t>491901 Papel blanco en rollo</t>
  </si>
  <si>
    <t>677408353356d6909c02ac69</t>
  </si>
  <si>
    <t>R00003</t>
  </si>
  <si>
    <t>Papel térmico en rollo 80*80 (caja)</t>
  </si>
  <si>
    <t xml:space="preserve"> termoroll</t>
  </si>
  <si>
    <t>6778177172558faec700c709</t>
  </si>
  <si>
    <t>R00002</t>
  </si>
  <si>
    <t>Etiquetas Kraft Negras 4 cm x 9 cm 100un</t>
  </si>
  <si>
    <t xml:space="preserve"> Etiquetas Kraft Negras</t>
  </si>
  <si>
    <t>67781623eaac4157b3040a33</t>
  </si>
  <si>
    <t>R00001</t>
  </si>
  <si>
    <t>Cuerda de Yute 1,2mm, 250m  Natural Yute Twine</t>
  </si>
  <si>
    <t xml:space="preserve"> Cuerda de Yute </t>
  </si>
  <si>
    <t>6777b4a02ac5aa502d0c0e85</t>
  </si>
  <si>
    <t>R00058</t>
  </si>
  <si>
    <t>BANDEJA PORTA-FLORES</t>
  </si>
  <si>
    <t>50398 BANDEJA PORTA-FLORES</t>
  </si>
  <si>
    <t>674745574850d2532c045367</t>
  </si>
  <si>
    <t>R00039</t>
  </si>
  <si>
    <t>CUBO NEGRO REDONDO DE PLASTICO</t>
  </si>
  <si>
    <t xml:space="preserve"> 14109, 14110</t>
  </si>
  <si>
    <t>6703d9ff85b5026c480985b4</t>
  </si>
  <si>
    <t>8400007</t>
  </si>
  <si>
    <t>CESTA MIMBRE GRANDE</t>
  </si>
  <si>
    <t>67b7403bb74ded87830b1147</t>
  </si>
  <si>
    <t>8400459</t>
  </si>
  <si>
    <t>[closed] ALMENDRA con FLORES 1,5-2m - rama</t>
  </si>
  <si>
    <t xml:space="preserve"> 8400459</t>
  </si>
  <si>
    <t>67b7340037e697e3f60a0854</t>
  </si>
  <si>
    <t>8400458</t>
  </si>
  <si>
    <t>HELECHO T10 - planta/14</t>
  </si>
  <si>
    <t xml:space="preserve"> 8400458</t>
  </si>
  <si>
    <t>67b73346be2f0d7edf0e7e40</t>
  </si>
  <si>
    <t>8400457</t>
  </si>
  <si>
    <t>HORTENSIA T14, T15 -  planta/28</t>
  </si>
  <si>
    <t>HOR, 130498, 99757, 130498, 175237, 176490,10104, 172749</t>
  </si>
  <si>
    <t>67b71d34a6c37dd24b09ae39</t>
  </si>
  <si>
    <t>8400456</t>
  </si>
  <si>
    <t>ROSA - Mondial</t>
  </si>
  <si>
    <t>RSC60 8400456, 177325, 177160, 177161, 177161</t>
  </si>
  <si>
    <t>67b46aeefd3021d1ec0140f9</t>
  </si>
  <si>
    <t>8400455</t>
  </si>
  <si>
    <t>CALA MIX - planta/20</t>
  </si>
  <si>
    <t>Cala  8400455, 95, 1035, 193945</t>
  </si>
  <si>
    <t>67b467df3a4878b4b209d5dc</t>
  </si>
  <si>
    <t>8400454</t>
  </si>
  <si>
    <t>YUCCA 120cm - planta/165</t>
  </si>
  <si>
    <t xml:space="preserve"> YUCCA 120cm planta</t>
  </si>
  <si>
    <t>67b464d2fb7efe39e304ff1a</t>
  </si>
  <si>
    <t>8400453</t>
  </si>
  <si>
    <t>YUCCA 90cm - planta/135</t>
  </si>
  <si>
    <t xml:space="preserve"> YUCCA 90cm planta</t>
  </si>
  <si>
    <t>67b45ac08ba2ed54050a09a4</t>
  </si>
  <si>
    <t>8400452</t>
  </si>
  <si>
    <t>FICUS T20 - Benjamina - planta/35</t>
  </si>
  <si>
    <t>FICBEN20PAC  FICUS BENJAMINA T-20 planta</t>
  </si>
  <si>
    <t>67b456f2b3fc708ef80cb321</t>
  </si>
  <si>
    <t>8400451</t>
  </si>
  <si>
    <t>DRACAENA T5L- Compacta - planta/42</t>
  </si>
  <si>
    <t>dracaena DRACENA COMPACTA 5L planta</t>
  </si>
  <si>
    <t>67b37be7118792857d01a74a</t>
  </si>
  <si>
    <t>8400450</t>
  </si>
  <si>
    <t>[closed] CALA T5L - planta/15</t>
  </si>
  <si>
    <t>CA21  Calla Zantedeschia Aethiopica  5L planta</t>
  </si>
  <si>
    <t>67b37902fb8dc102720afa33</t>
  </si>
  <si>
    <t>8400449</t>
  </si>
  <si>
    <t>PHILODENDRON T14 - Birkin - planta/18</t>
  </si>
  <si>
    <t>PHILB, 179578, WHITE, BIRKIN   PHILODENDRON BIRKIN T-14 planta</t>
  </si>
  <si>
    <t>67b3755f925e01531407d9a8</t>
  </si>
  <si>
    <t>8400448</t>
  </si>
  <si>
    <t>67b361eb59c7c141200948a3</t>
  </si>
  <si>
    <t>8400447</t>
  </si>
  <si>
    <t>EUCALIPTO SECO -MIX - rama</t>
  </si>
  <si>
    <t>EUCU, KUCU  EUCALIPTO CINEREA TEÑIDO</t>
  </si>
  <si>
    <t>67acbc93ea7d44111e089782</t>
  </si>
  <si>
    <t>8400443</t>
  </si>
  <si>
    <t>[closed] SUCCULENTUS T8 - MIX - planta/6</t>
  </si>
  <si>
    <t>CRASSULACEAE, CRA8  Succulentus MIX T-8 planta</t>
  </si>
  <si>
    <t>67acbb94f0b43415360e8fa3</t>
  </si>
  <si>
    <t>8400442</t>
  </si>
  <si>
    <t>EUPHORBIA T18 - Eritrea - planta/79</t>
  </si>
  <si>
    <t>EUPH18  EUPHORBIA ERITREA T-18 planta</t>
  </si>
  <si>
    <t>67acb7e12d9d1b2da702b1df</t>
  </si>
  <si>
    <t>8400441</t>
  </si>
  <si>
    <t>[closed] CAMPANULA T11 - planta/7</t>
  </si>
  <si>
    <t>CAMPA11H  CAMPANULA T-11 planta</t>
  </si>
  <si>
    <t>67acb78132284fecc202dd8b</t>
  </si>
  <si>
    <t>8400440</t>
  </si>
  <si>
    <t>DIEFFENBACHIA T12 MIX - planta/12</t>
  </si>
  <si>
    <t>DIEF  DIEFFENBACCHIA MIX T-12 planta</t>
  </si>
  <si>
    <t>67acb36ff185a61cb8004629</t>
  </si>
  <si>
    <t>8400439</t>
  </si>
  <si>
    <t>[deleted] DENDROBIUM MIX T-12 planta</t>
  </si>
  <si>
    <t>DEND  DENDROBIUM MIX T-12 planta</t>
  </si>
  <si>
    <t>67acad208853daaa1a0ba616</t>
  </si>
  <si>
    <t>8400438</t>
  </si>
  <si>
    <t>PACHIRA T9 - planta/18</t>
  </si>
  <si>
    <t>PACH9  PACHIRA T-9 planta</t>
  </si>
  <si>
    <t>67aca7ddee3807772b01b001</t>
  </si>
  <si>
    <t>8400437</t>
  </si>
  <si>
    <t>FICUS T26 - Tineke - planta/89</t>
  </si>
  <si>
    <t>FTI26 FICUS TINEKE T-26 planta</t>
  </si>
  <si>
    <t>67aca5b2e324617824055019</t>
  </si>
  <si>
    <t>8400436</t>
  </si>
  <si>
    <t>[deleted] ANTHURIUM MICRA T-12 planta</t>
  </si>
  <si>
    <t xml:space="preserve">MIC12 ANTHURIUM MICRA T-12 planta, </t>
  </si>
  <si>
    <t>67aca1f6a21cfa387108900b</t>
  </si>
  <si>
    <t>8400435</t>
  </si>
  <si>
    <t>BEGONIA T20 - Maculata - planta/42</t>
  </si>
  <si>
    <t>1096   BEGONIA MACULATA T-20 planta</t>
  </si>
  <si>
    <t>67ac9d60080e267f5006f89c</t>
  </si>
  <si>
    <t>8400434</t>
  </si>
  <si>
    <t>DIPLADEMIA - planta/25</t>
  </si>
  <si>
    <t xml:space="preserve"> DIPLODEMIA planta</t>
  </si>
  <si>
    <t>67ab9b6e7a95cf04040f9094</t>
  </si>
  <si>
    <t>8400433</t>
  </si>
  <si>
    <t>IRIS - flor</t>
  </si>
  <si>
    <t>IRIA  IRIS de corte IRI, 53473, 33546</t>
  </si>
  <si>
    <t>67ab9977b6c073ecb9042395</t>
  </si>
  <si>
    <t>8400432</t>
  </si>
  <si>
    <t>PANICULATA - rama</t>
  </si>
  <si>
    <t xml:space="preserve"> PANICULATA rama pequeña, 29334, 18949, 53191,  54564, 100223, 49125, 49125, 100429, 141319, 92513, 130670, 67464 PAN, 18798, 101047</t>
  </si>
  <si>
    <t>67ab8bb5b6cf70bea00f77b1</t>
  </si>
  <si>
    <t>8400431</t>
  </si>
  <si>
    <t xml:space="preserve">FORSYTHIA - rama </t>
  </si>
  <si>
    <t>2121  FORSYTHIA RAMA 60 cm</t>
  </si>
  <si>
    <t>67ab8b3d58fe0ffed30d0cfd</t>
  </si>
  <si>
    <t>8400430</t>
  </si>
  <si>
    <t>MAGNOLIA con BROTES- rama</t>
  </si>
  <si>
    <t>9514  MAGNOLIA RAMA 50 cm</t>
  </si>
  <si>
    <t>67ab57cac22e60628106f97c</t>
  </si>
  <si>
    <t>8400429</t>
  </si>
  <si>
    <t>ESCABIOSA  HOLANDA - flor</t>
  </si>
  <si>
    <t xml:space="preserve"> ESCABIOSA HOLANDA, 135562, 129766</t>
  </si>
  <si>
    <t>67ab53f6e3ef4c5dc00e49a2</t>
  </si>
  <si>
    <t>8400428</t>
  </si>
  <si>
    <t>CYMBIDIUM 4V - planta/75</t>
  </si>
  <si>
    <t>PL.CYM CYMBIDIUM 4-RAMA PLANTA CYM4V</t>
  </si>
  <si>
    <t>67ab24a16fc4601a0509d4a4</t>
  </si>
  <si>
    <t>8400427</t>
  </si>
  <si>
    <t>CORTADERIA - herbacea</t>
  </si>
  <si>
    <t xml:space="preserve"> CORTADERIA RAMA</t>
  </si>
  <si>
    <t>67aa3d173c2b11f05a0442ff</t>
  </si>
  <si>
    <t>8400426</t>
  </si>
  <si>
    <t>NARCISO - flor</t>
  </si>
  <si>
    <t>NAD, NADAL, NADALES,  NARCISSUS , 48711, 39962</t>
  </si>
  <si>
    <t>67aa3a6a946bed27dd0afb35</t>
  </si>
  <si>
    <t>8400425</t>
  </si>
  <si>
    <t>[closed] FRESIA - flor</t>
  </si>
  <si>
    <t>FRE  FRESIA de corte</t>
  </si>
  <si>
    <t>67aa090c7729a7ca5405697f</t>
  </si>
  <si>
    <t>8400424</t>
  </si>
  <si>
    <t>[closed] RS ROSA - Flamingo</t>
  </si>
  <si>
    <t xml:space="preserve"> ROSA FLAMINGO</t>
  </si>
  <si>
    <t>67a9f16f82bdd5dd9f0b8091</t>
  </si>
  <si>
    <t>8400423</t>
  </si>
  <si>
    <t>[closed] ALMENDRA con FLORES - MINI - rama</t>
  </si>
  <si>
    <t xml:space="preserve"> ALMENDRA CON FLORES RAMA PEQUEÑA</t>
  </si>
  <si>
    <t>67a9eff6fa5e4a1d72003e27</t>
  </si>
  <si>
    <t>8400422</t>
  </si>
  <si>
    <t>[closed] LAUREL - MINI - rama</t>
  </si>
  <si>
    <t xml:space="preserve"> LAUREL RAMA PEQUEÑA</t>
  </si>
  <si>
    <t>67a9ef8e6c4609167609d14c</t>
  </si>
  <si>
    <t>8400421</t>
  </si>
  <si>
    <t>[closed] LAUREL - rama</t>
  </si>
  <si>
    <t xml:space="preserve"> LAUREL RAMA GRANDE</t>
  </si>
  <si>
    <t>67a219ca610e6dc3e503693b</t>
  </si>
  <si>
    <t>8400420</t>
  </si>
  <si>
    <t>[closed] HIEDRA (HEDERA) - MIX - planta/25</t>
  </si>
  <si>
    <t xml:space="preserve"> HIEDRA MIX planta</t>
  </si>
  <si>
    <t>67a20968d0b4d09a030292f3</t>
  </si>
  <si>
    <t>8400419</t>
  </si>
  <si>
    <t>[closed] RS ROSA - Clarence</t>
  </si>
  <si>
    <t>4452  Rosa Clarence 70 cm Naranja</t>
  </si>
  <si>
    <t>67a204e4bb7320236b047774</t>
  </si>
  <si>
    <t>8400418</t>
  </si>
  <si>
    <t>ORNITHOGALUM - flor</t>
  </si>
  <si>
    <t>JACIPO  ORNITHOGALUM</t>
  </si>
  <si>
    <t>67a1f7fa173564f35e032068</t>
  </si>
  <si>
    <t>8400417</t>
  </si>
  <si>
    <t>[closed] MACETA ANTIGUA</t>
  </si>
  <si>
    <t xml:space="preserve"> MACETA ANTIGUA</t>
  </si>
  <si>
    <t>67a0e6fc4c0b437f2306b338</t>
  </si>
  <si>
    <t>8400416</t>
  </si>
  <si>
    <t>[closed] LIMONERO T20 - planta/100</t>
  </si>
  <si>
    <t>LLI20 LLIMONER T-20 planta</t>
  </si>
  <si>
    <t>67a0e6a4e6cb5d36c60dfc49</t>
  </si>
  <si>
    <t>8400415</t>
  </si>
  <si>
    <t>RHIPSALIS GRANDE - planta/95</t>
  </si>
  <si>
    <t>RHI9 RHIPSALIS GRANDE planta</t>
  </si>
  <si>
    <t>67a0e4a6f9f6f81230050c84</t>
  </si>
  <si>
    <t>8400413</t>
  </si>
  <si>
    <t>ALOCASIA T12 - Frydek - planta/15</t>
  </si>
  <si>
    <t>ALOF  ALOCASIA FRYDEK T-12 planta</t>
  </si>
  <si>
    <t>67a0e0e7bb1c1847a6008240</t>
  </si>
  <si>
    <t>8400412</t>
  </si>
  <si>
    <t>EUPHORBIA T20 - Eritrea - planta/110</t>
  </si>
  <si>
    <t>EUPH20  EUPHORBIA ERITREA T-20 planta</t>
  </si>
  <si>
    <t>67a0e0af344280edd40cb6a4</t>
  </si>
  <si>
    <t>8400411</t>
  </si>
  <si>
    <t>EUPHORBIA - Eritrea Extra - planta/125</t>
  </si>
  <si>
    <t>EUP30  EUPHORBIA ERITREA T-30 planta, 6EUPT080, 4022314 46, TIRUCALLI 10L</t>
  </si>
  <si>
    <t>67a0de2cd82aa1265e0afc9c</t>
  </si>
  <si>
    <t>8400410</t>
  </si>
  <si>
    <t>67a0ddcbbccbd1aa7c073bc3</t>
  </si>
  <si>
    <t>8400409</t>
  </si>
  <si>
    <t>SUCCULENTUS  T13 - MIX - planta/8</t>
  </si>
  <si>
    <t>GORASA13, 52б  crasa, 172028, CRA13, crassulaceae Succulentus MIX T-13 planta, CRA, SED, LAEON. 011, Aeonium arboreum m13</t>
  </si>
  <si>
    <t>67a0dd8be84e584b2309a178</t>
  </si>
  <si>
    <t>8400408</t>
  </si>
  <si>
    <t>SUCCULENTUS T20 - MIX - planta/15</t>
  </si>
  <si>
    <t>6GRASA20, 53, crasa, 6CRASA20, A70100, CRA17</t>
  </si>
  <si>
    <t>67a0dd2eee4cb457050c2b75</t>
  </si>
  <si>
    <t>8400407</t>
  </si>
  <si>
    <t>ROMERO T5L - planta/15</t>
  </si>
  <si>
    <t>DROMO05L  ROSMARINUS OFFICINALIS 5L planta</t>
  </si>
  <si>
    <t>67a0d3aa72cc812968047326</t>
  </si>
  <si>
    <t>8400404</t>
  </si>
  <si>
    <t>CALATHEA T19 - planta/54</t>
  </si>
  <si>
    <t>CALM19  CALATHEA MIX T-19 planta, 128628</t>
  </si>
  <si>
    <t>67a0cf07ed3c84fc5602090e</t>
  </si>
  <si>
    <t>8400403</t>
  </si>
  <si>
    <t>[closed] KALANCHOE T22 - Tessa - planta/35</t>
  </si>
  <si>
    <t>KAL-22 KALANCHOE TESSA T-22 planta</t>
  </si>
  <si>
    <t>67a0bf4e914c7fdf110a2f56</t>
  </si>
  <si>
    <t>8400402</t>
  </si>
  <si>
    <t>OXYPETALUM (TVIDYA) - flor</t>
  </si>
  <si>
    <t xml:space="preserve"> OXYPETALUM, 83266, 112967</t>
  </si>
  <si>
    <t>67a0bde72d076286680b6a6c</t>
  </si>
  <si>
    <t>8400401</t>
  </si>
  <si>
    <t>ANEMONA - flor</t>
  </si>
  <si>
    <t xml:space="preserve"> ANEMONA, 9445, 74232, 145198, 149541, </t>
  </si>
  <si>
    <t>67a0bba1db53a7f86809fb1b</t>
  </si>
  <si>
    <t>8400400</t>
  </si>
  <si>
    <t>[closed] STRELITZIA con FLORES - rama</t>
  </si>
  <si>
    <t>ESTERLITZIA STRELITZIA hojas con flores</t>
  </si>
  <si>
    <t>67a09eee1d22b4d30a05d706</t>
  </si>
  <si>
    <t>8400399</t>
  </si>
  <si>
    <t>RSR ROSA RAMI - MIX</t>
  </si>
  <si>
    <t>7929-54 ROSA RAMIFICADA Assorte, 498, 19736 180319 38529 9451</t>
  </si>
  <si>
    <t>679cb779e7390abb250045a1</t>
  </si>
  <si>
    <t>8400398</t>
  </si>
  <si>
    <t>[closed] OLIVO - rama</t>
  </si>
  <si>
    <t xml:space="preserve"> OLIVA</t>
  </si>
  <si>
    <t>6797a25ff3f98ecb7c0ae34c</t>
  </si>
  <si>
    <t>8400397</t>
  </si>
  <si>
    <t>[deleted] Ricinus con flor - rama</t>
  </si>
  <si>
    <t xml:space="preserve"> Ricinus con flor</t>
  </si>
  <si>
    <t>6797a218c436a2813a0b7499</t>
  </si>
  <si>
    <t>8400396</t>
  </si>
  <si>
    <t>[closed] RICINUS -rama</t>
  </si>
  <si>
    <t xml:space="preserve"> Ricinus Grande</t>
  </si>
  <si>
    <t>6797a1ae579e15839d07223a</t>
  </si>
  <si>
    <t>8400395</t>
  </si>
  <si>
    <t>MARFULL - Arbol- rama</t>
  </si>
  <si>
    <t xml:space="preserve"> Marful Arbol (Rama)</t>
  </si>
  <si>
    <t>6797a0e6f0b4e2a2220a3ef8</t>
  </si>
  <si>
    <t>8400394</t>
  </si>
  <si>
    <t>[deleted] Marful Rama pequeña</t>
  </si>
  <si>
    <t xml:space="preserve"> Marful Rama pequeña</t>
  </si>
  <si>
    <t>67979b69c6bac7c9de0c1d83</t>
  </si>
  <si>
    <t>8400393</t>
  </si>
  <si>
    <t>[deleted] Piscantus grande - rama</t>
  </si>
  <si>
    <t xml:space="preserve"> Piscantus grande</t>
  </si>
  <si>
    <t>67979ae300404c5c6401478a</t>
  </si>
  <si>
    <t>8400392</t>
  </si>
  <si>
    <t>[deleted] Piscantus pequeño - rama</t>
  </si>
  <si>
    <t xml:space="preserve"> Piscantus pequeño</t>
  </si>
  <si>
    <t>6793d628f234e8534d05e26b</t>
  </si>
  <si>
    <t>8400391</t>
  </si>
  <si>
    <t>6793d52256696598090b67e9</t>
  </si>
  <si>
    <t>8400390</t>
  </si>
  <si>
    <t>[closed] VIOLA - planta/2</t>
  </si>
  <si>
    <t xml:space="preserve"> VIOLA</t>
  </si>
  <si>
    <t>6793cf45efb36a46e20587ea</t>
  </si>
  <si>
    <t>8400389</t>
  </si>
  <si>
    <t>PHILODENDRON GRANDE - planta/48</t>
  </si>
  <si>
    <t xml:space="preserve"> PHILODENDRON GRANDE PLANTA</t>
  </si>
  <si>
    <t>67938ef9ac89806d8d073cb8</t>
  </si>
  <si>
    <t>8400388</t>
  </si>
  <si>
    <t>[closed] DRACAENA - Margi - planta/55</t>
  </si>
  <si>
    <t xml:space="preserve">3175, DRACAENA DRACENA MARGI PLANTA </t>
  </si>
  <si>
    <t>67938e7312b3fcb0830c950a</t>
  </si>
  <si>
    <t>8400387</t>
  </si>
  <si>
    <t>BEAUCARNEA 80cm - planta/135</t>
  </si>
  <si>
    <t xml:space="preserve"> Bocannea Bea, Bocarnea, 187761</t>
  </si>
  <si>
    <t>67938e28da270678df00ca63</t>
  </si>
  <si>
    <t>8400386</t>
  </si>
  <si>
    <t>[closed] BEAUCARNEA T30 - planta/36</t>
  </si>
  <si>
    <t xml:space="preserve">Bocarnea Bea T-30 </t>
  </si>
  <si>
    <t>67938d36b1fcf9373d06944b</t>
  </si>
  <si>
    <t>8400385</t>
  </si>
  <si>
    <t>RUSSELIA T19 - planta/29</t>
  </si>
  <si>
    <t>RUSE19 RUSELIA EQUISETIFORMIS PLANTA T-19</t>
  </si>
  <si>
    <t>67938c6972125f671d0000fd</t>
  </si>
  <si>
    <t>8400384</t>
  </si>
  <si>
    <t>EUPHORBIA -Milii -planta/8</t>
  </si>
  <si>
    <t>CDC14  Euphobia Milil (Corona de Cristo) Planta</t>
  </si>
  <si>
    <t>67938808ae3bc8e1de00f259</t>
  </si>
  <si>
    <t>8400383</t>
  </si>
  <si>
    <t>CAMELIA - rama</t>
  </si>
  <si>
    <t>CAM, CAMELLIA</t>
  </si>
  <si>
    <t>679383395cdbbf37240b0854</t>
  </si>
  <si>
    <t>8400381</t>
  </si>
  <si>
    <t>CROSCOMIA - flor</t>
  </si>
  <si>
    <t>MEM  Croscomia MENBRETIA</t>
  </si>
  <si>
    <t>67937fc016856997210ad634</t>
  </si>
  <si>
    <t>8400380</t>
  </si>
  <si>
    <t>Maceta Negra Valencia 15 litros</t>
  </si>
  <si>
    <t xml:space="preserve"> Maceta Negra Valencia 15 litros </t>
  </si>
  <si>
    <t>67937babecacc5b0130f5a1d</t>
  </si>
  <si>
    <t>8400379</t>
  </si>
  <si>
    <t>ASPIDISTRA - planta/38</t>
  </si>
  <si>
    <t xml:space="preserve"> ASPIDISTRA PLANTA</t>
  </si>
  <si>
    <t>679379bd0a327f303607b3ae</t>
  </si>
  <si>
    <t>8400377</t>
  </si>
  <si>
    <t>HIBISCUS T17 - planta/25</t>
  </si>
  <si>
    <t>30036  HIBISCUS  PLANTA T-17, 133332</t>
  </si>
  <si>
    <t>6793787a36b43793ff0b1d7b</t>
  </si>
  <si>
    <t>8400376</t>
  </si>
  <si>
    <t>HIBISCUS T14 - planta/15</t>
  </si>
  <si>
    <t>30107  HIBISCUS-14 TST, 138120</t>
  </si>
  <si>
    <t>679376de3aeb6b04b4013443</t>
  </si>
  <si>
    <t>8400375</t>
  </si>
  <si>
    <t>DRACAENA  70cm - Lemon - planta/56</t>
  </si>
  <si>
    <t>Dracaena DRACENA PLANTA</t>
  </si>
  <si>
    <t>67936eb7311269f5bf020f4f</t>
  </si>
  <si>
    <t>8400374</t>
  </si>
  <si>
    <t>ACHILEA - flor</t>
  </si>
  <si>
    <t xml:space="preserve"> ACHILEA, 131075, 183883</t>
  </si>
  <si>
    <t>6793688d6da7779cbd0f164f</t>
  </si>
  <si>
    <t>8400373</t>
  </si>
  <si>
    <t>ANIGOZANTHOS - flor</t>
  </si>
  <si>
    <t xml:space="preserve"> ANIGOZANTHOS</t>
  </si>
  <si>
    <t>679363c47cb055b1a10bcc75</t>
  </si>
  <si>
    <t>8400372</t>
  </si>
  <si>
    <t>[deleted] HORTENSIA MACROPHYLLA PLANTA  T-7.5</t>
  </si>
  <si>
    <t xml:space="preserve"> M17 HORTENSIA MACROPHYLLA PLANTA  T-7.5</t>
  </si>
  <si>
    <t>67935851e366b0d66201ea1a</t>
  </si>
  <si>
    <t>8400371</t>
  </si>
  <si>
    <t>HORTENSIA T7,5 - planta/12</t>
  </si>
  <si>
    <t>48 8400371</t>
  </si>
  <si>
    <t>6791374c3c2714a0f008ee8d</t>
  </si>
  <si>
    <t>8400370</t>
  </si>
  <si>
    <t>MACETA CERAMICA</t>
  </si>
  <si>
    <t xml:space="preserve"> POT PLASTIC</t>
  </si>
  <si>
    <t>678fd88ed944b9b71f08d235</t>
  </si>
  <si>
    <t>8400369</t>
  </si>
  <si>
    <t>MIMOSA - rama seca</t>
  </si>
  <si>
    <t xml:space="preserve"> MIMOSA PEQUEÑA, 53668, 73182, </t>
  </si>
  <si>
    <t>678fd2df3cb763f2e10337e3</t>
  </si>
  <si>
    <t>8400365</t>
  </si>
  <si>
    <t>678fd299d85c9aa2c901a0eb</t>
  </si>
  <si>
    <t>8400364</t>
  </si>
  <si>
    <t>[closed] ARBOL DE JADE T25 - planta/55</t>
  </si>
  <si>
    <t xml:space="preserve"> ARBOL DE JADE PEQUEÑO (Crassula Ovata) T-25</t>
  </si>
  <si>
    <t>678fcda0617d9f935f03adbc</t>
  </si>
  <si>
    <t>8400363</t>
  </si>
  <si>
    <t>RS ROSA - Mariyo</t>
  </si>
  <si>
    <t>RSMAR6O ROSA MARIYO 60 cm (ORANGE)</t>
  </si>
  <si>
    <t>678fc509814b78c065004c19</t>
  </si>
  <si>
    <t>8400362</t>
  </si>
  <si>
    <t>[closed] ALMENDRA con FLORES - rama</t>
  </si>
  <si>
    <t>FLOR FLOR DE ALMENDRO</t>
  </si>
  <si>
    <t>678fc187555a01911203f686</t>
  </si>
  <si>
    <t>8400361</t>
  </si>
  <si>
    <t>[closed] RS ROSA - Col</t>
  </si>
  <si>
    <t xml:space="preserve">FRSC50, RSC50 </t>
  </si>
  <si>
    <t>678fbc2b357a898ba2073720</t>
  </si>
  <si>
    <t>8400360</t>
  </si>
  <si>
    <t>PITOSPORUM - MIX - rama</t>
  </si>
  <si>
    <t>80127, 149 Pitosporum Nacional Matizado, 80127-1, 47428</t>
  </si>
  <si>
    <t>678fb8d2f96ac293ad04d336</t>
  </si>
  <si>
    <t>8400359</t>
  </si>
  <si>
    <t>ROSA HERMOSA - flor</t>
  </si>
  <si>
    <t>5786 Rosa Hermosa 60 cm, 52400, 144475</t>
  </si>
  <si>
    <t>678fb7f9ac697cf83709802c</t>
  </si>
  <si>
    <t>8400358</t>
  </si>
  <si>
    <t>CEREZO con BOTES - rama</t>
  </si>
  <si>
    <t>6925 Ramaje Cerezo Flor 80/90 cm</t>
  </si>
  <si>
    <t>678fb60275317c511601cf9e</t>
  </si>
  <si>
    <t>8400357</t>
  </si>
  <si>
    <t>678fb052aab23023fe05aea8</t>
  </si>
  <si>
    <t>8400356</t>
  </si>
  <si>
    <t>[deleted] GINESTA BLANCA - rama</t>
  </si>
  <si>
    <t>GING, GINF  GINESTA BLANCA</t>
  </si>
  <si>
    <t>6787b9bc34b47fef4c0e704b</t>
  </si>
  <si>
    <t>8400354</t>
  </si>
  <si>
    <t>MACETA 12 CM</t>
  </si>
  <si>
    <t xml:space="preserve"> MACETA PADEL 12 CM, 61217</t>
  </si>
  <si>
    <t>6787b972c8fb97783d0b1456</t>
  </si>
  <si>
    <t>8400353</t>
  </si>
  <si>
    <t>MACETA PADEL 10 CM</t>
  </si>
  <si>
    <t xml:space="preserve"> MACETA PADEL 10 CM</t>
  </si>
  <si>
    <t>67a4b65ecb0da6278e0dc85d</t>
  </si>
  <si>
    <t>8400352</t>
  </si>
  <si>
    <t>[closed] RANUNCULUS - planta/7</t>
  </si>
  <si>
    <t>24 RANUNCULUS planta</t>
  </si>
  <si>
    <t>678f8b43d1ce1cb0ef0e380b</t>
  </si>
  <si>
    <t>8400351</t>
  </si>
  <si>
    <t>PLECTRANTHUS T22, 30-90cm - planta/32</t>
  </si>
  <si>
    <t>PHEDEMA22 Plectranthus 30-90cm T-22, PLE-1</t>
  </si>
  <si>
    <t>6787a1d8215038318609b2d1</t>
  </si>
  <si>
    <t>8400350</t>
  </si>
  <si>
    <t>PHILODENDRON - Ring of Fire - planta/35</t>
  </si>
  <si>
    <t>HIR, THIR  PHILODENDRON RING OF FIRE VAR</t>
  </si>
  <si>
    <t>6787a13d9360006ed4046058</t>
  </si>
  <si>
    <t>8400349</t>
  </si>
  <si>
    <t>FICUS T22 - Goldy - planta/48</t>
  </si>
  <si>
    <t>GOL FICUS GOLDY T-22</t>
  </si>
  <si>
    <t>67879fccf54494dd6c0cfbb3</t>
  </si>
  <si>
    <t>8400348</t>
  </si>
  <si>
    <t>[deleted] CROTTON PETRA RAMIFICADO T-20</t>
  </si>
  <si>
    <t>CROTTON PETRA RAMIFICADO T-20</t>
  </si>
  <si>
    <t>67879f69dcb9445c8e0a6c78</t>
  </si>
  <si>
    <t>8400347</t>
  </si>
  <si>
    <t>HIEDRA (HEDERA) PIRAMIDAL - planta/28</t>
  </si>
  <si>
    <t>HEDPIR20, HED-M, HEU-1,  HIEDRA PIRAMIDAL  planta</t>
  </si>
  <si>
    <t>678f8952a91fb4f1c10d2fed</t>
  </si>
  <si>
    <t>8400346</t>
  </si>
  <si>
    <t>[closed] KALANCHOE T20 - planta/28</t>
  </si>
  <si>
    <t>PCALA20 Kalanchoe</t>
  </si>
  <si>
    <t>678797f2f6f4e160fe0b33c1</t>
  </si>
  <si>
    <t>8400345</t>
  </si>
  <si>
    <t>[deleted] LEUCODENDRON ROJO -rama</t>
  </si>
  <si>
    <t xml:space="preserve"> LEUCODENDRON ROJO</t>
  </si>
  <si>
    <t>6787973c9cc9292c4d02de35</t>
  </si>
  <si>
    <t>8400344</t>
  </si>
  <si>
    <t>LEUCODENDRON - MIX -rama</t>
  </si>
  <si>
    <t xml:space="preserve"> LEUCODENDRON VERDE, 30403, 133285, 14250</t>
  </si>
  <si>
    <t>678793237bcff8edc70f1967</t>
  </si>
  <si>
    <t>8400343</t>
  </si>
  <si>
    <t>ROSA - SANT VALENTIN 60cm/6</t>
  </si>
  <si>
    <t>4RPIT021 Rosa Pitimini, 60525</t>
  </si>
  <si>
    <t>6787957f9e4aa67ca804fc05</t>
  </si>
  <si>
    <t>8400343-2</t>
  </si>
  <si>
    <t>[deleted] SANSEVIERA T-13</t>
  </si>
  <si>
    <t>SAN13 SANSEVIERA T-13</t>
  </si>
  <si>
    <t>67878ec4d21107fc9607c491</t>
  </si>
  <si>
    <t>8400342</t>
  </si>
  <si>
    <t>[closed] MANZANILLA - flor</t>
  </si>
  <si>
    <t xml:space="preserve"> MANZANILLA</t>
  </si>
  <si>
    <t>678f861b41bb745562073f44</t>
  </si>
  <si>
    <t>8400341</t>
  </si>
  <si>
    <t>[deleted] GREVILLEA NATURAL - rama</t>
  </si>
  <si>
    <t>GREVNA GREVILLEA NATURAL</t>
  </si>
  <si>
    <t>67878a2f5397d7b711097609</t>
  </si>
  <si>
    <t>8400340</t>
  </si>
  <si>
    <t>PHILODENDRON T17 - Xanadu - planta/54</t>
  </si>
  <si>
    <t>SPHIXA17 PHILODENDRO XANADU T-17, 3730</t>
  </si>
  <si>
    <t>678789deb84f79559b0fcf18</t>
  </si>
  <si>
    <t>8400339</t>
  </si>
  <si>
    <t>[deleted] ANTHURIUM TARRINA MICRA</t>
  </si>
  <si>
    <t>FARMIC ANTHURIUM TARRINA MICRA</t>
  </si>
  <si>
    <t>6787892c341228c3e200790c</t>
  </si>
  <si>
    <t>8400338</t>
  </si>
  <si>
    <t>FICUS T26 - planta/78</t>
  </si>
  <si>
    <t>FCYA26 FICUS CYATHISTIPULA T-26, 198856</t>
  </si>
  <si>
    <t>678788ae3d630463bd00368c</t>
  </si>
  <si>
    <t>8400337</t>
  </si>
  <si>
    <t>FICUS T26 - Abidjan - planta/85</t>
  </si>
  <si>
    <t>PAB26 FICUS ABIDJAN T-26, 32930</t>
  </si>
  <si>
    <t>678787c8e06b7dcdc602ad3b</t>
  </si>
  <si>
    <t>8400336</t>
  </si>
  <si>
    <t>VACCINIUM - rama</t>
  </si>
  <si>
    <t>Vaccinium, 6873 HUCK, 35835</t>
  </si>
  <si>
    <t>67850dd63e63cfb9e50746d7</t>
  </si>
  <si>
    <t>8400335</t>
  </si>
  <si>
    <t>[closed] KALANCHOE T25 - Tessa - planta/84</t>
  </si>
  <si>
    <t xml:space="preserve"> KAL-T KALANCHOE TESSA T-25</t>
  </si>
  <si>
    <t>6785068ac9284cdc820eb8d0</t>
  </si>
  <si>
    <t>8400334</t>
  </si>
  <si>
    <t>RANUNCULUS - MIX -flor</t>
  </si>
  <si>
    <t xml:space="preserve">RAN, 00011,127316,  RANUNCLES RANUNCULUS, 97000, 97099, 141471, 37101,  171235, 37120, 137986, 48959, 141471, 897071 </t>
  </si>
  <si>
    <t>6785032ed2dd0ba1040b08c8</t>
  </si>
  <si>
    <t>8400333</t>
  </si>
  <si>
    <t>[deleted] VERONICA POM - flor</t>
  </si>
  <si>
    <t xml:space="preserve">VER-P VERONICA POM, 45750 </t>
  </si>
  <si>
    <t>678501669cdbe5b426041b21</t>
  </si>
  <si>
    <t>8400332</t>
  </si>
  <si>
    <t>JACINT - MIX -flor</t>
  </si>
  <si>
    <t>JACINT, JACIMI  JACINT MIX, 142611, 39409</t>
  </si>
  <si>
    <t>6784fc124c5d19fd9f004196</t>
  </si>
  <si>
    <t>8400331</t>
  </si>
  <si>
    <t>MIMOSA - rama</t>
  </si>
  <si>
    <t xml:space="preserve"> MIMOSA</t>
  </si>
  <si>
    <t>6784fadde02356f29900ac96</t>
  </si>
  <si>
    <t>8400330</t>
  </si>
  <si>
    <t>AZALEA T14 - Voguel - planta/24</t>
  </si>
  <si>
    <t>AZAV14 AZALEA VOGUEL T-14</t>
  </si>
  <si>
    <t>6784fa8cbfb452057602bbe3</t>
  </si>
  <si>
    <t>8400329</t>
  </si>
  <si>
    <t>[closed] AMARILIS T10 - planta/10</t>
  </si>
  <si>
    <t>AMA AMARILIS T-10</t>
  </si>
  <si>
    <t>6784fa33e0fd7ad746066ea4</t>
  </si>
  <si>
    <t>8400328</t>
  </si>
  <si>
    <t>[closed] AMARILIS T7 - planta/7</t>
  </si>
  <si>
    <t>AMA AMARILIS T-7</t>
  </si>
  <si>
    <t>6784f9a17e01ddf62c0737b5</t>
  </si>
  <si>
    <t>8400327</t>
  </si>
  <si>
    <t>EUCALYPTO T5L - planta/38</t>
  </si>
  <si>
    <t>EUCE EUCALIPTUS 5L</t>
  </si>
  <si>
    <t>6784f0cce0f126728f03e1b4</t>
  </si>
  <si>
    <t>8400326</t>
  </si>
  <si>
    <t>CAMELIA 40cm - planta</t>
  </si>
  <si>
    <t>CAME.013  Camelia 70-80cm M-22</t>
  </si>
  <si>
    <t>6784f04c0f24102c8a061a31</t>
  </si>
  <si>
    <t>8400325</t>
  </si>
  <si>
    <t>CAMELIA T25, 90-110cm - planta/112</t>
  </si>
  <si>
    <t>CAME.014  Camelia 90-110cm M-25</t>
  </si>
  <si>
    <t>6784ef4e2c54982c060454d4</t>
  </si>
  <si>
    <t>8400324</t>
  </si>
  <si>
    <t>DRACAENA FRAG MASSANGEANA - planta/73</t>
  </si>
  <si>
    <t>DRACOM17, 7161,  DRACAENA DRACENA COMPACTA M-17</t>
  </si>
  <si>
    <t>6784eef62c79aee01d0272bc</t>
  </si>
  <si>
    <t>8400323</t>
  </si>
  <si>
    <t>[closed] CROTON T20 - Nervia - planta/34</t>
  </si>
  <si>
    <t>CRONER20 CROTTON NERVIA M-20</t>
  </si>
  <si>
    <t>6784ee9baeabd62d330bdc95</t>
  </si>
  <si>
    <t>8400322</t>
  </si>
  <si>
    <t>[closed] ADENIUM - planta/45</t>
  </si>
  <si>
    <t>ADETARR ADENIUM TARRINA</t>
  </si>
  <si>
    <t>6784ee477dc62e0b5b059968</t>
  </si>
  <si>
    <t>8400321</t>
  </si>
  <si>
    <t>SCHEFFLERA T22 - planta/54</t>
  </si>
  <si>
    <t>SCH22 SCHEFFLERA M-22, 6685, SCHECO17H</t>
  </si>
  <si>
    <t>6784ecf9d3a35bf11e00d22e</t>
  </si>
  <si>
    <t>8400320</t>
  </si>
  <si>
    <t>ARECA T27 - planta/70</t>
  </si>
  <si>
    <t xml:space="preserve"> ARECA T-27</t>
  </si>
  <si>
    <t>6784ea32dbb52f3e0a0030f4</t>
  </si>
  <si>
    <t>8400319</t>
  </si>
  <si>
    <t>PHILODENDRON -Choco Red - planta/36</t>
  </si>
  <si>
    <t>PHIC PHILODENDRO CHOCO RED</t>
  </si>
  <si>
    <t>6784e8addea43501e303f0a2</t>
  </si>
  <si>
    <t>8400318</t>
  </si>
  <si>
    <t>FICUS T26 - Robusta - planta/145</t>
  </si>
  <si>
    <t>FRO26 FICUS ELASTICA ROBUSTA T-26 , 191785</t>
  </si>
  <si>
    <t>6784e838ec551edb0c0d9fce</t>
  </si>
  <si>
    <t>8400317</t>
  </si>
  <si>
    <t>DIEFFENBACHIA T22 - planta/63</t>
  </si>
  <si>
    <t>DIE22 DIEFFENBACHIA REVA (tropic) T-22</t>
  </si>
  <si>
    <t>6784e71da21bb4d237002d30</t>
  </si>
  <si>
    <t>8400316</t>
  </si>
  <si>
    <t>ANTHURIUM T14 - planta/32</t>
  </si>
  <si>
    <t>106535, PL14, 136249,  116712, PL. ANTG ANTHURIUM MIX COLORS T-14, EAS14 , 142882</t>
  </si>
  <si>
    <t>6784e4e792c9c9dab108b31b</t>
  </si>
  <si>
    <t>8400315</t>
  </si>
  <si>
    <t>SPATHIPHYLLUM T23, T27 - MIX - planta/56</t>
  </si>
  <si>
    <t>A2SPAT23, 173539</t>
  </si>
  <si>
    <t>6784e438a1925426630333b7</t>
  </si>
  <si>
    <t>8400314</t>
  </si>
  <si>
    <t>BEGONIA T14 - Maculata - planta/15</t>
  </si>
  <si>
    <t xml:space="preserve">BMAC BEGONIA MACULATA WIGHTHI T-14 </t>
  </si>
  <si>
    <t>6784e3d776344649860e9ec9</t>
  </si>
  <si>
    <t>8400313</t>
  </si>
  <si>
    <t>PHILODENDRON T12 - Birkin -planta/12</t>
  </si>
  <si>
    <t>PHILB12, 58, BIRKIN, WHITE PHILODENDRON BIRKIN T-12 planta</t>
  </si>
  <si>
    <t>6784e2205201b1772a0de86c</t>
  </si>
  <si>
    <t>8400312</t>
  </si>
  <si>
    <t>SPATHIPHYLLUM T21 - planta/44</t>
  </si>
  <si>
    <t>SPA21 SPATHIPHYLLUM T-21, 179293, 9</t>
  </si>
  <si>
    <t>6784e0d7582c38d770088a77</t>
  </si>
  <si>
    <t>8400311</t>
  </si>
  <si>
    <t>SANSEVIERIA - Hanii - planta/32</t>
  </si>
  <si>
    <t>SANF12 SANSEIVIERA ZEYLANICA , SANH9, SANH9, SAHNA9</t>
  </si>
  <si>
    <t>6784dfbb4082e51f6a0f6c12</t>
  </si>
  <si>
    <t>8400310</t>
  </si>
  <si>
    <t>JASMINUM T12 - Polyanthum - planta/10</t>
  </si>
  <si>
    <t xml:space="preserve">JASPO12H JASMINUM POLYANTHUM T-12 </t>
  </si>
  <si>
    <t>6784df4cfbcef325cf0492cb</t>
  </si>
  <si>
    <t>8400309</t>
  </si>
  <si>
    <t>CROTON T13 - Petra - planta/12</t>
  </si>
  <si>
    <t>CROTP13H CROTON PETRA T-13</t>
  </si>
  <si>
    <t>6784deac3940f6f0930b4b53</t>
  </si>
  <si>
    <t>8400308</t>
  </si>
  <si>
    <t>FICUS T17 - Lyrata - planta/28</t>
  </si>
  <si>
    <t xml:space="preserve">FLY17H FICUS LYRATA T-17 </t>
  </si>
  <si>
    <t>6784de1e153bd0974b0c5a48</t>
  </si>
  <si>
    <t>8400307</t>
  </si>
  <si>
    <t>ZAMIOCULCA T17 - Zamiifolia - planta/35</t>
  </si>
  <si>
    <t xml:space="preserve">ZAM17 ZAMIOCULCA ZAMIIFOLIA T-17 </t>
  </si>
  <si>
    <t>6781602daa4f5f479f0b7bfc</t>
  </si>
  <si>
    <t>8400306</t>
  </si>
  <si>
    <t>[closed] TULIPAN - Gesneriana - planta/7</t>
  </si>
  <si>
    <t>25 TULIPA GESNERIANA</t>
  </si>
  <si>
    <t>67815f4f828f0bc0ba06e636</t>
  </si>
  <si>
    <t>8400305</t>
  </si>
  <si>
    <t>OSTEOSPERMUM - MINI - planta/5</t>
  </si>
  <si>
    <t>21 OSTEOSPERMUM</t>
  </si>
  <si>
    <t>67815ebdf2c0d5f2a4071143</t>
  </si>
  <si>
    <t>8400304</t>
  </si>
  <si>
    <t>PELARGONIUM MINI - Zonale -planta/5</t>
  </si>
  <si>
    <t>5 PELARGONIUM ZONALE</t>
  </si>
  <si>
    <t>67815b16c7b7a6ad6c019232</t>
  </si>
  <si>
    <t>8400302</t>
  </si>
  <si>
    <t>[deleted] PHALAENOPSIS BOHO - planta/35</t>
  </si>
  <si>
    <t>PHALB PHALAENOPSIS BOHO</t>
  </si>
  <si>
    <t>67815a8dbdf7905d6d0b1f8d</t>
  </si>
  <si>
    <t>8400301</t>
  </si>
  <si>
    <t>FICUS  - planta/14</t>
  </si>
  <si>
    <t>PLM12, FICUS PLANTA MIX T-12</t>
  </si>
  <si>
    <t>67815a2b53f1c7f60e046c36</t>
  </si>
  <si>
    <t>8400300</t>
  </si>
  <si>
    <t>ZAMIOCULCA - Zamiifolia - planta/18</t>
  </si>
  <si>
    <t>ZAM14 ZAMIOCULCA ZAMIIFOLIA T-14, 188437</t>
  </si>
  <si>
    <t>6781597d68df49ddca04d273</t>
  </si>
  <si>
    <t>8400299</t>
  </si>
  <si>
    <t>DIEFFENBACHIA T17 - planta/34</t>
  </si>
  <si>
    <t>TROP17H DIEFFEMBACCHIA REEVA TROPIC T-17</t>
  </si>
  <si>
    <t>6781553ddfd8ac574a0e88c7</t>
  </si>
  <si>
    <t>8400298</t>
  </si>
  <si>
    <t>[closed] HEBE T3L - Andersonii - planta/23</t>
  </si>
  <si>
    <t>A40, A51 HEBE ANDERSONII MIX T-3L</t>
  </si>
  <si>
    <t>6781545023ae995a2c06f15c</t>
  </si>
  <si>
    <t>8400297</t>
  </si>
  <si>
    <t>[closed] HEBE T6L - Andersonii - planta/32</t>
  </si>
  <si>
    <t>A34 HEBE ANDERSONII VARIEGATA  T-6L</t>
  </si>
  <si>
    <t>678152d24cd283435b009363</t>
  </si>
  <si>
    <t>8400296</t>
  </si>
  <si>
    <t>ANTIRRHINUM  -flor</t>
  </si>
  <si>
    <t xml:space="preserve"> Antirrhinum, 36202, 9752, 27228, 19930</t>
  </si>
  <si>
    <t>6781528067bd4dd2c5077df7</t>
  </si>
  <si>
    <t>8400295</t>
  </si>
  <si>
    <t>[closed] CALENDULA - flor</t>
  </si>
  <si>
    <t>CALEAM  Calendula</t>
  </si>
  <si>
    <t>67814e9918987244a000693e</t>
  </si>
  <si>
    <t>8400294</t>
  </si>
  <si>
    <t>ROSA - Coral Reef</t>
  </si>
  <si>
    <t xml:space="preserve"> Rosa Coral Reef, 177312</t>
  </si>
  <si>
    <t>67814e5c105873ae770b40c9</t>
  </si>
  <si>
    <t>8400293</t>
  </si>
  <si>
    <t>ROSA - Brighton</t>
  </si>
  <si>
    <t xml:space="preserve"> Rosa Brighton, 193896</t>
  </si>
  <si>
    <t>67814dd280563552c004b863</t>
  </si>
  <si>
    <t>8400292</t>
  </si>
  <si>
    <t>RS ROSA - Frutetto</t>
  </si>
  <si>
    <t>3321-50 Rosa Frutteto</t>
  </si>
  <si>
    <t>67814b4747338a60ca00f27a</t>
  </si>
  <si>
    <t>8400291</t>
  </si>
  <si>
    <t>RENUNCOL archivo</t>
  </si>
  <si>
    <t xml:space="preserve"> RENUNCOL</t>
  </si>
  <si>
    <t>67814a31f4bb4560e40cc4c5</t>
  </si>
  <si>
    <t>8400290</t>
  </si>
  <si>
    <t>ESCABIOSA - flor</t>
  </si>
  <si>
    <t xml:space="preserve"> ESCABIOSA</t>
  </si>
  <si>
    <t>6781494eb33db273c40ca290</t>
  </si>
  <si>
    <t>8400289</t>
  </si>
  <si>
    <t>DIANTHUS - flor</t>
  </si>
  <si>
    <t xml:space="preserve"> DIANTHUS, 124962, 160552, 165801, 170514, CL Barb Glicine Del Golfo, Clavel de Jardin, 168001, POE POETA, 160395 </t>
  </si>
  <si>
    <t>6781455159fd2eb6780c5fca</t>
  </si>
  <si>
    <t>8400288</t>
  </si>
  <si>
    <t>HEDERA (HIEDRA) - rama</t>
  </si>
  <si>
    <t xml:space="preserve"> HIEDRA GRANDE, 80014</t>
  </si>
  <si>
    <t>6781443a7e89074c8f0510b4</t>
  </si>
  <si>
    <t>8400287</t>
  </si>
  <si>
    <t xml:space="preserve">SALIX (GATELL) - MINI - rama </t>
  </si>
  <si>
    <t xml:space="preserve"> GATELL MINI, 126934, 49149, 67870, 175029</t>
  </si>
  <si>
    <t>67813b3df1dd6398a206bcaf</t>
  </si>
  <si>
    <t>8400286</t>
  </si>
  <si>
    <t>[closed] LIMONIUM  - MINI - flor</t>
  </si>
  <si>
    <t>LIM LIMONIUM MINI</t>
  </si>
  <si>
    <t>678133ac3150390956090516</t>
  </si>
  <si>
    <t>8400285</t>
  </si>
  <si>
    <t xml:space="preserve">CORNUS 1m - palo  </t>
  </si>
  <si>
    <t>CORN CORNUS  1M</t>
  </si>
  <si>
    <t>677eb71a34c8adc6b004d4f0</t>
  </si>
  <si>
    <t>8400284</t>
  </si>
  <si>
    <t>[closed] LIGUSTRO - rama</t>
  </si>
  <si>
    <t xml:space="preserve"> LIGUSTRO</t>
  </si>
  <si>
    <t>677eb38d037ba788540b5a99</t>
  </si>
  <si>
    <t>8400281</t>
  </si>
  <si>
    <t>CILINDRE 40X15 CL 4015</t>
  </si>
  <si>
    <t>CL 4015  CILINDRE 40X15 CL 4015</t>
  </si>
  <si>
    <t>677eb350417f65e7b90042b4</t>
  </si>
  <si>
    <t>8400280</t>
  </si>
  <si>
    <t>VASO CONICO VA 2620</t>
  </si>
  <si>
    <t>VA 2620 VASO CONICO VA 2620</t>
  </si>
  <si>
    <t>677ea8c8b06f8230ec031e38</t>
  </si>
  <si>
    <t>8400279</t>
  </si>
  <si>
    <t>GLASS CILINDRO 25X15</t>
  </si>
  <si>
    <t>2515 GLASS CILINDRO 25X15</t>
  </si>
  <si>
    <t>677d33b0da852c2f6c0c9014</t>
  </si>
  <si>
    <t>8400278</t>
  </si>
  <si>
    <t>CICLAMEN GRANDE - planta/15</t>
  </si>
  <si>
    <t>cyclamen CICLAMEN planta</t>
  </si>
  <si>
    <t>677d31e3b5078fe83c058e40</t>
  </si>
  <si>
    <t>8400277</t>
  </si>
  <si>
    <t>CORNUS - palo</t>
  </si>
  <si>
    <t>CORN CORNUS GRANDE</t>
  </si>
  <si>
    <t>677d30aeb07940741205604b</t>
  </si>
  <si>
    <t>8400276</t>
  </si>
  <si>
    <t>[closed] Clavel -BRUT -flor</t>
  </si>
  <si>
    <t xml:space="preserve"> Clavel BRUT</t>
  </si>
  <si>
    <t>6777d99f91b39cf5540c24d2</t>
  </si>
  <si>
    <t>8400271</t>
  </si>
  <si>
    <t>[closed] KENTIA - planta/98</t>
  </si>
  <si>
    <t>PKEN  PALMA KENTIA</t>
  </si>
  <si>
    <t>6777d92ac4c462f5000d1a54</t>
  </si>
  <si>
    <t>8400270</t>
  </si>
  <si>
    <t>[closed] CHAMAEDOREA - planta/24</t>
  </si>
  <si>
    <t>PXAM CHAMAEDOREA</t>
  </si>
  <si>
    <t>6777d8ca1252695b6f0acf7f</t>
  </si>
  <si>
    <t>8400269</t>
  </si>
  <si>
    <t>[closed] SPATHIPHYLLUM T17 - planta/24</t>
  </si>
  <si>
    <t>PSPAM SPATIFILIUM M-17</t>
  </si>
  <si>
    <t>6777d48cee796a5edf0d1a47</t>
  </si>
  <si>
    <t>8400268</t>
  </si>
  <si>
    <t>ALCACHOFA - unidad</t>
  </si>
  <si>
    <t>CARXFL, VCARX  Alcachofa</t>
  </si>
  <si>
    <t>6777d2d9da849c681d0e5702</t>
  </si>
  <si>
    <t>8400267</t>
  </si>
  <si>
    <t>CHLOROPHYTUM - planta/26</t>
  </si>
  <si>
    <t>PICE13  Chlorophitum (PICEA), 67364</t>
  </si>
  <si>
    <t>6777caacda650ee47101ac27</t>
  </si>
  <si>
    <t>8400266</t>
  </si>
  <si>
    <t>STATICE - flor</t>
  </si>
  <si>
    <t>STA STATICE, 27900, 145468, 98992, 91150, 27902, 51327, 51327, 181750, 159547 27908</t>
  </si>
  <si>
    <t>6776c00c5f6951c8150d3523</t>
  </si>
  <si>
    <t>8400265</t>
  </si>
  <si>
    <t>MONSTERA T17 - Deliciosa - planta/28</t>
  </si>
  <si>
    <t>MON17, MONS17H MONSTERA DELICIOSA</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</si>
  <si>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</si>
  <si>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</si>
  <si>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</si>
  <si>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</si>
  <si>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</si>
  <si>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</si>
  <si>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</si>
  <si>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</si>
  <si>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</si>
  <si>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</si>
  <si>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</si>
  <si>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</si>
  <si>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6776bc5ee23f7f672606379e</t>
  </si>
  <si>
    <t>8400261</t>
  </si>
  <si>
    <t>ANTHURIUM T12 - planta/18 (con ceramica)</t>
  </si>
  <si>
    <t>ANTHU12 ANTHURIUM ANDRAEANUM, MIC12, 90300</t>
  </si>
  <si>
    <t>6776bbe672e37000040b3b02</t>
  </si>
  <si>
    <t>8400260</t>
  </si>
  <si>
    <t>DIANTHUS - planta/6</t>
  </si>
  <si>
    <t>PLDIANSUNFL DIANTHUS</t>
  </si>
  <si>
    <t>6776b934669924cf87047df5</t>
  </si>
  <si>
    <t>8400259</t>
  </si>
  <si>
    <t>[closed] ALAMO - MINI - palo</t>
  </si>
  <si>
    <t>BETP ALAMOpeq</t>
  </si>
  <si>
    <t>6776b49e78e00444d5018f17</t>
  </si>
  <si>
    <t>8400258</t>
  </si>
  <si>
    <t>[closed] RS ROSA 50cm</t>
  </si>
  <si>
    <t>RSUDA50SA ROSA50cm</t>
  </si>
  <si>
    <t>6776b16937a7ca9eb700c3b7</t>
  </si>
  <si>
    <t>8400257</t>
  </si>
  <si>
    <t>[closed] CRISANTEMA UNIFLOR PLAYTIME - flor</t>
  </si>
  <si>
    <t>CRISUNHOPL CRISANTEMA UNIFLOR PLAYTIME</t>
  </si>
  <si>
    <t>676ec1df79dbb8f9d705d8a4</t>
  </si>
  <si>
    <t>8400256</t>
  </si>
  <si>
    <t>CILINDRO 18X18 CORTE</t>
  </si>
  <si>
    <t>676ec187755190633c066609</t>
  </si>
  <si>
    <t>8400255</t>
  </si>
  <si>
    <t>[closed] CILINDRO 40X15</t>
  </si>
  <si>
    <t>6776adeffabeeca13209d291</t>
  </si>
  <si>
    <t>8400254</t>
  </si>
  <si>
    <t>LIMONIUM - Konfeti Bola - flor</t>
  </si>
  <si>
    <t>LIMOKOFU, LIMOKOPOAM, 84451, CON, 76347, 27701, LIMONIUM, 62839</t>
  </si>
  <si>
    <t>6776ad35663c38a4180ad04a</t>
  </si>
  <si>
    <t>8400253</t>
  </si>
  <si>
    <t>MARFULL - rama</t>
  </si>
  <si>
    <t>MARF, MAR, MADR 8400253, 110294, Photinia en Flor Paq, 175600, MADROÑO, ARBUTUS, MAD, MADROÑO</t>
  </si>
  <si>
    <t>6776a518801ca5f9a1039313</t>
  </si>
  <si>
    <t>8400252</t>
  </si>
  <si>
    <t xml:space="preserve">ALAMO - palo </t>
  </si>
  <si>
    <t>BETG ALAMOGR</t>
  </si>
  <si>
    <t>676ee78b2c7cfbb80c0f64a6</t>
  </si>
  <si>
    <t>8400251</t>
  </si>
  <si>
    <t>[deleted] Eucalipto Color</t>
  </si>
  <si>
    <t>676eba469cd930208107d066</t>
  </si>
  <si>
    <t>8400250</t>
  </si>
  <si>
    <t>[deleted] Magnolia hojas grandes</t>
  </si>
  <si>
    <t>MAGP MagnoliaG</t>
  </si>
  <si>
    <t>676eb9f42d3e6c751606c082</t>
  </si>
  <si>
    <t>8400249</t>
  </si>
  <si>
    <t>MAGNOLIA - MINI - rama</t>
  </si>
  <si>
    <t>MAGP Magnolia, 69031</t>
  </si>
  <si>
    <t>676eb6aada8499a2c004dcba</t>
  </si>
  <si>
    <t>8400248</t>
  </si>
  <si>
    <t>[deleted] HORTENSIA  (TALLO)</t>
  </si>
  <si>
    <t>HORT hortensia</t>
  </si>
  <si>
    <t>676ea56d19e26084b8029f42</t>
  </si>
  <si>
    <t>8400247</t>
  </si>
  <si>
    <t>[deleted] Leucodendron SAFARI SUNSET 50cm</t>
  </si>
  <si>
    <t xml:space="preserve">SAFASU50GR </t>
  </si>
  <si>
    <t>676e9383a49fd556340de22e</t>
  </si>
  <si>
    <t>8400246</t>
  </si>
  <si>
    <t>GENISTA - MIX - rama</t>
  </si>
  <si>
    <t xml:space="preserve">GIN GINESTA, 143653, 144060, 77016, </t>
  </si>
  <si>
    <t>676e9152ff73fbd3df099c46</t>
  </si>
  <si>
    <t>8400245</t>
  </si>
  <si>
    <t>[closed] POETA - MIX -flor</t>
  </si>
  <si>
    <t>POE POETA</t>
  </si>
  <si>
    <t>676ee2a4fed2160fe10601cc</t>
  </si>
  <si>
    <t>8400244</t>
  </si>
  <si>
    <t>[closed] CLAVEL - Colombiano - flor</t>
  </si>
  <si>
    <t xml:space="preserve"> Clavel Colombiano</t>
  </si>
  <si>
    <t>676585164cc33511c4073ae3</t>
  </si>
  <si>
    <t>8400243</t>
  </si>
  <si>
    <t>BOJ - MIX - rama</t>
  </si>
  <si>
    <t>676413e3b5dc26a174074c04</t>
  </si>
  <si>
    <t>8400241</t>
  </si>
  <si>
    <t>CENTRO BAJO PEQUEÑO 14</t>
  </si>
  <si>
    <t>4810 Centro bajo</t>
  </si>
  <si>
    <t>6764137a3857602e0502676e</t>
  </si>
  <si>
    <t>8400240</t>
  </si>
  <si>
    <t>PORTAVELA REDONDO 60MM</t>
  </si>
  <si>
    <t>8718304332353 Soporte de vela negra</t>
  </si>
  <si>
    <t>6764130b2d3f944f660114b1</t>
  </si>
  <si>
    <t>8400239</t>
  </si>
  <si>
    <t>SOPORTE PLASTICO PARA VELAS VERDE</t>
  </si>
  <si>
    <t>4026713057236 Soporte de vela</t>
  </si>
  <si>
    <t>6764125f55ace3802b08f851</t>
  </si>
  <si>
    <t>8400238</t>
  </si>
  <si>
    <t>MACETA CERAMICA - Roja</t>
  </si>
  <si>
    <t xml:space="preserve"> Maceta roja</t>
  </si>
  <si>
    <t>676411e07eaedb1bc00e3ceb</t>
  </si>
  <si>
    <t>8400237</t>
  </si>
  <si>
    <t>MACETA CERAMICA - pequeña</t>
  </si>
  <si>
    <t xml:space="preserve"> Maceta marron</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</si>
  <si>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</si>
  <si>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</si>
  <si>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</si>
  <si>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</si>
  <si>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676409893d72b9c4d9080a1d</t>
  </si>
  <si>
    <t>8400235</t>
  </si>
  <si>
    <t>NANDINA - rama</t>
  </si>
  <si>
    <t>NANDCAPE NANDINA CAIXA PETITA</t>
  </si>
  <si>
    <t>676405f2d8b031651e0a3cf8</t>
  </si>
  <si>
    <t>8400234</t>
  </si>
  <si>
    <t>MUERDAGO - rama</t>
  </si>
  <si>
    <t>RGUI RAMITOS MUERDAGO</t>
  </si>
  <si>
    <t>6764055d17324b34a8012ad5</t>
  </si>
  <si>
    <t>8400233</t>
  </si>
  <si>
    <t>ILEX - MINI- rama</t>
  </si>
  <si>
    <t>ILE40 ILEX 40 TALLO</t>
  </si>
  <si>
    <t>676404de38e02edaf90ef69e</t>
  </si>
  <si>
    <t>8400232</t>
  </si>
  <si>
    <t>EUCALIPTO - Parvifolia - rama</t>
  </si>
  <si>
    <t>EUCE EUCALIPTO PARVIFOLIA</t>
  </si>
  <si>
    <t>67602210022373b0190d1dba</t>
  </si>
  <si>
    <t>8400231</t>
  </si>
  <si>
    <t>[closed] GUI POMO - Nobilis - rama</t>
  </si>
  <si>
    <t xml:space="preserve"> GUIPONOB</t>
  </si>
  <si>
    <t>676021bb4d946ef81a00a92d</t>
  </si>
  <si>
    <t>8400230</t>
  </si>
  <si>
    <t>[closed] GUI POMO - Nordmanniana - rama</t>
  </si>
  <si>
    <t xml:space="preserve"> GUIPONOR</t>
  </si>
  <si>
    <t>67602119bb3e6918810dba4f</t>
  </si>
  <si>
    <t>8400229</t>
  </si>
  <si>
    <t>[closed] POINSETTIA T-7.5 - planta/5</t>
  </si>
  <si>
    <t xml:space="preserve"> PPONS7.5</t>
  </si>
  <si>
    <t>6760203df1c982f0860b56a4</t>
  </si>
  <si>
    <t>8400228</t>
  </si>
  <si>
    <t>[closed] POINSETTIA T14 - planta/15</t>
  </si>
  <si>
    <t xml:space="preserve"> PPONS14</t>
  </si>
  <si>
    <t>67601e644da3f3eb370bf5ea</t>
  </si>
  <si>
    <t>8400227</t>
  </si>
  <si>
    <t>[closed] POINSETTIA T-10.5 - planta/10</t>
  </si>
  <si>
    <t xml:space="preserve"> PPONS10.5</t>
  </si>
  <si>
    <t>67601d8af0d3147e14045e11</t>
  </si>
  <si>
    <t>8400226</t>
  </si>
  <si>
    <t>POINSETTIA COLOR MIX T-15 - planta/32</t>
  </si>
  <si>
    <t xml:space="preserve"> PPONSCO142, 14345</t>
  </si>
  <si>
    <t>67601b40570b9da77b046631</t>
  </si>
  <si>
    <t>8400225</t>
  </si>
  <si>
    <t>[closed] CORONA FRUITA 30cm</t>
  </si>
  <si>
    <t>COROFR30</t>
  </si>
  <si>
    <t>67601a8c564c896aa10ef5d8</t>
  </si>
  <si>
    <t>8400221</t>
  </si>
  <si>
    <t>[closed] POINSETTIA TERRINA - planta/50</t>
  </si>
  <si>
    <t xml:space="preserve"> PPONSTE</t>
  </si>
  <si>
    <t>675c523796b02698c901698c</t>
  </si>
  <si>
    <t>8400219</t>
  </si>
  <si>
    <t>Carpeta</t>
  </si>
  <si>
    <t>67595ee770df18ee9f0ba46c</t>
  </si>
  <si>
    <t>8400216</t>
  </si>
  <si>
    <t>[deleted]COL FUCSIA - flor</t>
  </si>
  <si>
    <t xml:space="preserve"> COLFU</t>
  </si>
  <si>
    <t>67595e67c4d7cb40080609f5</t>
  </si>
  <si>
    <t>8400215</t>
  </si>
  <si>
    <t>DELPHINIUM - MIX - flor</t>
  </si>
  <si>
    <t>delfinium DELPDO60LIFO, 73238, 100959, 100959, 171402, 117066, 179976, 30737, 59184, 131268, 2316</t>
  </si>
  <si>
    <t>67595df6e345f4d8d80dccf7</t>
  </si>
  <si>
    <t>8400214</t>
  </si>
  <si>
    <t>[deleted] ASTER BOLA 70 cm -flor</t>
  </si>
  <si>
    <t xml:space="preserve"> ASTE70LICL, 115869, 30491, 34395</t>
  </si>
  <si>
    <t>67595d069d47cd97eb04fd84</t>
  </si>
  <si>
    <t>8400213</t>
  </si>
  <si>
    <t>ROSA PINK MONDIAL - flor</t>
  </si>
  <si>
    <t xml:space="preserve"> RPINKMO70, 63992, 153964, 180737, 177338, 177340, 73807, 177164, 56708</t>
  </si>
  <si>
    <t>67595c1136e09460d80826cb</t>
  </si>
  <si>
    <t>8400212</t>
  </si>
  <si>
    <t>ILEX 60-80cm - rama</t>
  </si>
  <si>
    <t xml:space="preserve"> ILEX80</t>
  </si>
  <si>
    <t>675952a8b2acbcfaa1051766</t>
  </si>
  <si>
    <t>8400211</t>
  </si>
  <si>
    <t>MUSGO - caja</t>
  </si>
  <si>
    <t>MOLSVD MOLSA, MUSGO EN CAJA, 52421</t>
  </si>
  <si>
    <t>6759523d7ed8c91b45081883</t>
  </si>
  <si>
    <t>8400210</t>
  </si>
  <si>
    <t>[closed] GUI POMO NOBILIS -rama</t>
  </si>
  <si>
    <t xml:space="preserve"> GUIPONOBSB</t>
  </si>
  <si>
    <t>67595182617014a22d044a2e</t>
  </si>
  <si>
    <t>8400209</t>
  </si>
  <si>
    <t>CORNUS - MINI - palo</t>
  </si>
  <si>
    <t>CORNVE, CORNPRVE CORNUS</t>
  </si>
  <si>
    <t>67585b53a64738dbe3022c32</t>
  </si>
  <si>
    <t>8400208</t>
  </si>
  <si>
    <t>CORONA 25cm</t>
  </si>
  <si>
    <t xml:space="preserve"> COROSE25</t>
  </si>
  <si>
    <t>67585ad97a84546f760f1876</t>
  </si>
  <si>
    <t>8400207</t>
  </si>
  <si>
    <t>CORONA 30cm</t>
  </si>
  <si>
    <t xml:space="preserve"> COROSE30</t>
  </si>
  <si>
    <t>67585a65cf25e441f9027e32</t>
  </si>
  <si>
    <t>8400206</t>
  </si>
  <si>
    <t>[closed] CORONA 50cm</t>
  </si>
  <si>
    <t xml:space="preserve"> COROSE50</t>
  </si>
  <si>
    <t>675859b81dd59f825d01468d</t>
  </si>
  <si>
    <t>8400205</t>
  </si>
  <si>
    <t>PINYA -unidad</t>
  </si>
  <si>
    <t xml:space="preserve"> PINYCAGR</t>
  </si>
  <si>
    <t>67583d75ae0a94a8210b150c</t>
  </si>
  <si>
    <t>8400204</t>
  </si>
  <si>
    <t xml:space="preserve">[deleted] RSR ROSA - MIX 50cm </t>
  </si>
  <si>
    <t xml:space="preserve"> RRAMIAF50RO, RRAMIAF50TA</t>
  </si>
  <si>
    <t>67583b80436c96422c0982af</t>
  </si>
  <si>
    <t>8400203</t>
  </si>
  <si>
    <t>[closed] CORONA DOBLE  80cm</t>
  </si>
  <si>
    <t xml:space="preserve"> CORODO80</t>
  </si>
  <si>
    <t>6758293b21a5b15e19099181</t>
  </si>
  <si>
    <t>8400202</t>
  </si>
  <si>
    <t>GREVILLEA - MIX - rama</t>
  </si>
  <si>
    <t xml:space="preserve"> GREVC</t>
  </si>
  <si>
    <t>6758288e6c7ce5debf0624ee</t>
  </si>
  <si>
    <t>8400201</t>
  </si>
  <si>
    <t>[deleted] CODEUM - rama</t>
  </si>
  <si>
    <t xml:space="preserve"> COD</t>
  </si>
  <si>
    <t>675827347055b01d2f0629ae</t>
  </si>
  <si>
    <t>8400200</t>
  </si>
  <si>
    <t>[deleted] ILEX 50cm</t>
  </si>
  <si>
    <t xml:space="preserve"> JLE50</t>
  </si>
  <si>
    <t>67582043a694bf34000531ca</t>
  </si>
  <si>
    <t>8400199</t>
  </si>
  <si>
    <t>PISTACHO - rama</t>
  </si>
  <si>
    <t>LEN, POM, LT, PISTACEA PISTACHO RAMA, 2388</t>
  </si>
  <si>
    <t>67581d503ba97abfaa00862f</t>
  </si>
  <si>
    <t>8400198</t>
  </si>
  <si>
    <t>PINO - rama</t>
  </si>
  <si>
    <t xml:space="preserve"> PIN, 46695, 42781, 134457</t>
  </si>
  <si>
    <t>67581a715a57316e0f0065ee</t>
  </si>
  <si>
    <t>8400197</t>
  </si>
  <si>
    <t>[deleted] BOJ ROJO - rama</t>
  </si>
  <si>
    <t xml:space="preserve"> GREP</t>
  </si>
  <si>
    <t>675813946179b904940be940</t>
  </si>
  <si>
    <t>8400196</t>
  </si>
  <si>
    <t xml:space="preserve">CIPRES - rama </t>
  </si>
  <si>
    <t xml:space="preserve"> CIP </t>
  </si>
  <si>
    <t>675811a3b10a107d130b45cd</t>
  </si>
  <si>
    <t>8400195</t>
  </si>
  <si>
    <t>ABETO - Nobilis - rama</t>
  </si>
  <si>
    <t xml:space="preserve"> NOB</t>
  </si>
  <si>
    <t>67507df804cd3b66270a8906</t>
  </si>
  <si>
    <t>8400194</t>
  </si>
  <si>
    <t>[deleted] HELECHO - hoja</t>
  </si>
  <si>
    <t>67507bf360365f13f101c5b1</t>
  </si>
  <si>
    <t>8400193</t>
  </si>
  <si>
    <t>POINSETTIA COLOR MIX - planta/22 T-14</t>
  </si>
  <si>
    <t xml:space="preserve"> PPONSCO14, 48739 165963 104777, </t>
  </si>
  <si>
    <t>67507b3c603cd1ca9f0e82b8</t>
  </si>
  <si>
    <t>8400192</t>
  </si>
  <si>
    <t>[closed] POINSETTIA T-17 - planta/25</t>
  </si>
  <si>
    <t xml:space="preserve"> PPONS17</t>
  </si>
  <si>
    <t>6750645dd8ea4c9e950e014b</t>
  </si>
  <si>
    <t>8400191</t>
  </si>
  <si>
    <t>MAGNOLIA - rama</t>
  </si>
  <si>
    <t xml:space="preserve"> MAGN, 69031</t>
  </si>
  <si>
    <t>6750631899aa9599f80e03ea</t>
  </si>
  <si>
    <t>8400190</t>
  </si>
  <si>
    <t>PHLEBODIUM - hoja</t>
  </si>
  <si>
    <t xml:space="preserve"> FALGGR</t>
  </si>
  <si>
    <t>67505c7355ea5ab13d096aa3</t>
  </si>
  <si>
    <t>8400189</t>
  </si>
  <si>
    <t>[closed] POINSETTIA DE ARBOL - planta/75</t>
  </si>
  <si>
    <t xml:space="preserve"> PONAR</t>
  </si>
  <si>
    <t>67505c28825fcb5f4c0c30e6</t>
  </si>
  <si>
    <t>8400188</t>
  </si>
  <si>
    <t>[closed] CICLAMEN MINI - planta/7</t>
  </si>
  <si>
    <t>CYCL11H, PCICM, cyclamen CICLAMEN MINI</t>
  </si>
  <si>
    <t>67505a1e99e763726e062ab4</t>
  </si>
  <si>
    <t>8400187</t>
  </si>
  <si>
    <t>POINSETTIA COLOR - MIX - planta/12</t>
  </si>
  <si>
    <t xml:space="preserve"> PPONC, PON, PPONP, 104183</t>
  </si>
  <si>
    <t>675055a5d7a1bf76d409ba99</t>
  </si>
  <si>
    <t>8400186</t>
  </si>
  <si>
    <t>[closed] POINSETTIA MADRE - planta/75</t>
  </si>
  <si>
    <t xml:space="preserve"> PONM</t>
  </si>
  <si>
    <t>67503de70d6298feef082d26</t>
  </si>
  <si>
    <t>8400185</t>
  </si>
  <si>
    <t>[deleted] XIPRER GRIS</t>
  </si>
  <si>
    <t xml:space="preserve"> XIPRGR</t>
  </si>
  <si>
    <t>67503bc0aa8fc15fa7065ea6</t>
  </si>
  <si>
    <t>8400184</t>
  </si>
  <si>
    <t>SALIX (GATELL) 65-90cm- rama</t>
  </si>
  <si>
    <t xml:space="preserve"> GATEPR, 175029</t>
  </si>
  <si>
    <t>67503b41fdaa2043b203f80b</t>
  </si>
  <si>
    <t>8400182</t>
  </si>
  <si>
    <t>ESCARAMUJO - rama</t>
  </si>
  <si>
    <t xml:space="preserve"> ESCA</t>
  </si>
  <si>
    <t>6750320e0bbe0daac7026af0</t>
  </si>
  <si>
    <t>8400181</t>
  </si>
  <si>
    <t>[deleted] GRAMINIA SALVAJE PENI BLONDI -rama</t>
  </si>
  <si>
    <t xml:space="preserve"> GRAMSABL</t>
  </si>
  <si>
    <t>67502db5cb8af4f699066aed</t>
  </si>
  <si>
    <t>8400180</t>
  </si>
  <si>
    <t>POINSETTIA COPA - planta/48 70-90cm</t>
  </si>
  <si>
    <t xml:space="preserve"> PCO, 37347, 165102, 37347</t>
  </si>
  <si>
    <t>67502d710d02031f4d02e668</t>
  </si>
  <si>
    <t>8400179</t>
  </si>
  <si>
    <t>[closed] POINSETTIA VARIS - planta/16</t>
  </si>
  <si>
    <t xml:space="preserve"> PC8 </t>
  </si>
  <si>
    <t>67502d19fb0c4af04000a40d</t>
  </si>
  <si>
    <t>8400178</t>
  </si>
  <si>
    <t>[closed] POINSETTIA T10 - Princetia - planta/9</t>
  </si>
  <si>
    <t xml:space="preserve"> PR11</t>
  </si>
  <si>
    <t>67502cd32f6c7e93c0027b7d</t>
  </si>
  <si>
    <t>8400177</t>
  </si>
  <si>
    <t>POINSETTIA - planta/42 68cm T-19</t>
  </si>
  <si>
    <t xml:space="preserve"> P19, 122286, </t>
  </si>
  <si>
    <t>67502c778ba9033c2401ff5b</t>
  </si>
  <si>
    <t>8400176</t>
  </si>
  <si>
    <t>[closed] POINSETTIA MARE - planta/60</t>
  </si>
  <si>
    <t xml:space="preserve"> PM12</t>
  </si>
  <si>
    <t>67502bdb17bce2334f0b9753</t>
  </si>
  <si>
    <t>8400175</t>
  </si>
  <si>
    <t>[closed] POINSETTIA ARBUSTIVA 6 litres- planta/60</t>
  </si>
  <si>
    <t xml:space="preserve"> 2 PA6</t>
  </si>
  <si>
    <t>67502b70ac7067458009d4b1</t>
  </si>
  <si>
    <t>8400174</t>
  </si>
  <si>
    <t>[closed] POINSETTIA ARBUSTIVA T-27 - planta/75</t>
  </si>
  <si>
    <t xml:space="preserve"> PA27</t>
  </si>
  <si>
    <t>674860de9072f60d0f0bb5b5</t>
  </si>
  <si>
    <t>8400173</t>
  </si>
  <si>
    <t>ABETO - Normandiana - rama</t>
  </si>
  <si>
    <t>674742df089afc63340f709a</t>
  </si>
  <si>
    <t>8400172</t>
  </si>
  <si>
    <t>[deleted] RS ROSA - Freedom</t>
  </si>
  <si>
    <t>RTOPA50, RFREEPR50, RFREEPR60, RORANCR50, RSF60, RSC50, RSC60,RNENA50, RTOPA50  Rosa Freedom MIX, 235674, 235673</t>
  </si>
  <si>
    <t>67474043291eed76f20fe421</t>
  </si>
  <si>
    <t>8400171</t>
  </si>
  <si>
    <t>ERYNGIUM - flor</t>
  </si>
  <si>
    <t>67473f696973d4927b0fb962</t>
  </si>
  <si>
    <t>8400170</t>
  </si>
  <si>
    <t>[closed] Clavel mini - flor</t>
  </si>
  <si>
    <t>67473d8af0531722d90a642e</t>
  </si>
  <si>
    <t>8400169</t>
  </si>
  <si>
    <t>CLEMATIS - flor</t>
  </si>
  <si>
    <t>67473cb4f039da99ed054084</t>
  </si>
  <si>
    <t>8400168</t>
  </si>
  <si>
    <t>SANTINI - Bola - flor</t>
  </si>
  <si>
    <t xml:space="preserve"> SANT, 130330, 136126, 3492, 92424, 39301, 53473, SANTCA, 174525, 159657, 136388, 130330</t>
  </si>
  <si>
    <t>673c7df11677f0727008120a</t>
  </si>
  <si>
    <t>8400167</t>
  </si>
  <si>
    <t>[closed] POINSETTIA PEQUEÑA T-13- planta/60</t>
  </si>
  <si>
    <t xml:space="preserve"> PON1</t>
  </si>
  <si>
    <t>673c7c6dbde7b9aa99084bf4</t>
  </si>
  <si>
    <t>8400166</t>
  </si>
  <si>
    <t>POINSETTIA GRANDE  - planta/123</t>
  </si>
  <si>
    <t xml:space="preserve"> PON</t>
  </si>
  <si>
    <t>673ca3d55301e3c124037a07</t>
  </si>
  <si>
    <t>8400165</t>
  </si>
  <si>
    <t>JARRON OVALADO M</t>
  </si>
  <si>
    <t>6734c3f5ea65ff612f0950a7</t>
  </si>
  <si>
    <t>8400163</t>
  </si>
  <si>
    <t>THUYA - rama</t>
  </si>
  <si>
    <t xml:space="preserve"> CIP</t>
  </si>
  <si>
    <t>6734c06779765f240d00739a</t>
  </si>
  <si>
    <t>8400162</t>
  </si>
  <si>
    <t>[deleted] EUCALIPTO BABY - rama</t>
  </si>
  <si>
    <t xml:space="preserve"> EUCB</t>
  </si>
  <si>
    <t>6731fb52a44a4b38520b9537</t>
  </si>
  <si>
    <t>8400161</t>
  </si>
  <si>
    <t>OLIVO - MINI-  rama</t>
  </si>
  <si>
    <t xml:space="preserve"> OLIVA, 9</t>
  </si>
  <si>
    <t>6731e48b9d4a015a8b06cc7c</t>
  </si>
  <si>
    <t>8400160</t>
  </si>
  <si>
    <t>[closed] Frutos de palma - rama</t>
  </si>
  <si>
    <t>672cac99bb50a7ee56051313</t>
  </si>
  <si>
    <t>8400159</t>
  </si>
  <si>
    <t>PHALAENOPSIS MIX - planta/35</t>
  </si>
  <si>
    <t xml:space="preserve"> PPHAL3V12, 51037, 178648, 125757, 196403, 168751, 1140997, 80668, 171965, 173382, 169346, 132602, 177439, 171080, 171076, 171080 </t>
  </si>
  <si>
    <t>672caa414fcd6416fa08ce49</t>
  </si>
  <si>
    <t>8400158</t>
  </si>
  <si>
    <t>LIMONIUM - flor</t>
  </si>
  <si>
    <t>00064, 136152, 182922, 75722 84451, CON, LIMOLI, LIMBE, 54377, LIM, 82171, 135043, 148294, 97108, 82844, 91919, 160850, 128056, 130094</t>
  </si>
  <si>
    <t>672ca9dd0353811b0f0ac9da</t>
  </si>
  <si>
    <t>8400157</t>
  </si>
  <si>
    <t>[closed] LEATHER - rama</t>
  </si>
  <si>
    <t xml:space="preserve"> LEDE</t>
  </si>
  <si>
    <t>672ca85e46af763c8e02ecdc</t>
  </si>
  <si>
    <t>8400156</t>
  </si>
  <si>
    <t>GIRASOL - flor</t>
  </si>
  <si>
    <t>GIR, GIRANAEX, GER  GIRASOL, 12419</t>
  </si>
  <si>
    <t>672ca648a92a1e0dea0c2cda</t>
  </si>
  <si>
    <t>8400155</t>
  </si>
  <si>
    <t>PHORNIUM - hoja</t>
  </si>
  <si>
    <t xml:space="preserve"> FORN</t>
  </si>
  <si>
    <t>672ca565eaf27a4d3706064d</t>
  </si>
  <si>
    <t>8400154</t>
  </si>
  <si>
    <t>672ca3dd70f2f2bd5d049fc4</t>
  </si>
  <si>
    <t>8400153</t>
  </si>
  <si>
    <t>[deleted] PANICULATA - rama</t>
  </si>
  <si>
    <t xml:space="preserve"> PANI, PAN</t>
  </si>
  <si>
    <t>672c9d79d40785053b0e6f25</t>
  </si>
  <si>
    <t>8400151</t>
  </si>
  <si>
    <t>[closed] BRASSICA (COL) blanca - flor</t>
  </si>
  <si>
    <t xml:space="preserve"> COLBL</t>
  </si>
  <si>
    <t>67227d970873a357ec09f35d</t>
  </si>
  <si>
    <t>8400150</t>
  </si>
  <si>
    <t>TILLANDSIA - planta/18</t>
  </si>
  <si>
    <t>67235a892a8f8f70660d88fe</t>
  </si>
  <si>
    <t>8400149</t>
  </si>
  <si>
    <t>GRAMINEA - MIX - herbacea</t>
  </si>
  <si>
    <t xml:space="preserve"> GRAMSA</t>
  </si>
  <si>
    <t>672358e91194334a9c08fc6c</t>
  </si>
  <si>
    <t>8400148</t>
  </si>
  <si>
    <t>DIEFFENBACHIA T12 - planta/26</t>
  </si>
  <si>
    <t xml:space="preserve"> DIFEMBAQUIA </t>
  </si>
  <si>
    <t>672358a4a916753cb20ebb98</t>
  </si>
  <si>
    <t>8400147</t>
  </si>
  <si>
    <t>VRIESEA T10 - planta/28</t>
  </si>
  <si>
    <t xml:space="preserve"> VRIESEA, 134243</t>
  </si>
  <si>
    <t>672358549e52cfda090a730f</t>
  </si>
  <si>
    <t>8400146</t>
  </si>
  <si>
    <t>[closed] KENTIA T11 - planta/60</t>
  </si>
  <si>
    <t xml:space="preserve"> KENTIA </t>
  </si>
  <si>
    <t>671773ac795e7f1a9802bccd</t>
  </si>
  <si>
    <t>8400145</t>
  </si>
  <si>
    <t>PROTEA - flor</t>
  </si>
  <si>
    <t xml:space="preserve"> PROTEA, 157263,banksia</t>
  </si>
  <si>
    <t>67165cc9e12a9ad4c10daf89</t>
  </si>
  <si>
    <t>8400144</t>
  </si>
  <si>
    <t>HORTENSIA - flor seca</t>
  </si>
  <si>
    <t xml:space="preserve">HORTTA40VD HORTENSIA verde </t>
  </si>
  <si>
    <t>67165b6240844d7604056f7c</t>
  </si>
  <si>
    <t>8400143</t>
  </si>
  <si>
    <t>EUCALIPTO - Robusta - rama</t>
  </si>
  <si>
    <t>EUCAFLPO Eucolipto Flor</t>
  </si>
  <si>
    <t>6716561afa1431ebbd08228e</t>
  </si>
  <si>
    <t>8400142</t>
  </si>
  <si>
    <t>[closed] GRANADA - unidad</t>
  </si>
  <si>
    <t>CAIXMAG granate</t>
  </si>
  <si>
    <t>67163d019149ef4ad2005b92</t>
  </si>
  <si>
    <t>8400141</t>
  </si>
  <si>
    <t>[closed] GERBERA - flor</t>
  </si>
  <si>
    <t>GERBNAAM, 183462, 184156, GER, RGER  GERBERA, 94099, 122436</t>
  </si>
  <si>
    <t>67163c293fbaa2a0510247cc</t>
  </si>
  <si>
    <t>8400140</t>
  </si>
  <si>
    <t>ERICA COLOR - rama</t>
  </si>
  <si>
    <t>ERICCO Erica teñida</t>
  </si>
  <si>
    <t>67163aadaf356bf2e504d5ff</t>
  </si>
  <si>
    <t>8400139</t>
  </si>
  <si>
    <t xml:space="preserve">[closed] RS Rosa - Sweet diamond 40cm </t>
  </si>
  <si>
    <t>RSWEEDI40 Rosa Sweet-40</t>
  </si>
  <si>
    <t>671639143df8addcc408c191</t>
  </si>
  <si>
    <t>8400138</t>
  </si>
  <si>
    <t>ALLIUM - MIX- flor</t>
  </si>
  <si>
    <t>ALLI50BLBOPE ALLIUM, 6778, 133547, 167505, 134520, 42604,158, 50981, 50071</t>
  </si>
  <si>
    <t>67163889cbe732b04701e47e</t>
  </si>
  <si>
    <t>8400137</t>
  </si>
  <si>
    <t>MAIZ 80cm -rama</t>
  </si>
  <si>
    <t>MAIZ Maíz</t>
  </si>
  <si>
    <t>6716371811ddfed8240d2596</t>
  </si>
  <si>
    <t>8400136</t>
  </si>
  <si>
    <t>[deleted] ALZINA COLOR - rama</t>
  </si>
  <si>
    <t>ALZICO Alzina teñido</t>
  </si>
  <si>
    <t>6716347a0f8c0b3f6102781b</t>
  </si>
  <si>
    <t>8400135</t>
  </si>
  <si>
    <t>ROBLE - rama</t>
  </si>
  <si>
    <t>ROUR ROBLE VERDE, ROBL</t>
  </si>
  <si>
    <t>671632fba8777cd9f10c9d93</t>
  </si>
  <si>
    <t>8400134</t>
  </si>
  <si>
    <t>CHAMELACIUM - flor</t>
  </si>
  <si>
    <t>CERAHORO, CERAHOBL, CERA, CERAHOFU, 152113, flor de cera, 41845</t>
  </si>
  <si>
    <t>67162c96cfd25052b70c8bf5</t>
  </si>
  <si>
    <t>8400132</t>
  </si>
  <si>
    <t xml:space="preserve">[closed] RS Rosa - Ballerina Summer 60cm </t>
  </si>
  <si>
    <t>RRAMIBASU60 Rosa Ballerina-60</t>
  </si>
  <si>
    <t>6716287627b25a00e8047434</t>
  </si>
  <si>
    <t>8400131</t>
  </si>
  <si>
    <t>SNAKE GRASS - herbacea</t>
  </si>
  <si>
    <t>80034 Snake Grass</t>
  </si>
  <si>
    <t>671627826f1ab7aff2077388</t>
  </si>
  <si>
    <t>8400130</t>
  </si>
  <si>
    <t>[closed] VD. Magnolia -  hoja</t>
  </si>
  <si>
    <t>80118 Magnolia Hojas</t>
  </si>
  <si>
    <t>6716266b5740f8240c05a593</t>
  </si>
  <si>
    <t>8400129</t>
  </si>
  <si>
    <t>[DELETED] Tanacetum PA Rio 60 cm. Blanco - flor</t>
  </si>
  <si>
    <t>1901 Tanacetum Rio</t>
  </si>
  <si>
    <t>671625ebebf11e5e8d046ca2</t>
  </si>
  <si>
    <t>8400128</t>
  </si>
  <si>
    <t>TANACETUM - MIX - flor</t>
  </si>
  <si>
    <t>10271, 194305, Tanacetum Cameron, 39301, 179753, 42966, 42966б MATRICARIA</t>
  </si>
  <si>
    <t>67162470ec8bd80d730bb009</t>
  </si>
  <si>
    <t>8400127</t>
  </si>
  <si>
    <t>ROSA FREEDOM - flor</t>
  </si>
  <si>
    <t>42128 Rosa Freedom-80, 136635</t>
  </si>
  <si>
    <t>67162402d372a24f48036e0e</t>
  </si>
  <si>
    <t>8400126</t>
  </si>
  <si>
    <t>[deleted] RS ROSA - Freedom 70cm</t>
  </si>
  <si>
    <t>42127 Rosa Freedom-70, 50240, 136619, 136635, 235675</t>
  </si>
  <si>
    <t>671623795bd60ed5860d2dc4</t>
  </si>
  <si>
    <t>8400125</t>
  </si>
  <si>
    <t>[closed] RS Rosa -  Shimmer - flor</t>
  </si>
  <si>
    <t>2700-50 Rosa Shimmer50</t>
  </si>
  <si>
    <t>671622e09a1cea09eb0590cf</t>
  </si>
  <si>
    <t>8400124</t>
  </si>
  <si>
    <t xml:space="preserve">[closed] RS Rosa - Colombiana 60cm </t>
  </si>
  <si>
    <t>7628-60COL Rosa CoolWater</t>
  </si>
  <si>
    <t>671621cfd72b021d63036817</t>
  </si>
  <si>
    <t>8400123</t>
  </si>
  <si>
    <t>[closed] CARTHAMUS Tinctorius Zanzibar Naranja -flor</t>
  </si>
  <si>
    <t>8322-80 Carthamus</t>
  </si>
  <si>
    <t>67161fcac616344afb0c55db</t>
  </si>
  <si>
    <t>8400122</t>
  </si>
  <si>
    <t>[closed] BRASSICA - MIX - flor</t>
  </si>
  <si>
    <t>COL, Brasica</t>
  </si>
  <si>
    <t>67161ebb5d159ece130a4429</t>
  </si>
  <si>
    <t>8400121</t>
  </si>
  <si>
    <t>ANTHURIUM - MIX - flor</t>
  </si>
  <si>
    <t>91400 Anthurium P5, 148668, 150298, 150299, 1445</t>
  </si>
  <si>
    <t>6713d912f530bdeb690c405e</t>
  </si>
  <si>
    <t>8400119</t>
  </si>
  <si>
    <t>LILIUM - Oriental Extra - flor</t>
  </si>
  <si>
    <t>LO LILIUM EXTRA, 142766, 116736,162201, 113163, 178737, 180762, 169955, 116173, 140923, 98655, 180555, 100706, 38516</t>
  </si>
  <si>
    <t>6713d7a8a881a9b3420873ff</t>
  </si>
  <si>
    <t>8400118</t>
  </si>
  <si>
    <t>[closed] HEDERA (HIEDRA) - rama</t>
  </si>
  <si>
    <t>HIERV Hedera</t>
  </si>
  <si>
    <t>6713d6c92c8572b52f0daf3f</t>
  </si>
  <si>
    <t>8400117</t>
  </si>
  <si>
    <t>[closed] ARALIA- hoja</t>
  </si>
  <si>
    <t>ARAM ARALIA</t>
  </si>
  <si>
    <t>6713d62297ad8fb4f004ab21</t>
  </si>
  <si>
    <t>8400116</t>
  </si>
  <si>
    <t>[closed] ASPIDISTRA- hoja</t>
  </si>
  <si>
    <t>ASPS ASPIDISTRA SUPER</t>
  </si>
  <si>
    <t>6713d55bf3ac8e982c013bdf</t>
  </si>
  <si>
    <t>8400115</t>
  </si>
  <si>
    <t>[closed] MONSTERA- hoja</t>
  </si>
  <si>
    <t>PHP Monstera</t>
  </si>
  <si>
    <t>6713d41327f83d0a180f1e52</t>
  </si>
  <si>
    <t>8400114</t>
  </si>
  <si>
    <t>PISTACHO - rama seca</t>
  </si>
  <si>
    <t>LEN Pistacia, 2388</t>
  </si>
  <si>
    <t>6713d32eb3eb82a5fa04007c</t>
  </si>
  <si>
    <t>8400113</t>
  </si>
  <si>
    <t>[deleted] THUYA - rama</t>
  </si>
  <si>
    <t>TUY THUYA</t>
  </si>
  <si>
    <t>6713c4fb170344b6a409bcb5</t>
  </si>
  <si>
    <t>8400112</t>
  </si>
  <si>
    <t>ROSA FRUTETTO LARGA - flor</t>
  </si>
  <si>
    <t>00572 ROSA FRUTETTO LARGO, 131343</t>
  </si>
  <si>
    <t>6713c6903f6a4522c80d8e5e</t>
  </si>
  <si>
    <t>8400111</t>
  </si>
  <si>
    <t>LILIUM -  MIX -flor</t>
  </si>
  <si>
    <t>00037, LA LILIUM MIX, 56628, 155900, 10006-3, 176884 LA Artichoke</t>
  </si>
  <si>
    <t>6713c598ed9bf4b8d8067d38</t>
  </si>
  <si>
    <t>8400110</t>
  </si>
  <si>
    <t>LEUCOSPERNUM - flor</t>
  </si>
  <si>
    <t>00082, Nutans  LEUCOSPERNUM</t>
  </si>
  <si>
    <t>6713cd86c93fba726b0221ca</t>
  </si>
  <si>
    <t>8400109</t>
  </si>
  <si>
    <t>PANICUM - herbacea</t>
  </si>
  <si>
    <t>PANI PANICUM, 18810, 11413, 11413, 134666</t>
  </si>
  <si>
    <t>6713cce587c6b1a4cb025492</t>
  </si>
  <si>
    <t>8400108</t>
  </si>
  <si>
    <t>VIOLER - MIX - flor</t>
  </si>
  <si>
    <t>VIO, VIOLHOCR, 33816, 49698, 117654, 127049, 182711, 182407, 117654, 151438, VIOLHOBL,  63001, Alheli, 63358,  VIOLHOROCL, VIOEX,  VIOLNA, 34044, 34003, 40434, 56195, VIOLE SEN, 127049</t>
  </si>
  <si>
    <t>6713cc450a307d4b3a0bd33e</t>
  </si>
  <si>
    <t>8400107</t>
  </si>
  <si>
    <t>[closed] CRISANTEM HOLANDES green - flor</t>
  </si>
  <si>
    <t>CRIHOL CRISANTEM verde</t>
  </si>
  <si>
    <t>6713cb9db1be502c18083ade</t>
  </si>
  <si>
    <t>8400106</t>
  </si>
  <si>
    <t>GLADIOL - flor</t>
  </si>
  <si>
    <t>GLA GLADIOL blanco</t>
  </si>
  <si>
    <t>6713caee1a803c82cf0d4913</t>
  </si>
  <si>
    <t>8400105</t>
  </si>
  <si>
    <t>LISIANTHUS - MIX - flor</t>
  </si>
  <si>
    <t>LISIHOLICL, 131681, 63400, LISIHOBU, 131681 LIS,40308,  LISIHOBL, LISIHOROCL, A37 LISIANTHUS MIX, 61149, 131843</t>
  </si>
  <si>
    <t>6713ca40bf3b3498e60ba72c</t>
  </si>
  <si>
    <t>8400104</t>
  </si>
  <si>
    <t>GERBERA - MINI - flor</t>
  </si>
  <si>
    <t>GERMINA, 25806, 30276, GERMHO, GMI, 165571, 123759, 183260, 125838, 152259, 26276, 112406, 13406, 172432, 262776, GERMINI GERBERA MINI, 53832, 164843</t>
  </si>
  <si>
    <t>6713c87338200991d7047987</t>
  </si>
  <si>
    <t>8400103</t>
  </si>
  <si>
    <t>CLAVEL - MIX - flor</t>
  </si>
  <si>
    <t>CLAC,164315, 168233,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</si>
  <si>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6967bb0ea2f158a6090afde8</t>
  </si>
  <si>
    <t>84001021</t>
  </si>
  <si>
    <t>VBOX paper box corazon set 3</t>
  </si>
  <si>
    <t>61848</t>
  </si>
  <si>
    <t>6713bfa22378574df40d684e</t>
  </si>
  <si>
    <t>8400102</t>
  </si>
  <si>
    <t>[closed] Polianthes (Nardos) - flor</t>
  </si>
  <si>
    <t xml:space="preserve"> Tuberosa</t>
  </si>
  <si>
    <t>6713e6bc6b2a0b03320c0d32</t>
  </si>
  <si>
    <t>8400101</t>
  </si>
  <si>
    <t>[deleted] PHALAENOPSIS Mix T-10 - planta/35</t>
  </si>
  <si>
    <t xml:space="preserve"> ORCHID R3 T10, 177762, 125757, 178648</t>
  </si>
  <si>
    <t>6713b69da960015004064ecb</t>
  </si>
  <si>
    <t>8400100</t>
  </si>
  <si>
    <t>[deleted] PHALAENOPSIS Mix T-10, T-12  - planta/35</t>
  </si>
  <si>
    <t>ORCHID, ORQ Orquidea Mix T-10 ramal-2, 132177, Rojo/Blanco-39cm-T12</t>
  </si>
  <si>
    <t>67111e30d15cec9b9301e67a</t>
  </si>
  <si>
    <t>8400099</t>
  </si>
  <si>
    <t>CENTRO DE MESA PEQUEÑA</t>
  </si>
  <si>
    <t>670f8ed50ffc7b4f1c074445</t>
  </si>
  <si>
    <t>8400098</t>
  </si>
  <si>
    <t>CENTRO DE MESA MEDIANA</t>
  </si>
  <si>
    <t>670f7bc1d3a0aaca6a070e5f</t>
  </si>
  <si>
    <t>8400097</t>
  </si>
  <si>
    <t>CALABAZA PEQUEÑA - unidad</t>
  </si>
  <si>
    <t xml:space="preserve"> CARBCAVA, 29002</t>
  </si>
  <si>
    <t>670f7bc1d3a0aaca6a070e5c</t>
  </si>
  <si>
    <t>8400096</t>
  </si>
  <si>
    <t>[closed] CALABAZA GRANDE - unidad</t>
  </si>
  <si>
    <t xml:space="preserve"> CARB10</t>
  </si>
  <si>
    <t>670f7bc1d3a0aaca6a070e59</t>
  </si>
  <si>
    <t>8400095</t>
  </si>
  <si>
    <t>RHIPSALIS T12 LARGO - planta/39</t>
  </si>
  <si>
    <t xml:space="preserve"> PRHIP12, 6 RHIPHE17H, RH19</t>
  </si>
  <si>
    <t>670f7bc1d3a0aaca6a070e56</t>
  </si>
  <si>
    <t>8400094</t>
  </si>
  <si>
    <t>SEDUM - planta/23</t>
  </si>
  <si>
    <t xml:space="preserve"> PSEDU22, SED-1 </t>
  </si>
  <si>
    <t>670f7bc1d3a0aaca6a070e53</t>
  </si>
  <si>
    <t>8400093</t>
  </si>
  <si>
    <t>[closed] CALLISIA T22 - planta/20</t>
  </si>
  <si>
    <t xml:space="preserve"> PCALLI22</t>
  </si>
  <si>
    <t>670f7bc1d3a0aaca6a070e50</t>
  </si>
  <si>
    <t>8400092</t>
  </si>
  <si>
    <t>RHIPSALIS T20 - planta/45</t>
  </si>
  <si>
    <t xml:space="preserve"> PRHIP20, RHIPM15, LEBO17, RHIPM15H</t>
  </si>
  <si>
    <t>670f7bc1d3a0aaca6a070e4d</t>
  </si>
  <si>
    <t>8400091</t>
  </si>
  <si>
    <t>ALOCASIA T21 - Gageana - planta/33</t>
  </si>
  <si>
    <t xml:space="preserve"> ALOCASIA G</t>
  </si>
  <si>
    <t>670f7bc1d3a0aaca6a070e4a</t>
  </si>
  <si>
    <t>8400090</t>
  </si>
  <si>
    <t>MUEHLENBECKIA - planta/12</t>
  </si>
  <si>
    <t xml:space="preserve"> PMUEH22, MUB-22</t>
  </si>
  <si>
    <t>670f7bc1d3a0aaca6a070e47</t>
  </si>
  <si>
    <t>8400089</t>
  </si>
  <si>
    <t>DICHONDRA - rama seca</t>
  </si>
  <si>
    <t xml:space="preserve"> PDICH22</t>
  </si>
  <si>
    <t>670f7bc1d3a0aaca6a070e44</t>
  </si>
  <si>
    <t>8400088</t>
  </si>
  <si>
    <t>[deleted] FICUS - planta/65</t>
  </si>
  <si>
    <t xml:space="preserve"> FIC</t>
  </si>
  <si>
    <t>670f7bc1d3a0aaca6a070e41</t>
  </si>
  <si>
    <t>8400087</t>
  </si>
  <si>
    <t>HELECHO T12 - planta/25</t>
  </si>
  <si>
    <t>HEL 8400087, 158872</t>
  </si>
  <si>
    <t>670f7bc1d3a0aaca6a070e3e</t>
  </si>
  <si>
    <t>8400086</t>
  </si>
  <si>
    <t>RHIPSALIS T10 - planta /30</t>
  </si>
  <si>
    <t xml:space="preserve"> RIP</t>
  </si>
  <si>
    <t>670f7bc1d3a0aaca6a070e3b</t>
  </si>
  <si>
    <t>8400085</t>
  </si>
  <si>
    <t>STRELITZIA T14 - planta/50</t>
  </si>
  <si>
    <t xml:space="preserve"> STE</t>
  </si>
  <si>
    <t>670f7bc1d3a0aaca6a070e38</t>
  </si>
  <si>
    <t>8400084</t>
  </si>
  <si>
    <t>MARANTHA MIX - planta/55</t>
  </si>
  <si>
    <t>670f7bc1d3a0aaca6a070e35</t>
  </si>
  <si>
    <t>8400083</t>
  </si>
  <si>
    <t>[closed] PAPEROMIA MIX - planta/18</t>
  </si>
  <si>
    <t>670f7bc1d3a0aaca6a070e32</t>
  </si>
  <si>
    <t>8400082</t>
  </si>
  <si>
    <t>FLOR ARTIFICIAL GRANDE</t>
  </si>
  <si>
    <t>670f7bc0d3a0aaca6a070e2f</t>
  </si>
  <si>
    <t>8400081</t>
  </si>
  <si>
    <t>FLOR ARTIFICIAL PEQUEÑO</t>
  </si>
  <si>
    <t>670f5767e677b42c4d054184</t>
  </si>
  <si>
    <t>8400080</t>
  </si>
  <si>
    <t>[deleted] RS ROSA - MIX</t>
  </si>
  <si>
    <t xml:space="preserve"> RMONTMA</t>
  </si>
  <si>
    <t>670e7f0f601bc5125a05cbd5</t>
  </si>
  <si>
    <t>8400079</t>
  </si>
  <si>
    <t>[closed] FICUS T19 - Shiveriana - planta/25</t>
  </si>
  <si>
    <t xml:space="preserve"> FSH19</t>
  </si>
  <si>
    <t>670e7f0f601bc5125a05cbd2</t>
  </si>
  <si>
    <t>8400078</t>
  </si>
  <si>
    <t>ANTHURIUM T12 CON DISCUENTO  - planta</t>
  </si>
  <si>
    <t xml:space="preserve"> PL12, BAM 12, PIN12, BAM 12, 79033, PINK12, MICRO12, 166873</t>
  </si>
  <si>
    <t>670e7f0e601bc5125a05cbcf</t>
  </si>
  <si>
    <t>8400077</t>
  </si>
  <si>
    <t>PHILODENDRON  - planta/124</t>
  </si>
  <si>
    <t xml:space="preserve"> PHIPP</t>
  </si>
  <si>
    <t>670e7f0e601bc5125a05cbcc</t>
  </si>
  <si>
    <t>8400076</t>
  </si>
  <si>
    <t>ANTHURIUM T12 - planta/15</t>
  </si>
  <si>
    <t>TARPIN, TARROY ANTURIUM TARRINA MIX</t>
  </si>
  <si>
    <t>670e7f0e601bc5125a05cbc9</t>
  </si>
  <si>
    <t>8400075</t>
  </si>
  <si>
    <t>PHILODENDRON MIX - planta/65</t>
  </si>
  <si>
    <t xml:space="preserve"> PHIAU75</t>
  </si>
  <si>
    <t>670e7f0e601bc5125a05cbc6</t>
  </si>
  <si>
    <t>8400074</t>
  </si>
  <si>
    <t xml:space="preserve">[deleted] PHILODENDRUM - Hastatum Grey - planta/65 </t>
  </si>
  <si>
    <t xml:space="preserve"> PHIHAS5</t>
  </si>
  <si>
    <t>670e70af3c8d2e7b46086be4</t>
  </si>
  <si>
    <t>8400073</t>
  </si>
  <si>
    <t>ZAMIOCULCA T24 - Zamiifolia - planta/ 55</t>
  </si>
  <si>
    <t xml:space="preserve"> ZAM24, 186709</t>
  </si>
  <si>
    <t>670e70af3c8d2e7b46086bff</t>
  </si>
  <si>
    <t>8400072</t>
  </si>
  <si>
    <t>[closed] PHALAENOPSIS T15 - planta/55</t>
  </si>
  <si>
    <t xml:space="preserve"> PHALM15</t>
  </si>
  <si>
    <t>670e70af3c8d2e7b46086bfc</t>
  </si>
  <si>
    <t>8400071</t>
  </si>
  <si>
    <t>GUZMANIA T13 - Hope - planta/25</t>
  </si>
  <si>
    <t xml:space="preserve"> GUZHO13</t>
  </si>
  <si>
    <t>670e70af3c8d2e7b46086bf9</t>
  </si>
  <si>
    <t>8400070</t>
  </si>
  <si>
    <t>[deleted] SPATHIPHYLLUM T17 - Tarrina - planta/30</t>
  </si>
  <si>
    <t xml:space="preserve"> SPAT17</t>
  </si>
  <si>
    <t>670e70af3c8d2e7b46086bf6</t>
  </si>
  <si>
    <t>8400069</t>
  </si>
  <si>
    <t>SPATHIPHYLLUM T17 - planta/25</t>
  </si>
  <si>
    <t xml:space="preserve"> SPA17, 104888, 144928, 175197</t>
  </si>
  <si>
    <t>670e70af3c8d2e7b46086bf3</t>
  </si>
  <si>
    <t>8400068</t>
  </si>
  <si>
    <t>ANTHURIUM T21 - planta/42</t>
  </si>
  <si>
    <t xml:space="preserve"> ANTH21</t>
  </si>
  <si>
    <t>670e70af3c8d2e7b46086bf0</t>
  </si>
  <si>
    <t>8400067</t>
  </si>
  <si>
    <t>[closed] ALOCASIA T17- Polly - planta/19</t>
  </si>
  <si>
    <t xml:space="preserve"> ALOCASIA Polly</t>
  </si>
  <si>
    <t>670e70af3c8d2e7b46086bed</t>
  </si>
  <si>
    <t>8400066</t>
  </si>
  <si>
    <t>[closed] BILBERGIA - planta/35</t>
  </si>
  <si>
    <t xml:space="preserve"> AECHMEA</t>
  </si>
  <si>
    <t>670e70af3c8d2e7b46086bea</t>
  </si>
  <si>
    <t>8400065</t>
  </si>
  <si>
    <t>[closed] GUZMANIA T13 - planta/30</t>
  </si>
  <si>
    <t xml:space="preserve"> GUZM13, PGUZ</t>
  </si>
  <si>
    <t>670e70af3c8d2e7b46086be7</t>
  </si>
  <si>
    <t>8400064</t>
  </si>
  <si>
    <t>ANTHURIUM T17 - planta/25</t>
  </si>
  <si>
    <t xml:space="preserve"> ANTHM17, 116712</t>
  </si>
  <si>
    <t>670e70af3c8d2e7b46086be1</t>
  </si>
  <si>
    <t>8400063</t>
  </si>
  <si>
    <t>CYMBIDIUM 1V - planta/25</t>
  </si>
  <si>
    <t xml:space="preserve"> CYM1V, 95510</t>
  </si>
  <si>
    <t>670e70ae3c8d2e7b46086bde</t>
  </si>
  <si>
    <t>8400062</t>
  </si>
  <si>
    <t>CYMBIDIUM 3V - planta/39</t>
  </si>
  <si>
    <t xml:space="preserve"> CYM3V, 76997 </t>
  </si>
  <si>
    <t>670d5bf0ebbd23b191095698</t>
  </si>
  <si>
    <t>8400061</t>
  </si>
  <si>
    <t>Cilindro 30x15cm canelado gris CL 3015G</t>
  </si>
  <si>
    <t xml:space="preserve"> CL3015G, 165749</t>
  </si>
  <si>
    <t>670d5bf0ebbd23b191095691</t>
  </si>
  <si>
    <t>8400060</t>
  </si>
  <si>
    <t>Cilindro 20x15cm canelado gris CL 2015G</t>
  </si>
  <si>
    <t xml:space="preserve"> CL2015G, 165672</t>
  </si>
  <si>
    <t>670d5bf0ebbd23b19109568a</t>
  </si>
  <si>
    <t>8400059</t>
  </si>
  <si>
    <t>Jarrón redonda pequeña boca cerrada JA 2225</t>
  </si>
  <si>
    <t xml:space="preserve"> JA2225</t>
  </si>
  <si>
    <t>670d5bf0ebbd23b191095683</t>
  </si>
  <si>
    <t>8400058</t>
  </si>
  <si>
    <t>Cilindro 20x18cm acanalado gris CL 2018G</t>
  </si>
  <si>
    <t xml:space="preserve"> CL2018G</t>
  </si>
  <si>
    <t>670d5bf0ebbd23b19109567c</t>
  </si>
  <si>
    <t>8400057</t>
  </si>
  <si>
    <t>Jarrón redonda pequeña negra JA 1720N</t>
  </si>
  <si>
    <t xml:space="preserve"> JA1720N</t>
  </si>
  <si>
    <t>670d5bf0ebbd23b191095675</t>
  </si>
  <si>
    <t>8400056</t>
  </si>
  <si>
    <t>Jarrón redonda grande negra JA 2225N</t>
  </si>
  <si>
    <t xml:space="preserve"> JA2225N</t>
  </si>
  <si>
    <t>670d5bf0ebbd23b19109566e</t>
  </si>
  <si>
    <t>8400055</t>
  </si>
  <si>
    <t>Jarrón redonda grande boca cerrada JA 2630</t>
  </si>
  <si>
    <t xml:space="preserve"> JA2630</t>
  </si>
  <si>
    <t>670d5bf0ebbd23b191095667</t>
  </si>
  <si>
    <t>8400054</t>
  </si>
  <si>
    <t>Cilindro transparente 25x18cm CL 2518</t>
  </si>
  <si>
    <t xml:space="preserve"> CL2518</t>
  </si>
  <si>
    <t>670d5bf0ebbd23b191095660</t>
  </si>
  <si>
    <t>8400053</t>
  </si>
  <si>
    <t>Cilindro 20x20 CL 2020 transparente</t>
  </si>
  <si>
    <t xml:space="preserve"> CL2020</t>
  </si>
  <si>
    <t>670d5bf0ebbd23b191095659</t>
  </si>
  <si>
    <t>8400052</t>
  </si>
  <si>
    <t>Base Rodona BR 0830</t>
  </si>
  <si>
    <t xml:space="preserve"> BR0830</t>
  </si>
  <si>
    <t>670d5bf0ebbd23b191095652</t>
  </si>
  <si>
    <t>8400051</t>
  </si>
  <si>
    <t>Base Rodona BR 0825 25*8cm</t>
  </si>
  <si>
    <t xml:space="preserve"> BR0825</t>
  </si>
  <si>
    <t>670d5bf0ebbd23b19109564b</t>
  </si>
  <si>
    <t>8400050</t>
  </si>
  <si>
    <t>Base Rodona BR 1530 15x30cm</t>
  </si>
  <si>
    <t xml:space="preserve"> BR1530</t>
  </si>
  <si>
    <t>670d5befebbd23b191095636</t>
  </si>
  <si>
    <t>8400047</t>
  </si>
  <si>
    <t>Base Rodona BR 1020 20*10cm</t>
  </si>
  <si>
    <t xml:space="preserve"> BR 1020</t>
  </si>
  <si>
    <t>670d5befebbd23b19109562f</t>
  </si>
  <si>
    <t>8400046</t>
  </si>
  <si>
    <t>Jarrón de cristal alto grande 90 cm</t>
  </si>
  <si>
    <t xml:space="preserve"> VARIS</t>
  </si>
  <si>
    <t>670d5befebbd23b191095628</t>
  </si>
  <si>
    <t>8400045</t>
  </si>
  <si>
    <t>Medinilla 104 cm Rosa</t>
  </si>
  <si>
    <t xml:space="preserve"> LID0036</t>
  </si>
  <si>
    <t>670d5befebbd23b191095621</t>
  </si>
  <si>
    <t>8400044</t>
  </si>
  <si>
    <t>MACETA CERAMICA - Roller</t>
  </si>
  <si>
    <t xml:space="preserve"> CERAMICA</t>
  </si>
  <si>
    <t>67069d67ab5ba639d30de936</t>
  </si>
  <si>
    <t>8400043</t>
  </si>
  <si>
    <t>[closed] ZINNIA - flor</t>
  </si>
  <si>
    <t>6707dccb40673b01770bbab3</t>
  </si>
  <si>
    <t>8400042</t>
  </si>
  <si>
    <t>TAGETE - flor</t>
  </si>
  <si>
    <t xml:space="preserve"> TAGE</t>
  </si>
  <si>
    <t>6706a175db9bd4caaa02f5c8</t>
  </si>
  <si>
    <t>8400041</t>
  </si>
  <si>
    <t>SOLIDAGO - herbacea</t>
  </si>
  <si>
    <t xml:space="preserve">148542 </t>
  </si>
  <si>
    <t>6706a136bafbf55b960c2c18</t>
  </si>
  <si>
    <t>8400040</t>
  </si>
  <si>
    <t>SETARIA - herbacea</t>
  </si>
  <si>
    <t xml:space="preserve"> 92606</t>
  </si>
  <si>
    <t>67069d28b51468389e0d3086</t>
  </si>
  <si>
    <t>8400039</t>
  </si>
  <si>
    <t>[closed] SCHEFFLERA - rama</t>
  </si>
  <si>
    <t>6706997ab6d33a0193033a43</t>
  </si>
  <si>
    <t>8400038</t>
  </si>
  <si>
    <t>ROBLE COLOR - MIX - rama</t>
  </si>
  <si>
    <t xml:space="preserve"> ROBLE tenido, ALZICO, Alzina, ROURE </t>
  </si>
  <si>
    <t>6706b597c2426499d80d14da</t>
  </si>
  <si>
    <t>8400037</t>
  </si>
  <si>
    <t>PIMIENTA FALSA (SCHINUS MOLLE) - rama</t>
  </si>
  <si>
    <t>6706b6f530d6955aed02fd45</t>
  </si>
  <si>
    <t>8400036</t>
  </si>
  <si>
    <t>HOJAS SECAS - MIX -rama</t>
  </si>
  <si>
    <t>6706b307a09751b0530195bd</t>
  </si>
  <si>
    <t>8400034</t>
  </si>
  <si>
    <t>[closed] Lisianthus Nacional - MIX - flor</t>
  </si>
  <si>
    <t xml:space="preserve"> 6371</t>
  </si>
  <si>
    <t>6706a10048802109670817d6</t>
  </si>
  <si>
    <t>8400033</t>
  </si>
  <si>
    <t>[closed] LILIUM AMARILLO - flor</t>
  </si>
  <si>
    <t>67069d025729dad8a50de252</t>
  </si>
  <si>
    <t>8400032</t>
  </si>
  <si>
    <t>KNIPHOBIA NARANJA - flor</t>
  </si>
  <si>
    <t xml:space="preserve"> 132539</t>
  </si>
  <si>
    <t>67069c95331271eb5102b06f</t>
  </si>
  <si>
    <t>8400031</t>
  </si>
  <si>
    <t>[closed] KNIPHOBIA  AMARILLO - flor</t>
  </si>
  <si>
    <t xml:space="preserve"> KNIPHOBIA</t>
  </si>
  <si>
    <t>6706878d06a16f5c150d2ad0</t>
  </si>
  <si>
    <t>8400028</t>
  </si>
  <si>
    <t>CAJA OVAL NEGRA 26*20cm</t>
  </si>
  <si>
    <t>6706b501e93847a4bf08d957</t>
  </si>
  <si>
    <t>8400027</t>
  </si>
  <si>
    <t>HORTENSIA NACIONAL - flor</t>
  </si>
  <si>
    <t>HORTNA 8400027, 180535, 160767 186670, 172555, 185963</t>
  </si>
  <si>
    <t>6706b6308c07443d2304035e</t>
  </si>
  <si>
    <t>8400026</t>
  </si>
  <si>
    <t>[closed] STRELITZIA - hoja</t>
  </si>
  <si>
    <t>6706a1e7fe9a848a8a0e7129</t>
  </si>
  <si>
    <t>8400025</t>
  </si>
  <si>
    <t>HYPERICUM - rama</t>
  </si>
  <si>
    <t xml:space="preserve"> HYPE70RO, HYPE70VD, 56376 , 194060</t>
  </si>
  <si>
    <t>6706b6650802bad4c20cb0e3</t>
  </si>
  <si>
    <t>8400024</t>
  </si>
  <si>
    <t>HEDERA (HIEDRA) - MINI - rama</t>
  </si>
  <si>
    <t>HIERV HEDERA, 80014, Arborea</t>
  </si>
  <si>
    <t>6706b69eca16ba34f40266da</t>
  </si>
  <si>
    <t>8400023</t>
  </si>
  <si>
    <t>[closed] FRUTO ROSAL -rama</t>
  </si>
  <si>
    <t>6706980163ac2d134c083a4d</t>
  </si>
  <si>
    <t>8400022</t>
  </si>
  <si>
    <t>EUCALIPTO - Populus - rama</t>
  </si>
  <si>
    <t>EUCPO EUCALIPTO, 53668, 137459, 165186</t>
  </si>
  <si>
    <t>6706b5c898e20e33f50d6208</t>
  </si>
  <si>
    <t>8400021</t>
  </si>
  <si>
    <t>EUCALIPTO - Salvaje - rama</t>
  </si>
  <si>
    <t xml:space="preserve"> EUCAFLVE</t>
  </si>
  <si>
    <t>670699022741284da30f2e5f</t>
  </si>
  <si>
    <t>8400020</t>
  </si>
  <si>
    <t>EUCALIPTO - Cinerea - rama</t>
  </si>
  <si>
    <t xml:space="preserve">EUCU, 81144, KUCU  EUCALIPTO CINEREA TEÑIDO, EUCB </t>
  </si>
  <si>
    <t>6707ddb5cc08f0d1e3084a4b</t>
  </si>
  <si>
    <t>8400019</t>
  </si>
  <si>
    <t>ERICA - rama</t>
  </si>
  <si>
    <t xml:space="preserve"> ERICNA</t>
  </si>
  <si>
    <t>6707e5699504290e9007a745</t>
  </si>
  <si>
    <t>8400018</t>
  </si>
  <si>
    <t>[closed] DALIA SALMO - flor</t>
  </si>
  <si>
    <t xml:space="preserve"> DALISAL</t>
  </si>
  <si>
    <t>6707e456d68f35200a03fb22</t>
  </si>
  <si>
    <t>8400017</t>
  </si>
  <si>
    <t>[closed] DALIA ROSA - flor</t>
  </si>
  <si>
    <t xml:space="preserve"> DALIROS</t>
  </si>
  <si>
    <t>6707df7bb429951dde003a51</t>
  </si>
  <si>
    <t>8400016</t>
  </si>
  <si>
    <t>DALIA - flor</t>
  </si>
  <si>
    <t xml:space="preserve"> DALIGR, 180146, 134023, DALIA</t>
  </si>
  <si>
    <t>67069dceaf958b3071012287</t>
  </si>
  <si>
    <t>8400015</t>
  </si>
  <si>
    <t>[closed] DALIA FUEGO - flor</t>
  </si>
  <si>
    <t xml:space="preserve"> DALIFUE</t>
  </si>
  <si>
    <t>6707e39f34d3163e0d083d1d</t>
  </si>
  <si>
    <t>8400014</t>
  </si>
  <si>
    <t>[closed] DALIA FUCSIA - flor</t>
  </si>
  <si>
    <t xml:space="preserve"> DALIFUC</t>
  </si>
  <si>
    <t>6706b2603988c4f21d065c84</t>
  </si>
  <si>
    <t>8400013</t>
  </si>
  <si>
    <t>CYMBIDIUM - tallo corto</t>
  </si>
  <si>
    <t>CYMB CYMBIDIUM de corte, 130470, 171088, 36809, 95419</t>
  </si>
  <si>
    <t>6706b222fb0580fd050336a9</t>
  </si>
  <si>
    <t>8400012</t>
  </si>
  <si>
    <t>CYMBIDIUM - tallo</t>
  </si>
  <si>
    <t xml:space="preserve"> 51564, 50348, 103317, 99062</t>
  </si>
  <si>
    <t>6706a393d025bd02310d9ba0</t>
  </si>
  <si>
    <t>8400011</t>
  </si>
  <si>
    <t>CRISANTEMO UNIFLOR - MIX -flor</t>
  </si>
  <si>
    <t>CRISUNHOMA, 177231,  5768, 10286  CRISANTEM UNIFLOR MIX</t>
  </si>
  <si>
    <t>6706a353b55df34f860cab8a</t>
  </si>
  <si>
    <t>8400010</t>
  </si>
  <si>
    <t>CRISANTEMO RAMI- MIX -flor</t>
  </si>
  <si>
    <t xml:space="preserve">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t>
  </si>
  <si>
    <t>67069c3dbde3223fd6002502</t>
  </si>
  <si>
    <t>8400009</t>
  </si>
  <si>
    <t>COSMOS -flor</t>
  </si>
  <si>
    <t xml:space="preserve"> 137093</t>
  </si>
  <si>
    <t>67069a88c613e6055c0e5c0c</t>
  </si>
  <si>
    <t>8400006</t>
  </si>
  <si>
    <t>[closed] CANYES - herbacea</t>
  </si>
  <si>
    <t>67069a4946abaf61650230a2</t>
  </si>
  <si>
    <t>8400004</t>
  </si>
  <si>
    <t>AMMI - Majus/Amarillo - herbacea</t>
  </si>
  <si>
    <t xml:space="preserve"> AMI, ANETUM</t>
  </si>
  <si>
    <t>670699b0a16745a313075b91</t>
  </si>
  <si>
    <t>8400003</t>
  </si>
  <si>
    <t>[closed] AMMI - Majus - herbacea</t>
  </si>
  <si>
    <t>DILLEX  8400003</t>
  </si>
  <si>
    <t>670697b879adf3bad4094f28</t>
  </si>
  <si>
    <t>8400002</t>
  </si>
  <si>
    <t>AMARANTUS COLGANTE - herbacea</t>
  </si>
  <si>
    <t xml:space="preserve"> AMARAN2</t>
  </si>
  <si>
    <t>6706a30efac4acfa0406c381</t>
  </si>
  <si>
    <t>8400001</t>
  </si>
  <si>
    <t>[deleted] AMARANTHUS AFELPADO  - herbacea</t>
  </si>
  <si>
    <t xml:space="preserve"> AMARANTHUS</t>
  </si>
  <si>
    <t>67111721ccee076bf00d98f4</t>
  </si>
  <si>
    <t>84001087</t>
  </si>
  <si>
    <t>CESTA PIEL NEGRA-GRIS MEDIANA</t>
  </si>
  <si>
    <t xml:space="preserve"> 95296</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</si>
  <si>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</si>
  <si>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</si>
  <si>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</si>
  <si>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</si>
  <si>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</si>
  <si>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</si>
  <si>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</si>
  <si>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</si>
  <si>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</si>
  <si>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</si>
  <si>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</si>
  <si>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</si>
  <si>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</si>
  <si>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</si>
  <si>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</si>
  <si>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</si>
  <si>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</si>
  <si>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</si>
  <si>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</si>
  <si>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</si>
  <si>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</si>
  <si>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</si>
  <si>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</si>
  <si>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</si>
  <si>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</si>
  <si>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</si>
  <si>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</si>
  <si>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</si>
  <si>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</si>
  <si>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</si>
  <si>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</si>
  <si>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</si>
  <si>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</si>
  <si>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</si>
  <si>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</si>
  <si>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</si>
  <si>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</si>
  <si>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</si>
  <si>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</si>
  <si>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</si>
  <si>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</si>
  <si>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</si>
  <si>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</si>
  <si>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</si>
  <si>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</si>
  <si>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</si>
  <si>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</si>
  <si>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</si>
  <si>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</si>
  <si>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</si>
  <si>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</si>
  <si>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</si>
  <si>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</si>
  <si>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</si>
  <si>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</si>
  <si>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</si>
  <si>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</si>
  <si>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</si>
  <si>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</si>
  <si>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</si>
  <si>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</si>
  <si>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</si>
  <si>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</si>
  <si>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</si>
  <si>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</si>
  <si>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</si>
  <si>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</si>
  <si>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</si>
  <si>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</si>
  <si>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</si>
  <si>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</si>
  <si>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</si>
  <si>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</si>
  <si>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</si>
  <si>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</si>
  <si>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</si>
  <si>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</si>
  <si>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</si>
  <si>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</si>
  <si>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</si>
  <si>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</si>
  <si>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</si>
  <si>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</si>
  <si>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</si>
  <si>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</si>
  <si>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</si>
  <si>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</si>
  <si>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</si>
  <si>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</si>
  <si>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</si>
  <si>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</si>
  <si>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</si>
  <si>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</si>
  <si>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</si>
  <si>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</si>
  <si>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</si>
  <si>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</si>
  <si>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</si>
  <si>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planta/24</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</si>
  <si>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</si>
  <si>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</si>
  <si>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</si>
  <si>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</si>
  <si>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</si>
  <si>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</si>
  <si>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</si>
  <si>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</si>
  <si>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</si>
  <si>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</si>
  <si>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</si>
  <si>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</si>
  <si>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</si>
  <si>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</si>
  <si>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</si>
  <si>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</si>
  <si>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</si>
  <si>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</si>
  <si>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</si>
  <si>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</si>
  <si>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</si>
  <si>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</si>
  <si>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</si>
  <si>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</si>
  <si>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713, 135408, 97795, 193012</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</si>
  <si>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</si>
  <si>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</si>
  <si>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</si>
  <si>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</si>
  <si>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</si>
  <si>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</si>
  <si>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</si>
  <si>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</si>
  <si>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</si>
  <si>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</si>
  <si>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</si>
  <si>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</si>
  <si>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</si>
  <si>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</si>
  <si>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</si>
  <si>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</si>
  <si>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</si>
  <si>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</si>
  <si>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</si>
  <si>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</si>
  <si>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</si>
  <si>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</si>
  <si>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</si>
  <si>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</si>
  <si>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</si>
  <si>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</si>
  <si>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</si>
  <si>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</si>
  <si>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</si>
  <si>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</si>
  <si>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</si>
  <si>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</si>
  <si>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</si>
  <si>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</si>
  <si>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</si>
  <si>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</si>
  <si>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</si>
  <si>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</si>
  <si>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</si>
  <si>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</si>
  <si>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</si>
  <si>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</si>
  <si>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</si>
  <si>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</si>
  <si>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</si>
  <si>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</si>
  <si>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</si>
  <si>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</si>
  <si>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</si>
  <si>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</si>
  <si>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</si>
  <si>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</si>
  <si>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</si>
  <si>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</si>
  <si>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</si>
  <si>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</si>
  <si>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</si>
  <si>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</si>
  <si>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</si>
  <si>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</si>
  <si>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</si>
  <si>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</si>
  <si>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</si>
  <si>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</si>
  <si>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</si>
  <si>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</si>
  <si>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</si>
  <si>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</si>
  <si>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</si>
  <si>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</si>
  <si>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</si>
  <si>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</si>
  <si>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</si>
  <si>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</si>
  <si>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</si>
  <si>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</si>
  <si>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</si>
  <si>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</si>
  <si>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</si>
  <si>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</si>
  <si>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</si>
  <si>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</si>
  <si>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</si>
  <si>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</si>
  <si>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</si>
  <si>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</si>
  <si>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</si>
  <si>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</si>
  <si>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</si>
  <si>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TULIPAN - flor/4</t>
  </si>
  <si>
    <t>10581</t>
  </si>
  <si>
    <t>67cf1aa2ba524f12530286f0</t>
  </si>
  <si>
    <t>8400516</t>
  </si>
  <si>
    <t>ROSA BOGART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</si>
  <si>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</si>
  <si>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</si>
  <si>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</si>
  <si>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</si>
  <si>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</si>
  <si>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</si>
  <si>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</si>
  <si>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</si>
  <si>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</si>
  <si>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</si>
  <si>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</si>
  <si>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</si>
  <si>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</si>
  <si>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</si>
  <si>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</si>
  <si>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</si>
  <si>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</si>
  <si>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</si>
  <si>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</si>
  <si>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</si>
  <si>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</si>
  <si>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</si>
  <si>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</si>
  <si>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</si>
  <si>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</si>
  <si>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</si>
  <si>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</si>
  <si>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</si>
  <si>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</si>
  <si>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</si>
  <si>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</si>
  <si>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</si>
  <si>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</si>
  <si>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</si>
  <si>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</si>
  <si>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</si>
  <si>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</si>
  <si>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</si>
  <si>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</si>
  <si>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</si>
  <si>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</si>
  <si>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</si>
  <si>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</si>
  <si>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</si>
  <si>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</si>
  <si>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</si>
  <si>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</si>
  <si>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</si>
  <si>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</si>
  <si>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</si>
  <si>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</si>
  <si>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</si>
  <si>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</si>
  <si>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</si>
  <si>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</si>
  <si>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</si>
  <si>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</si>
  <si>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</si>
  <si>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</si>
  <si>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</si>
  <si>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</si>
  <si>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</si>
  <si>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</si>
  <si>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</si>
  <si>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</si>
  <si>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</si>
  <si>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</si>
  <si>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</si>
  <si>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</si>
  <si>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</si>
  <si>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</si>
  <si>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</si>
  <si>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</si>
  <si>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</si>
  <si>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</si>
  <si>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</si>
  <si>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</si>
  <si>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</si>
  <si>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130170, 115869, 118810, 30491, 129019, 30925</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</si>
  <si>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</si>
  <si>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</si>
  <si>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</si>
  <si>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</si>
  <si>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</si>
  <si>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</si>
  <si>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</si>
  <si>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</si>
  <si>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</si>
  <si>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</si>
  <si>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</si>
  <si>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</si>
  <si>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</si>
  <si>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</si>
  <si>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</si>
  <si>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</si>
  <si>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</si>
  <si>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</si>
  <si>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COMPOSICION - planta en maceta</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</si>
  <si>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</si>
  <si>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</si>
  <si>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</si>
  <si>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</si>
  <si>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</si>
  <si>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</si>
  <si>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</si>
  <si>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</si>
  <si>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</si>
  <si>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</si>
  <si>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</si>
  <si>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FTANCESA,100019, 146776, 75536, 37608, 108445, 196428, 126760, 195413,</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</si>
  <si>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</si>
  <si>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</si>
  <si>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</si>
  <si>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</si>
  <si>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</si>
  <si>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</si>
  <si>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</si>
  <si>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</si>
  <si>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</si>
  <si>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</si>
  <si>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</si>
  <si>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</si>
  <si>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</si>
  <si>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</si>
  <si>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</si>
  <si>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</si>
  <si>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</si>
  <si>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</si>
  <si>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</si>
  <si>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</si>
  <si>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</si>
  <si>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</si>
  <si>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</si>
  <si>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</si>
  <si>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</si>
  <si>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</si>
  <si>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</si>
  <si>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</si>
  <si>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</si>
  <si>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</si>
  <si>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</si>
  <si>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</si>
  <si>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</si>
  <si>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</si>
  <si>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</si>
  <si>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</si>
  <si>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</si>
  <si>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</si>
  <si>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</si>
  <si>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</si>
  <si>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</si>
  <si>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</si>
  <si>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</si>
  <si>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</si>
  <si>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</si>
  <si>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</si>
  <si>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</si>
  <si>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</si>
  <si>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</si>
  <si>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</si>
  <si>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</si>
  <si>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</si>
  <si>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</si>
  <si>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</si>
  <si>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</si>
  <si>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</si>
  <si>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</si>
  <si>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</si>
  <si>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</si>
  <si>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</si>
  <si>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</si>
  <si>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67ead7fdf6b0b3a73e0828bb</t>
  </si>
  <si>
    <t>8400557</t>
  </si>
  <si>
    <t>HORTENSIA T24 - planta/42</t>
  </si>
  <si>
    <t>175237, 174010, HORTE23, HORC22</t>
  </si>
  <si>
    <t>67eb8dca9a32ae4f5103adaf</t>
  </si>
  <si>
    <t>8400558</t>
  </si>
  <si>
    <t>67eb8ebd541fa991b007f966</t>
  </si>
  <si>
    <t>8400559</t>
  </si>
  <si>
    <t>[deleted] EUCALIPTO -Silver Dollar - rama</t>
  </si>
  <si>
    <t>130096</t>
  </si>
  <si>
    <t>67eb93016fed20596202ca8a</t>
  </si>
  <si>
    <t>8400561</t>
  </si>
  <si>
    <t>NARCISO T12 - Tete - planta/5</t>
  </si>
  <si>
    <t>106642, 195896, 195894</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</si>
  <si>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</si>
  <si>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</si>
  <si>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</si>
  <si>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</si>
  <si>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</si>
  <si>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</si>
  <si>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</si>
  <si>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</si>
  <si>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</si>
  <si>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</si>
  <si>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</si>
  <si>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</si>
  <si>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</si>
  <si>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</si>
  <si>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</si>
  <si>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</si>
  <si>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</si>
  <si>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</si>
  <si>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</si>
  <si>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</si>
  <si>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</si>
  <si>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</si>
  <si>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</si>
  <si>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</si>
  <si>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</si>
  <si>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</si>
  <si>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</si>
  <si>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</si>
  <si>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</si>
  <si>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</si>
  <si>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</si>
  <si>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</si>
  <si>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</si>
  <si>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</si>
  <si>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</si>
  <si>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</si>
  <si>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</si>
  <si>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</si>
  <si>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</si>
  <si>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</si>
  <si>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</si>
  <si>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</si>
  <si>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</si>
  <si>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</si>
  <si>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</si>
  <si>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</si>
  <si>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</si>
  <si>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</si>
  <si>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</si>
  <si>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</si>
  <si>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</si>
  <si>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</si>
  <si>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</si>
  <si>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</si>
  <si>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</si>
  <si>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</si>
  <si>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</si>
  <si>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</si>
  <si>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</si>
  <si>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</si>
  <si>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</si>
  <si>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</si>
  <si>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</si>
  <si>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</si>
  <si>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</si>
  <si>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</si>
  <si>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</si>
  <si>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</si>
  <si>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</si>
  <si>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</si>
  <si>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</si>
  <si>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</si>
  <si>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</si>
  <si>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</si>
  <si>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</si>
  <si>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</si>
  <si>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</si>
  <si>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</si>
  <si>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</si>
  <si>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</si>
  <si>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</si>
  <si>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</si>
  <si>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</si>
  <si>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</si>
  <si>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</si>
  <si>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</si>
  <si>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</si>
  <si>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</si>
  <si>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</si>
  <si>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</si>
  <si>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</si>
  <si>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</si>
  <si>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</si>
  <si>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</si>
  <si>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</si>
  <si>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</si>
  <si>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</si>
  <si>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</si>
  <si>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</si>
  <si>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</si>
  <si>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</si>
  <si>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</si>
  <si>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</si>
  <si>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</si>
  <si>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</si>
  <si>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</si>
  <si>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</si>
  <si>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</si>
  <si>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</si>
  <si>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</si>
  <si>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</si>
  <si>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</si>
  <si>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</si>
  <si>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</si>
  <si>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</si>
  <si>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</si>
  <si>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</si>
  <si>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</si>
  <si>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</si>
  <si>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</si>
  <si>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</si>
  <si>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</si>
  <si>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</si>
  <si>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</si>
  <si>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</si>
  <si>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</si>
  <si>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</si>
  <si>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</si>
  <si>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</si>
  <si>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</si>
  <si>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</si>
  <si>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</si>
  <si>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</si>
  <si>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</si>
  <si>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</si>
  <si>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</si>
  <si>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</si>
  <si>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</si>
  <si>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</si>
  <si>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</si>
  <si>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</si>
  <si>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</si>
  <si>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</si>
  <si>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</si>
  <si>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</si>
  <si>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</si>
  <si>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</si>
  <si>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</si>
  <si>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</si>
  <si>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</si>
  <si>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</si>
  <si>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</si>
  <si>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</si>
  <si>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</si>
  <si>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</si>
  <si>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</si>
  <si>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</si>
  <si>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</si>
  <si>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</si>
  <si>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</si>
  <si>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</si>
  <si>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</si>
  <si>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</si>
  <si>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</si>
  <si>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</si>
  <si>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</si>
  <si>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</si>
  <si>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</si>
  <si>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</si>
  <si>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</si>
  <si>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</si>
  <si>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</si>
  <si>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</si>
  <si>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</si>
  <si>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</si>
  <si>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</si>
  <si>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</si>
  <si>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</si>
  <si>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</si>
  <si>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</si>
  <si>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</si>
  <si>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</si>
  <si>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</si>
  <si>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</si>
  <si>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</si>
  <si>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</si>
  <si>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</si>
  <si>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</si>
  <si>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</si>
  <si>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</si>
  <si>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</si>
  <si>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</si>
  <si>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</si>
  <si>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</si>
  <si>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</si>
  <si>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</si>
  <si>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</si>
  <si>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</si>
  <si>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</si>
  <si>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</si>
  <si>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</si>
  <si>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</si>
  <si>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</si>
  <si>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</si>
  <si>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</si>
  <si>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</si>
  <si>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</si>
  <si>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</si>
  <si>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</si>
  <si>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</si>
  <si>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</si>
  <si>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</si>
  <si>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</si>
  <si>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</si>
  <si>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</si>
  <si>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</si>
  <si>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</si>
  <si>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</si>
  <si>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</si>
  <si>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</si>
  <si>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</si>
  <si>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</si>
  <si>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</si>
  <si>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</si>
  <si>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</si>
  <si>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</si>
  <si>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</si>
  <si>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</si>
  <si>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</si>
  <si>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</si>
  <si>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</si>
  <si>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</si>
  <si>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</si>
  <si>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</si>
  <si>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</si>
  <si>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</si>
  <si>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</si>
  <si>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</si>
  <si>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</si>
  <si>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</si>
  <si>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</si>
  <si>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</si>
  <si>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</si>
  <si>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</si>
  <si>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</si>
  <si>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R00058-2</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</si>
  <si>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</si>
  <si>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</si>
  <si>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</si>
  <si>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</si>
  <si>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</si>
  <si>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</si>
  <si>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</si>
  <si>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</si>
  <si>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</si>
  <si>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</si>
  <si>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</si>
  <si>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</si>
  <si>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</si>
  <si>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</si>
  <si>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</si>
  <si>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</si>
  <si>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</si>
  <si>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</si>
  <si>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</si>
  <si>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</si>
  <si>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</si>
  <si>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</si>
  <si>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</si>
  <si>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</si>
  <si>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</si>
  <si>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</si>
  <si>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</si>
  <si>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</si>
  <si>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</si>
  <si>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</si>
  <si>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</si>
  <si>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</si>
  <si>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</si>
  <si>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</si>
  <si>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</si>
  <si>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</si>
  <si>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</si>
  <si>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 181358</t>
  </si>
  <si>
    <t>67fd0fddf3172c74df0cd8c1</t>
  </si>
  <si>
    <t>8400623</t>
  </si>
  <si>
    <t>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</si>
  <si>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</si>
  <si>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</si>
  <si>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</si>
  <si>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</si>
  <si>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</si>
  <si>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</si>
  <si>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</si>
  <si>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</si>
  <si>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</si>
  <si>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</si>
  <si>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</si>
  <si>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</si>
  <si>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</si>
  <si>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</si>
  <si>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</si>
  <si>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</si>
  <si>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</si>
  <si>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</si>
  <si>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</si>
  <si>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</si>
  <si>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</si>
  <si>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</si>
  <si>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</si>
  <si>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</si>
  <si>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</si>
  <si>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</si>
  <si>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</si>
  <si>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</si>
  <si>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</si>
  <si>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</si>
  <si>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ROSA - SANT VALENTIN 50cm</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</si>
  <si>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</si>
  <si>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</si>
  <si>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</si>
  <si>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</si>
  <si>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</si>
  <si>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</si>
  <si>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</si>
  <si>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</si>
  <si>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</si>
  <si>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</si>
  <si>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</si>
  <si>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</si>
  <si>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</si>
  <si>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</si>
  <si>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</si>
  <si>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</si>
  <si>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</si>
  <si>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</si>
  <si>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</si>
  <si>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</si>
  <si>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</si>
  <si>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</si>
  <si>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</si>
  <si>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</si>
  <si>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</si>
  <si>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8400632-2</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</si>
  <si>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</si>
  <si>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</si>
  <si>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</si>
  <si>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</si>
  <si>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</si>
  <si>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</si>
  <si>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</si>
  <si>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</si>
  <si>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</si>
  <si>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</si>
  <si>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</si>
  <si>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</si>
  <si>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</si>
  <si>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</si>
  <si>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</si>
  <si>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</si>
  <si>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</si>
  <si>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</si>
  <si>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</si>
  <si>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</si>
  <si>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</si>
  <si>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</si>
  <si>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</si>
  <si>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</si>
  <si>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</si>
  <si>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</si>
  <si>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</si>
  <si>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</si>
  <si>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</si>
  <si>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</si>
  <si>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</si>
  <si>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</si>
  <si>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</si>
  <si>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</si>
  <si>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</si>
  <si>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</si>
  <si>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</si>
  <si>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</si>
  <si>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</si>
  <si>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</si>
  <si>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</si>
  <si>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</si>
  <si>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</si>
  <si>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</si>
  <si>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</si>
  <si>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</si>
  <si>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</si>
  <si>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</si>
  <si>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</si>
  <si>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</si>
  <si>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</si>
  <si>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</si>
  <si>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</si>
  <si>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</si>
  <si>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</si>
  <si>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</si>
  <si>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</si>
  <si>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</si>
  <si>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</si>
  <si>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</si>
  <si>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</si>
  <si>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</si>
  <si>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</si>
  <si>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</si>
  <si>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</si>
  <si>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</si>
  <si>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</si>
  <si>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</si>
  <si>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</si>
  <si>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</si>
  <si>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</si>
  <si>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</si>
  <si>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</si>
  <si>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</si>
  <si>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</si>
  <si>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</si>
  <si>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</si>
  <si>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</si>
  <si>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</si>
  <si>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</si>
  <si>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</si>
  <si>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</si>
  <si>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</si>
  <si>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</si>
  <si>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</si>
  <si>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</si>
  <si>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</si>
  <si>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</si>
  <si>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</si>
  <si>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</si>
  <si>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</si>
  <si>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</si>
  <si>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</si>
  <si>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</si>
  <si>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</si>
  <si>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</si>
  <si>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</si>
  <si>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</si>
  <si>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</si>
  <si>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</si>
  <si>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</si>
  <si>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</si>
  <si>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</si>
  <si>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</si>
  <si>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</si>
  <si>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</si>
  <si>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</si>
  <si>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</si>
  <si>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</si>
  <si>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</si>
  <si>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</si>
  <si>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</si>
  <si>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</si>
  <si>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</si>
  <si>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</si>
  <si>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</si>
  <si>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</si>
  <si>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</si>
  <si>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</si>
  <si>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</si>
  <si>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</si>
  <si>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</si>
  <si>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</si>
  <si>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</si>
  <si>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</si>
  <si>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115493, 116736, 100429, 91263, 165899, 147576, 160203, 180753, 131203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</si>
  <si>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</si>
  <si>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</si>
  <si>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</si>
  <si>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</si>
  <si>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</si>
  <si>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</si>
  <si>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</si>
  <si>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</si>
  <si>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</si>
  <si>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</si>
  <si>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</si>
  <si>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</si>
  <si>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</si>
  <si>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</si>
  <si>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</si>
  <si>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</si>
  <si>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</si>
  <si>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</si>
  <si>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</si>
  <si>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</si>
  <si>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</si>
  <si>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</si>
  <si>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</si>
  <si>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</si>
  <si>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</si>
  <si>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</si>
  <si>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</si>
  <si>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</si>
  <si>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</si>
  <si>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</si>
  <si>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</si>
  <si>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</si>
  <si>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</si>
  <si>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</si>
  <si>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</si>
  <si>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</si>
  <si>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</si>
  <si>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</si>
  <si>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</si>
  <si>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</si>
  <si>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</si>
  <si>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</si>
  <si>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</si>
  <si>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</si>
  <si>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</si>
  <si>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</si>
  <si>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</si>
  <si>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</si>
  <si>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</si>
  <si>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</si>
  <si>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</si>
  <si>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</si>
  <si>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</si>
  <si>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</si>
  <si>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</si>
  <si>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</si>
  <si>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</si>
  <si>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</si>
  <si>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</si>
  <si>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</si>
  <si>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</si>
  <si>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</si>
  <si>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</si>
  <si>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</si>
  <si>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</si>
  <si>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</si>
  <si>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</si>
  <si>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</si>
  <si>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</si>
  <si>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</si>
  <si>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</si>
  <si>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</si>
  <si>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</si>
  <si>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</si>
  <si>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</si>
  <si>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</si>
  <si>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</si>
  <si>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</si>
  <si>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</si>
  <si>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</si>
  <si>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</si>
  <si>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</si>
  <si>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</si>
  <si>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</si>
  <si>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</si>
  <si>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</si>
  <si>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</si>
  <si>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</si>
  <si>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</si>
  <si>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</si>
  <si>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</si>
  <si>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</si>
  <si>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</si>
  <si>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</si>
  <si>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</si>
  <si>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</si>
  <si>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</si>
  <si>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</si>
  <si>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</si>
  <si>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</si>
  <si>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</si>
  <si>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</si>
  <si>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</si>
  <si>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</si>
  <si>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</si>
  <si>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</si>
  <si>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</si>
  <si>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</si>
  <si>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</si>
  <si>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</si>
  <si>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</si>
  <si>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</si>
  <si>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</si>
  <si>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ROSA RAMIFICADA - flor/4</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</si>
  <si>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</si>
  <si>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</si>
  <si>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</si>
  <si>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</si>
  <si>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</si>
  <si>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</si>
  <si>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</si>
  <si>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</si>
  <si>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</si>
  <si>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</si>
  <si>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</si>
  <si>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</si>
  <si>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</si>
  <si>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</si>
  <si>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</si>
  <si>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</si>
  <si>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</si>
  <si>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</si>
  <si>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</si>
  <si>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</si>
  <si>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</si>
  <si>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</si>
  <si>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</si>
  <si>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</si>
  <si>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</si>
  <si>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</si>
  <si>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</si>
  <si>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</si>
  <si>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</si>
  <si>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</si>
  <si>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</si>
  <si>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</si>
  <si>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</si>
  <si>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</si>
  <si>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</si>
  <si>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</si>
  <si>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</si>
  <si>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</si>
  <si>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</si>
  <si>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</si>
  <si>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</si>
  <si>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</si>
  <si>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</si>
  <si>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</si>
  <si>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</si>
  <si>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</si>
  <si>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</si>
  <si>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ROSA AUSTIN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</si>
  <si>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</si>
  <si>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</si>
  <si>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</si>
  <si>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</si>
  <si>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</si>
  <si>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</si>
  <si>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</si>
  <si>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</si>
  <si>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</si>
  <si>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</si>
  <si>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</si>
  <si>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</si>
  <si>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</si>
  <si>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</si>
  <si>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</si>
  <si>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</si>
  <si>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</si>
  <si>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</si>
  <si>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</si>
  <si>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</si>
  <si>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</si>
  <si>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</si>
  <si>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</si>
  <si>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</si>
  <si>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</si>
  <si>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</si>
  <si>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</si>
  <si>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</si>
  <si>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</si>
  <si>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</si>
  <si>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</si>
  <si>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</si>
  <si>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</si>
  <si>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</si>
  <si>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</si>
  <si>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</si>
  <si>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</si>
  <si>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</si>
  <si>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</si>
  <si>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</si>
  <si>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</si>
  <si>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</si>
  <si>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</si>
  <si>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</si>
  <si>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</si>
  <si>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</si>
  <si>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</si>
  <si>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</si>
  <si>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</si>
  <si>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</si>
  <si>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</si>
  <si>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</si>
  <si>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</si>
  <si>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</si>
  <si>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</si>
  <si>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</si>
  <si>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</si>
  <si>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</si>
  <si>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</si>
  <si>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</si>
  <si>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</si>
  <si>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</si>
  <si>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</si>
  <si>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</si>
  <si>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</si>
  <si>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50, 231</t>
  </si>
  <si>
    <t>685e57c37de9a3193702eae0</t>
  </si>
  <si>
    <t>8400731</t>
  </si>
  <si>
    <t>181496</t>
  </si>
  <si>
    <t>6862e81d554948e933021327</t>
  </si>
  <si>
    <t>8400737</t>
  </si>
  <si>
    <t>MACETA ANCHA-NEGRA</t>
  </si>
  <si>
    <t>686d7fb8fddf285cfc02b2fa</t>
  </si>
  <si>
    <t>8400743</t>
  </si>
  <si>
    <t>SEDUM SPECTABILE - herbacea</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</si>
  <si>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</si>
  <si>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</si>
  <si>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</si>
  <si>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</si>
  <si>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</si>
  <si>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</si>
  <si>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</si>
  <si>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</si>
  <si>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</si>
  <si>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</si>
  <si>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</si>
  <si>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</si>
  <si>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</si>
  <si>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</si>
  <si>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</si>
  <si>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</si>
  <si>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</si>
  <si>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</si>
  <si>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</si>
  <si>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</si>
  <si>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</si>
  <si>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</si>
  <si>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</si>
  <si>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</si>
  <si>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</si>
  <si>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</si>
  <si>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</si>
  <si>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</si>
  <si>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</si>
  <si>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</si>
  <si>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</si>
  <si>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</si>
  <si>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</si>
  <si>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</si>
  <si>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</si>
  <si>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</si>
  <si>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</si>
  <si>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</si>
  <si>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</si>
  <si>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</si>
  <si>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</si>
  <si>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</si>
  <si>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</si>
  <si>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</si>
  <si>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</si>
  <si>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</si>
  <si>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</si>
  <si>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</si>
  <si>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</si>
  <si>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</si>
  <si>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</si>
  <si>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</si>
  <si>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</si>
  <si>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</si>
  <si>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</si>
  <si>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ROSA CLEMENTINA - flor</t>
  </si>
  <si>
    <t>119657</t>
  </si>
  <si>
    <t>686e649ca934502832034377</t>
  </si>
  <si>
    <t>8400728</t>
  </si>
  <si>
    <t>RS ROSA ASCOT COLOMBIA -flor</t>
  </si>
  <si>
    <t>177263, 199244</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</si>
  <si>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</si>
  <si>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</si>
  <si>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</si>
  <si>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</si>
  <si>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</si>
  <si>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</si>
  <si>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</si>
  <si>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</si>
  <si>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</si>
  <si>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</si>
  <si>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</si>
  <si>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</si>
  <si>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</si>
  <si>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</si>
  <si>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</si>
  <si>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</si>
  <si>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</si>
  <si>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</si>
  <si>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</si>
  <si>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</si>
  <si>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</si>
  <si>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</si>
  <si>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</si>
  <si>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</si>
  <si>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</si>
  <si>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</si>
  <si>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</si>
  <si>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170062, 136131</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</si>
  <si>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</si>
  <si>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</si>
  <si>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</si>
  <si>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</si>
  <si>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</si>
  <si>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</si>
  <si>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</si>
  <si>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</si>
  <si>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</si>
  <si>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</si>
  <si>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</si>
  <si>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</si>
  <si>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</si>
  <si>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</si>
  <si>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</si>
  <si>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</si>
  <si>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</si>
  <si>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</si>
  <si>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</si>
  <si>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</si>
  <si>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</si>
  <si>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</si>
  <si>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</si>
  <si>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</si>
  <si>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</si>
  <si>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</si>
  <si>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</si>
  <si>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</si>
  <si>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</si>
  <si>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</si>
  <si>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</si>
  <si>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</si>
  <si>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</si>
  <si>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</si>
  <si>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</si>
  <si>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</si>
  <si>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</si>
  <si>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</si>
  <si>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</si>
  <si>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</si>
  <si>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</si>
  <si>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</si>
  <si>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</si>
  <si>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</si>
  <si>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</si>
  <si>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</si>
  <si>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</si>
  <si>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</si>
  <si>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</si>
  <si>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</si>
  <si>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</si>
  <si>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</si>
  <si>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</si>
  <si>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</si>
  <si>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</si>
  <si>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</si>
  <si>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</si>
  <si>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</si>
  <si>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</si>
  <si>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</si>
  <si>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</si>
  <si>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</si>
  <si>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</si>
  <si>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</si>
  <si>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</si>
  <si>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</si>
  <si>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</si>
  <si>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</si>
  <si>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</si>
  <si>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</si>
  <si>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</si>
  <si>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</si>
  <si>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</si>
  <si>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</si>
  <si>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</si>
  <si>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</si>
  <si>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</si>
  <si>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</si>
  <si>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</si>
  <si>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</si>
  <si>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</si>
  <si>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</si>
  <si>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</si>
  <si>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</si>
  <si>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</si>
  <si>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</si>
  <si>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</si>
  <si>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</si>
  <si>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</si>
  <si>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</si>
  <si>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</si>
  <si>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</si>
  <si>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</si>
  <si>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</si>
  <si>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</si>
  <si>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</si>
  <si>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</si>
  <si>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</si>
  <si>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</si>
  <si>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</si>
  <si>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</si>
  <si>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</si>
  <si>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27442, 94649</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</si>
  <si>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</si>
  <si>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</si>
  <si>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</si>
  <si>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</si>
  <si>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</si>
  <si>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</si>
  <si>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</si>
  <si>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</si>
  <si>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</si>
  <si>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</si>
  <si>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</si>
  <si>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</si>
  <si>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</si>
  <si>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</si>
  <si>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</si>
  <si>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</si>
  <si>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</si>
  <si>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</si>
  <si>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</si>
  <si>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</si>
  <si>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</si>
  <si>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</si>
  <si>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</si>
  <si>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</si>
  <si>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</si>
  <si>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</si>
  <si>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</si>
  <si>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</si>
  <si>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</si>
  <si>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</si>
  <si>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</si>
  <si>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</si>
  <si>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</si>
  <si>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</si>
  <si>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</si>
  <si>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</si>
  <si>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</si>
  <si>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</si>
  <si>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</si>
  <si>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</si>
  <si>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</si>
  <si>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</si>
  <si>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</si>
  <si>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</si>
  <si>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</si>
  <si>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</si>
  <si>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</si>
  <si>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</si>
  <si>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</si>
  <si>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</si>
  <si>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</si>
  <si>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</si>
  <si>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</si>
  <si>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</si>
  <si>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</si>
  <si>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</si>
  <si>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</si>
  <si>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</si>
  <si>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</si>
  <si>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</si>
  <si>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</si>
  <si>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</si>
  <si>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</si>
  <si>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</si>
  <si>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</si>
  <si>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</si>
  <si>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</si>
  <si>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</si>
  <si>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</si>
  <si>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</si>
  <si>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</si>
  <si>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</si>
  <si>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</si>
  <si>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</si>
  <si>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</si>
  <si>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</si>
  <si>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</si>
  <si>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</si>
  <si>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</si>
  <si>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</si>
  <si>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</si>
  <si>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</si>
  <si>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</si>
  <si>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</si>
  <si>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</si>
  <si>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</si>
  <si>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</si>
  <si>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</si>
  <si>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</si>
  <si>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</si>
  <si>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</si>
  <si>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</si>
  <si>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</si>
  <si>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</si>
  <si>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</si>
  <si>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</si>
  <si>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</si>
  <si>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</si>
  <si>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</si>
  <si>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</si>
  <si>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</si>
  <si>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</si>
  <si>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</si>
  <si>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</si>
  <si>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</si>
  <si>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</si>
  <si>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</si>
  <si>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</si>
  <si>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</si>
  <si>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</si>
  <si>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</si>
  <si>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</si>
  <si>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</si>
  <si>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</si>
  <si>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</si>
  <si>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</si>
  <si>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</si>
  <si>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</si>
  <si>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</si>
  <si>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</si>
  <si>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</si>
  <si>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</si>
  <si>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</si>
  <si>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</si>
  <si>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</si>
  <si>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</si>
  <si>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</si>
  <si>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</si>
  <si>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</si>
  <si>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</si>
  <si>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</si>
  <si>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</si>
  <si>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</si>
  <si>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</si>
  <si>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</si>
  <si>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</si>
  <si>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</si>
  <si>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</si>
  <si>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</si>
  <si>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</si>
  <si>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</si>
  <si>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</si>
  <si>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</si>
  <si>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</si>
  <si>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</si>
  <si>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</si>
  <si>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</si>
  <si>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</si>
  <si>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</si>
  <si>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</si>
  <si>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</si>
  <si>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</si>
  <si>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</si>
  <si>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</si>
  <si>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</si>
  <si>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</si>
  <si>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</si>
  <si>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</si>
  <si>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</si>
  <si>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</si>
  <si>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</si>
  <si>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</si>
  <si>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</si>
  <si>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</si>
  <si>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</si>
  <si>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</si>
  <si>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</si>
  <si>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</si>
  <si>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</si>
  <si>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</si>
  <si>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</si>
  <si>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</si>
  <si>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</si>
  <si>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</si>
  <si>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</si>
  <si>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</si>
  <si>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</si>
  <si>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</si>
  <si>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</si>
  <si>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</si>
  <si>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</si>
  <si>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</si>
  <si>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</si>
  <si>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</si>
  <si>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</si>
  <si>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</si>
  <si>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</si>
  <si>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</si>
  <si>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</si>
  <si>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</si>
  <si>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</si>
  <si>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</si>
  <si>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</si>
  <si>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</si>
  <si>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</si>
  <si>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</si>
  <si>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</si>
  <si>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</si>
  <si>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</si>
  <si>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</si>
  <si>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</si>
  <si>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</si>
  <si>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</si>
  <si>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</si>
  <si>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</si>
  <si>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</si>
  <si>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</si>
  <si>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</si>
  <si>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</si>
  <si>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</si>
  <si>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</si>
  <si>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</si>
  <si>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</si>
  <si>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</si>
  <si>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</si>
  <si>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</si>
  <si>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</si>
  <si>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</si>
  <si>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</si>
  <si>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</si>
  <si>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</si>
  <si>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</si>
  <si>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</si>
  <si>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</si>
  <si>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</si>
  <si>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</si>
  <si>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</si>
  <si>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</si>
  <si>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</si>
  <si>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</si>
  <si>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</si>
  <si>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</si>
  <si>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</si>
  <si>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</si>
  <si>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</si>
  <si>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</si>
  <si>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</si>
  <si>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</si>
  <si>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</si>
  <si>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</si>
  <si>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</si>
  <si>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</si>
  <si>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</si>
  <si>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</si>
  <si>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</si>
  <si>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</si>
  <si>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</si>
  <si>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</si>
  <si>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</si>
  <si>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</si>
  <si>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</si>
  <si>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</si>
  <si>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</si>
  <si>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</si>
  <si>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</si>
  <si>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</si>
  <si>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</si>
  <si>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</si>
  <si>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</si>
  <si>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</si>
  <si>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</si>
  <si>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</si>
  <si>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</si>
  <si>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</si>
  <si>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</si>
  <si>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</si>
  <si>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</si>
  <si>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</si>
  <si>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</si>
  <si>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</si>
  <si>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</si>
  <si>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</si>
  <si>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</si>
  <si>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</si>
  <si>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</si>
  <si>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</si>
  <si>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</si>
  <si>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</si>
  <si>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</si>
  <si>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</si>
  <si>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</si>
  <si>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</si>
  <si>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</si>
  <si>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</si>
  <si>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</si>
  <si>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</si>
  <si>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</si>
  <si>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</si>
  <si>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</si>
  <si>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</si>
  <si>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</si>
  <si>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</si>
  <si>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</si>
  <si>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</si>
  <si>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</si>
  <si>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</si>
  <si>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</si>
  <si>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</si>
  <si>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</si>
  <si>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</si>
  <si>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</si>
  <si>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</si>
  <si>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</si>
  <si>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</si>
  <si>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</si>
  <si>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</si>
  <si>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</si>
  <si>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</si>
  <si>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</si>
  <si>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</si>
  <si>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</si>
  <si>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</si>
  <si>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</si>
  <si>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</si>
  <si>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</si>
  <si>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</si>
  <si>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</si>
  <si>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</si>
  <si>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</si>
  <si>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</si>
  <si>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</si>
  <si>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</si>
  <si>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</si>
  <si>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</si>
  <si>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</si>
  <si>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</si>
  <si>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</si>
  <si>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</si>
  <si>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</si>
  <si>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</si>
  <si>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</si>
  <si>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</si>
  <si>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</si>
  <si>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</si>
  <si>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</si>
  <si>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</si>
  <si>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</si>
  <si>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</si>
  <si>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</si>
  <si>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</si>
  <si>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</si>
  <si>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</si>
  <si>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</si>
  <si>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</si>
  <si>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</si>
  <si>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</si>
  <si>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</si>
  <si>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</si>
  <si>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</si>
  <si>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</si>
  <si>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</si>
  <si>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</si>
  <si>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</si>
  <si>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</si>
  <si>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</si>
  <si>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</si>
  <si>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</si>
  <si>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</si>
  <si>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</si>
  <si>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</si>
  <si>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</si>
  <si>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</si>
  <si>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</si>
  <si>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</si>
  <si>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</si>
  <si>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</si>
  <si>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</si>
  <si>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</si>
  <si>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</si>
  <si>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</si>
  <si>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</si>
  <si>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</si>
  <si>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</si>
  <si>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</si>
  <si>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</si>
  <si>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</si>
  <si>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</si>
  <si>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</si>
  <si>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</si>
  <si>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</si>
  <si>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</si>
  <si>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</si>
  <si>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</si>
  <si>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</si>
  <si>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</si>
  <si>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</si>
  <si>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</si>
  <si>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</si>
  <si>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</si>
  <si>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</si>
  <si>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</si>
  <si>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</si>
  <si>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</si>
  <si>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</si>
  <si>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</si>
  <si>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</si>
  <si>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</si>
  <si>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</si>
  <si>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</si>
  <si>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</si>
  <si>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</si>
  <si>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</si>
  <si>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</si>
  <si>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</si>
  <si>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</si>
  <si>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</si>
  <si>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</si>
  <si>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</si>
  <si>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</si>
  <si>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</si>
  <si>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</si>
  <si>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</si>
  <si>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</si>
  <si>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</si>
  <si>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</si>
  <si>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</si>
  <si>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</si>
  <si>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</si>
  <si>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</si>
  <si>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</si>
  <si>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</si>
  <si>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</si>
  <si>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</si>
  <si>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</si>
  <si>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</si>
  <si>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</si>
  <si>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</si>
  <si>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</si>
  <si>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</si>
  <si>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</si>
  <si>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</si>
  <si>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</si>
  <si>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</si>
  <si>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</si>
  <si>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</si>
  <si>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</si>
  <si>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</si>
  <si>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94226, 196311</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</si>
  <si>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</si>
  <si>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</si>
  <si>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</si>
  <si>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</si>
  <si>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</si>
  <si>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</si>
  <si>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</si>
  <si>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</si>
  <si>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</si>
  <si>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</si>
  <si>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</si>
  <si>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</si>
  <si>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</si>
  <si>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</si>
  <si>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</si>
  <si>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</si>
  <si>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</si>
  <si>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</si>
  <si>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</si>
  <si>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</si>
  <si>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</si>
  <si>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</si>
  <si>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</si>
  <si>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</si>
  <si>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</si>
  <si>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</si>
  <si>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</si>
  <si>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</si>
  <si>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</si>
  <si>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</si>
  <si>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</si>
  <si>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</si>
  <si>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</si>
  <si>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</si>
  <si>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</si>
  <si>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</si>
  <si>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</si>
  <si>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</si>
  <si>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</si>
  <si>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</si>
  <si>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</si>
  <si>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</si>
  <si>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</si>
  <si>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</si>
  <si>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</si>
  <si>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</si>
  <si>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</si>
  <si>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</si>
  <si>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</si>
  <si>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</si>
  <si>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</si>
  <si>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</si>
  <si>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</si>
  <si>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</si>
  <si>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</si>
  <si>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</si>
  <si>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</si>
  <si>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</si>
  <si>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</si>
  <si>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</si>
  <si>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</si>
  <si>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</si>
  <si>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</si>
  <si>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</si>
  <si>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</si>
  <si>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</si>
  <si>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</si>
  <si>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</si>
  <si>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</si>
  <si>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</si>
  <si>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</si>
  <si>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</si>
  <si>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</si>
  <si>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</si>
  <si>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</si>
  <si>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</si>
  <si>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</si>
  <si>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</si>
  <si>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</si>
  <si>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</si>
  <si>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</si>
  <si>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</si>
  <si>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</si>
  <si>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</si>
  <si>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</si>
  <si>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</si>
  <si>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</si>
  <si>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</si>
  <si>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</si>
  <si>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</si>
  <si>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</si>
  <si>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</si>
  <si>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</si>
  <si>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</si>
  <si>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</si>
  <si>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</si>
  <si>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</si>
  <si>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</si>
  <si>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</si>
  <si>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</si>
  <si>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</si>
  <si>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</si>
  <si>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</si>
  <si>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</si>
  <si>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</si>
  <si>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</si>
  <si>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</si>
  <si>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</si>
  <si>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</si>
  <si>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</si>
  <si>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</si>
  <si>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</si>
  <si>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</si>
  <si>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</si>
  <si>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</si>
  <si>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</si>
  <si>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</si>
  <si>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</si>
  <si>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</si>
  <si>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</si>
  <si>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</si>
  <si>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</si>
  <si>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</si>
  <si>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</si>
  <si>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</si>
  <si>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</si>
  <si>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</si>
  <si>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</si>
  <si>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</si>
  <si>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</si>
  <si>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</si>
  <si>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</si>
  <si>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</si>
  <si>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</si>
  <si>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</si>
  <si>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</si>
  <si>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</si>
  <si>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</si>
  <si>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</si>
  <si>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</si>
  <si>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</si>
  <si>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</si>
  <si>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</si>
  <si>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</si>
  <si>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</si>
  <si>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</si>
  <si>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</si>
  <si>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</si>
  <si>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</si>
  <si>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</si>
  <si>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</si>
  <si>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</si>
  <si>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</si>
  <si>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</si>
  <si>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</si>
  <si>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</si>
  <si>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</si>
  <si>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</si>
  <si>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</si>
  <si>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</si>
  <si>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</si>
  <si>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</si>
  <si>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</si>
  <si>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</si>
  <si>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</si>
  <si>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</si>
  <si>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</si>
  <si>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</si>
  <si>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</si>
  <si>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</si>
  <si>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</si>
  <si>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</si>
  <si>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</si>
  <si>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</si>
  <si>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</si>
  <si>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</si>
  <si>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</si>
  <si>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</si>
  <si>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</si>
  <si>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</si>
  <si>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</si>
  <si>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</si>
  <si>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</si>
  <si>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</si>
  <si>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</si>
  <si>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</si>
  <si>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</si>
  <si>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</si>
  <si>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</si>
  <si>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</si>
  <si>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</si>
  <si>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</si>
  <si>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</si>
  <si>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</si>
  <si>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</si>
  <si>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</si>
  <si>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</si>
  <si>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</si>
  <si>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</si>
  <si>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</si>
  <si>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</si>
  <si>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</si>
  <si>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</si>
  <si>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</si>
  <si>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</si>
  <si>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</si>
  <si>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</si>
  <si>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</si>
  <si>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</si>
  <si>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</si>
  <si>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</si>
  <si>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</si>
  <si>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</si>
  <si>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</si>
  <si>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</si>
  <si>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</si>
  <si>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</si>
  <si>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</si>
  <si>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</si>
  <si>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</si>
  <si>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</si>
  <si>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</si>
  <si>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</si>
  <si>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</si>
  <si>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</si>
  <si>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</si>
  <si>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</si>
  <si>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</si>
  <si>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</si>
  <si>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</si>
  <si>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</si>
  <si>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</si>
  <si>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</si>
  <si>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</si>
  <si>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</si>
  <si>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</si>
  <si>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</si>
  <si>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</si>
  <si>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</si>
  <si>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</si>
  <si>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</si>
  <si>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</si>
  <si>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</si>
  <si>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</si>
  <si>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</si>
  <si>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</si>
  <si>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</si>
  <si>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</si>
  <si>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</si>
  <si>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</si>
  <si>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</si>
  <si>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</si>
  <si>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</si>
  <si>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</si>
  <si>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</si>
  <si>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</si>
  <si>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</si>
  <si>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</si>
  <si>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</si>
  <si>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</si>
  <si>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</si>
  <si>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</si>
  <si>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</si>
  <si>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</si>
  <si>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</si>
  <si>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</si>
  <si>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</si>
  <si>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</si>
  <si>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</si>
  <si>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</si>
  <si>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</si>
  <si>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</si>
  <si>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</si>
  <si>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</si>
  <si>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</si>
  <si>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</si>
  <si>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</si>
  <si>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</si>
  <si>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</si>
  <si>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</si>
  <si>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</si>
  <si>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</si>
  <si>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</si>
  <si>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</si>
  <si>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</si>
  <si>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</si>
  <si>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</si>
  <si>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</si>
  <si>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</si>
  <si>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</si>
  <si>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</si>
  <si>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</si>
  <si>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</si>
  <si>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</si>
  <si>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</si>
  <si>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</si>
  <si>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</si>
  <si>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</si>
  <si>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</si>
  <si>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</si>
  <si>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</si>
  <si>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</si>
  <si>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</si>
  <si>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</si>
  <si>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</si>
  <si>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</si>
  <si>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</si>
  <si>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</si>
  <si>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</si>
  <si>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</si>
  <si>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</si>
  <si>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</si>
  <si>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</si>
  <si>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</si>
  <si>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</si>
  <si>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</si>
  <si>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</si>
  <si>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</si>
  <si>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</si>
  <si>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</si>
  <si>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</si>
  <si>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</si>
  <si>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</si>
  <si>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</si>
  <si>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</si>
  <si>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</si>
  <si>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</si>
  <si>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</si>
  <si>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</si>
  <si>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</si>
  <si>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</si>
  <si>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</si>
  <si>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</si>
  <si>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</si>
  <si>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</si>
  <si>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</si>
  <si>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</si>
  <si>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</si>
  <si>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</si>
  <si>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</si>
  <si>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</si>
  <si>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</si>
  <si>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</si>
  <si>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</si>
  <si>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</si>
  <si>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</si>
  <si>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</si>
  <si>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</si>
  <si>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</si>
  <si>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</si>
  <si>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</si>
  <si>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</si>
  <si>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</si>
  <si>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</si>
  <si>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</si>
  <si>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</si>
  <si>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</si>
  <si>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</si>
  <si>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</si>
  <si>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</si>
  <si>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</si>
  <si>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</si>
  <si>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</si>
  <si>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</si>
  <si>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</si>
  <si>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</si>
  <si>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ESPONJA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</si>
  <si>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</si>
  <si>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</si>
  <si>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</si>
  <si>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</si>
  <si>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</si>
  <si>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</si>
  <si>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</si>
  <si>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</si>
  <si>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</si>
  <si>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</si>
  <si>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</si>
  <si>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</si>
  <si>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</si>
  <si>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</si>
  <si>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</si>
  <si>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</si>
  <si>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</si>
  <si>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</si>
  <si>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</si>
  <si>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</si>
  <si>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</si>
  <si>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</si>
  <si>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</si>
  <si>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</si>
  <si>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</si>
  <si>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</si>
  <si>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</si>
  <si>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</si>
  <si>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</si>
  <si>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</si>
  <si>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</si>
  <si>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</si>
  <si>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</si>
  <si>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</si>
  <si>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</si>
  <si>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</si>
  <si>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</si>
  <si>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</si>
  <si>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</si>
  <si>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</si>
  <si>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</si>
  <si>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</si>
  <si>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</si>
  <si>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</si>
  <si>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</si>
  <si>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</si>
  <si>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</si>
  <si>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</si>
  <si>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</si>
  <si>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</si>
  <si>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</si>
  <si>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</si>
  <si>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</si>
  <si>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</si>
  <si>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</si>
  <si>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</si>
  <si>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</si>
  <si>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</si>
  <si>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</si>
  <si>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</si>
  <si>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</si>
  <si>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</si>
  <si>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</si>
  <si>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</si>
  <si>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</si>
  <si>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</si>
  <si>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</si>
  <si>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</si>
  <si>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</si>
  <si>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</si>
  <si>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</si>
  <si>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</si>
  <si>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</si>
  <si>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</si>
  <si>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</si>
  <si>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</si>
  <si>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</si>
  <si>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</si>
  <si>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</si>
  <si>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</si>
  <si>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</si>
  <si>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</si>
  <si>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</si>
  <si>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</si>
  <si>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</si>
  <si>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</si>
  <si>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</si>
  <si>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</si>
  <si>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</si>
  <si>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</si>
  <si>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</si>
  <si>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</si>
  <si>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</si>
  <si>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</si>
  <si>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</si>
  <si>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</si>
  <si>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</si>
  <si>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</si>
  <si>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</si>
  <si>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</si>
  <si>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</si>
  <si>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</si>
  <si>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</si>
  <si>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</si>
  <si>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</si>
  <si>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</si>
  <si>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</si>
  <si>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</si>
  <si>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</si>
  <si>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</si>
  <si>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13627, 43718, 101025</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</si>
  <si>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</si>
  <si>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</si>
  <si>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</si>
  <si>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</si>
  <si>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</si>
  <si>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</si>
  <si>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</si>
  <si>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</si>
  <si>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</si>
  <si>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</si>
  <si>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</si>
  <si>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</si>
  <si>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</si>
  <si>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</si>
  <si>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</si>
  <si>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</si>
  <si>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</si>
  <si>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</si>
  <si>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</si>
  <si>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</si>
  <si>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</si>
  <si>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</si>
  <si>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</si>
  <si>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</si>
  <si>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</si>
  <si>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</si>
  <si>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</si>
  <si>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</si>
  <si>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</si>
  <si>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</si>
  <si>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</si>
  <si>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</si>
  <si>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</si>
  <si>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</si>
  <si>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</si>
  <si>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</si>
  <si>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</si>
  <si>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</si>
  <si>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</si>
  <si>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</si>
  <si>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</si>
  <si>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</si>
  <si>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</si>
  <si>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</si>
  <si>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</si>
  <si>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</si>
  <si>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</si>
  <si>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</si>
  <si>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</si>
  <si>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</si>
  <si>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</si>
  <si>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TULIPAN TRESOR - flor/3</t>
  </si>
  <si>
    <t>196008, 33691, 21732, 32023</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</si>
  <si>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</si>
  <si>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</si>
  <si>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</si>
  <si>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</si>
  <si>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</si>
  <si>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</si>
  <si>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</si>
  <si>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</si>
  <si>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</si>
  <si>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</si>
  <si>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</si>
  <si>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</si>
  <si>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</si>
  <si>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</si>
  <si>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</si>
  <si>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</si>
  <si>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</si>
  <si>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</si>
  <si>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</si>
  <si>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</si>
  <si>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</si>
  <si>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</si>
  <si>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</si>
  <si>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</si>
  <si>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</si>
  <si>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</si>
  <si>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</si>
  <si>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</si>
  <si>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</si>
  <si>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</si>
  <si>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</si>
  <si>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</si>
  <si>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</si>
  <si>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</si>
  <si>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</si>
  <si>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</si>
  <si>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</si>
  <si>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</si>
  <si>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</si>
  <si>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</si>
  <si>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69775e3c405bfb5557085d4c</t>
  </si>
  <si>
    <t>84001045</t>
  </si>
  <si>
    <t>ROSA PINK EXPRESSION - flor</t>
  </si>
  <si>
    <t>69775e93a6f9d0251102822e</t>
  </si>
  <si>
    <t>84001046</t>
  </si>
  <si>
    <t>ROSA MAI TAI - flor</t>
  </si>
  <si>
    <t>69775f64817b09598a0cafe2</t>
  </si>
  <si>
    <t>84001047</t>
  </si>
  <si>
    <t>RISA GRAVITY - flor</t>
  </si>
  <si>
    <t>697760f148b48290f50d5c6a</t>
  </si>
  <si>
    <t>84001048</t>
  </si>
  <si>
    <t>GREVILLEA SPIDERMAN - rama</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</si>
  <si>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</si>
  <si>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</si>
  <si>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</si>
  <si>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</si>
  <si>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</si>
  <si>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</si>
  <si>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</si>
  <si>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</si>
  <si>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</si>
  <si>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</si>
  <si>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</si>
  <si>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</si>
  <si>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</si>
  <si>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</si>
  <si>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ROSA AQUA - flor</t>
  </si>
  <si>
    <t>69809eae093b9fb44207d6a0</t>
  </si>
  <si>
    <t>84001053</t>
  </si>
  <si>
    <t>ROSA SACRED - flor</t>
  </si>
  <si>
    <t>6980aa2cfe0579ad16050925</t>
  </si>
  <si>
    <t>84001054</t>
  </si>
  <si>
    <t>ROSA VERONA - flor</t>
  </si>
  <si>
    <t>6980acb38211c8a93c0b7ac9</t>
  </si>
  <si>
    <t>84001055</t>
  </si>
  <si>
    <t>SERRURIA - flor</t>
  </si>
  <si>
    <t>698a3720621ba5273d052bb6</t>
  </si>
  <si>
    <t>84001056</t>
  </si>
  <si>
    <t>ROSA SWEET UNIQUE - flor</t>
  </si>
  <si>
    <t>177182</t>
  </si>
  <si>
    <t>698a420b96e4facf0b00cc0b</t>
  </si>
  <si>
    <t>84001057</t>
  </si>
  <si>
    <t>ROSA RAMIFICADA SHOW FLOW - flor</t>
  </si>
  <si>
    <t>174440</t>
  </si>
  <si>
    <t>698c4cb0ebaa315ab302b39e</t>
  </si>
  <si>
    <t>84001058</t>
  </si>
  <si>
    <t>TULIPÁN - SANT VALENTÍN /3</t>
  </si>
  <si>
    <t>69946e2420ac36ebfe0dfc48</t>
  </si>
  <si>
    <t>84001059</t>
  </si>
  <si>
    <t>CYMBIDIUM - planta/42</t>
  </si>
  <si>
    <t>192766</t>
  </si>
  <si>
    <t>69946f34a196d513f40f877c</t>
  </si>
  <si>
    <t>84001060</t>
  </si>
  <si>
    <t>ANANAS - planta T12/25</t>
  </si>
  <si>
    <t>192630</t>
  </si>
  <si>
    <t>699470b2c401b279d90aa887</t>
  </si>
  <si>
    <t>84001061</t>
  </si>
  <si>
    <t>CYMBIDIUM - planta/50</t>
  </si>
  <si>
    <t>176274</t>
  </si>
  <si>
    <t>699471b5d84760050d082719</t>
  </si>
  <si>
    <t>84001062</t>
  </si>
  <si>
    <t>ROSA RAMIFICADA - ginger milagro</t>
  </si>
  <si>
    <t>132909</t>
  </si>
  <si>
    <t>6994727545bdf95beb0c263a</t>
  </si>
  <si>
    <t>84001063</t>
  </si>
  <si>
    <t>ROSA RAMIFICADA - mambo minar, Orange</t>
  </si>
  <si>
    <t>138288</t>
  </si>
  <si>
    <t>69947327a72fba54360ca9ab</t>
  </si>
  <si>
    <t>84001064</t>
  </si>
  <si>
    <t>ROSA RAMIFICADA - wedding</t>
  </si>
  <si>
    <t>124496</t>
  </si>
  <si>
    <t>699473cf56b5c6dee8082d17</t>
  </si>
  <si>
    <t>84001065</t>
  </si>
  <si>
    <t>ROSA RAMIFICADA- Silva pink</t>
  </si>
  <si>
    <t>177708</t>
  </si>
  <si>
    <t>69947479ce99e66cd602b5c8</t>
  </si>
  <si>
    <t>84001066</t>
  </si>
  <si>
    <t>ROSA RAMIFICADA- azore</t>
  </si>
  <si>
    <t>60735</t>
  </si>
  <si>
    <t>69947e1914de4dcdda090c03</t>
  </si>
  <si>
    <t>84001067</t>
  </si>
  <si>
    <t>ROSA RAMIFICADA- gen star</t>
  </si>
  <si>
    <t>160935</t>
  </si>
  <si>
    <t>69947e91baabea67c4097035</t>
  </si>
  <si>
    <t>84001068</t>
  </si>
  <si>
    <t>ROSA RAMIFICADA- ve loving</t>
  </si>
  <si>
    <t>130199</t>
  </si>
  <si>
    <t>6994a6a01a3d3c8ca0019e12</t>
  </si>
  <si>
    <t>84001069</t>
  </si>
  <si>
    <t>ROSA SANTA DOROTEA - flor</t>
  </si>
  <si>
    <t>141406</t>
  </si>
  <si>
    <t>6994a8b99c3ee8b0c305ce7d</t>
  </si>
  <si>
    <t>84001070</t>
  </si>
  <si>
    <t>ROSA RAMIFICADA - sweet gelato Sian</t>
  </si>
  <si>
    <t>194894</t>
  </si>
  <si>
    <t>6994ac267d166aa2a401bc52</t>
  </si>
  <si>
    <t>84001071</t>
  </si>
  <si>
    <t>THLASPI - rama</t>
  </si>
  <si>
    <t>192073</t>
  </si>
  <si>
    <t>699d9beca671733c560f526e</t>
  </si>
  <si>
    <t>84001072</t>
  </si>
  <si>
    <t>ROSA RAMIFICADA- Galaxi</t>
  </si>
  <si>
    <t>143928</t>
  </si>
  <si>
    <t>69a55f1ff1c49fcf0503d495</t>
  </si>
  <si>
    <t>84001073</t>
  </si>
  <si>
    <t>NARCISO - planta T21</t>
  </si>
  <si>
    <t>69a55f6b9ee020b5340ea37e</t>
  </si>
  <si>
    <t>84001074</t>
  </si>
  <si>
    <t>NARCISO - planta T29</t>
  </si>
  <si>
    <t>69a5605fa26bcf2fd306095b</t>
  </si>
  <si>
    <t>84001075</t>
  </si>
  <si>
    <t>ROSA APPLE JACK - flor</t>
  </si>
  <si>
    <t>69a5622efbe3eb0f6f09dffb</t>
  </si>
  <si>
    <t>84001076</t>
  </si>
  <si>
    <t>69a56316613b7d806e04c975</t>
  </si>
  <si>
    <t>84001077</t>
  </si>
  <si>
    <t>ROSA HARLEQUIN- flor</t>
  </si>
  <si>
    <t>69a56d18501f2ef6240d5fd9</t>
  </si>
  <si>
    <t>84001078</t>
  </si>
  <si>
    <t>69a56de9056ebbeae502c65a</t>
  </si>
  <si>
    <t>84001079</t>
  </si>
  <si>
    <t>ROSA ROSEBERRY - flor</t>
  </si>
  <si>
    <t>69a56e9925725ab95d0f4057</t>
  </si>
  <si>
    <t>84001080</t>
  </si>
  <si>
    <t>TULIPAN DO DRUMLINE - flor</t>
  </si>
  <si>
    <t>69a5774792028b86c10e7dc0</t>
  </si>
  <si>
    <t>84001081</t>
  </si>
  <si>
    <t>69a5a1b4722aecb34f099f50</t>
  </si>
  <si>
    <t>84001082</t>
  </si>
  <si>
    <t>ROSA MAYFIELD- flor</t>
  </si>
  <si>
    <t>69a6d1b4a3d97d010207c787</t>
  </si>
  <si>
    <t>84001083</t>
  </si>
  <si>
    <t>MUSCARI ARMENIACUM - planta/5</t>
  </si>
  <si>
    <t>29764</t>
  </si>
  <si>
    <t>69a6f41a8358437aaf0b97e5</t>
  </si>
  <si>
    <t>84001085</t>
  </si>
  <si>
    <t>ASPIDISTA VÍA LÁCTEA - hoja</t>
  </si>
  <si>
    <t>70200</t>
  </si>
  <si>
    <t>69aab56af0d8d4cdd40c504b</t>
  </si>
  <si>
    <t>84001086</t>
  </si>
  <si>
    <t>DRACENA - plant/78</t>
  </si>
  <si>
    <t>160486</t>
  </si>
  <si>
    <t>69b014092aeb43c522007714</t>
  </si>
  <si>
    <t>84001088</t>
  </si>
  <si>
    <t>CITRUS MICROCARPA - planta/26</t>
  </si>
  <si>
    <t>45182</t>
  </si>
  <si>
    <t>69b014aa69a01d25660c8e21</t>
  </si>
  <si>
    <t>84001089</t>
  </si>
  <si>
    <t>JARRON CAJA - consumibles</t>
  </si>
  <si>
    <t>38677</t>
  </si>
  <si>
    <t>69b17b34a02b3b33f605bb86</t>
  </si>
  <si>
    <t>84001090</t>
  </si>
  <si>
    <t>CILINDRO 25x10</t>
  </si>
  <si>
    <t>102170</t>
  </si>
  <si>
    <t>69b17bbdd98cbcb752058ff5</t>
  </si>
  <si>
    <t>84001091</t>
  </si>
  <si>
    <t>CILINDRO 40x12.5</t>
  </si>
  <si>
    <t>165744</t>
  </si>
  <si>
    <t>69b17ca41ebd6cc62e00555d</t>
  </si>
  <si>
    <t>84001092</t>
  </si>
  <si>
    <t>VASO 9x8</t>
  </si>
  <si>
    <t>165786</t>
  </si>
  <si>
    <t>69b17dd5fdb594a6e4017f12</t>
  </si>
  <si>
    <t>84001093</t>
  </si>
  <si>
    <t>VIOLETERO PROBETA 40x8</t>
  </si>
  <si>
    <t>102414</t>
  </si>
  <si>
    <t>69b17e6bd20bd786080aa184</t>
  </si>
  <si>
    <t>84001094</t>
  </si>
  <si>
    <t>VIOLETERO PROBETA 30x8</t>
  </si>
  <si>
    <t>102480</t>
  </si>
  <si>
    <t>69b18b98ed75ea04ca065169</t>
  </si>
  <si>
    <t>84001095</t>
  </si>
  <si>
    <t>CILINDRO 30x12</t>
  </si>
  <si>
    <t>102261</t>
  </si>
  <si>
    <t>69b2a002159f2a9d13062133</t>
  </si>
  <si>
    <t>84001096</t>
  </si>
  <si>
    <t>JARRON ROUGH CEMENT Set/2 27cm</t>
  </si>
  <si>
    <t>522721</t>
  </si>
  <si>
    <t>69b2a40c632420d6d0034797</t>
  </si>
  <si>
    <t>84001097</t>
  </si>
  <si>
    <t>JARRON ROUGH CEMENT Set/3 27cm</t>
  </si>
  <si>
    <t>522713</t>
  </si>
  <si>
    <t>69b2a4b8fc0a1f35df027b59</t>
  </si>
  <si>
    <t>84001098</t>
  </si>
  <si>
    <t>JARRON ROUGH CEMENT LEXA Set/2 29cm</t>
  </si>
  <si>
    <t>522715</t>
  </si>
  <si>
    <t>69b2a6b7e6888e68420232d6</t>
  </si>
  <si>
    <t>84001099</t>
  </si>
  <si>
    <t>JARRON ROUGH CEMENTO Set/2 30cm</t>
  </si>
  <si>
    <t>522725</t>
  </si>
  <si>
    <t>69b2a7fd74a39d26c907f4ba</t>
  </si>
  <si>
    <t>84001100</t>
  </si>
  <si>
    <t>JARRON BOWL EASYSTONE S/2</t>
  </si>
  <si>
    <t>542983</t>
  </si>
  <si>
    <t>69b2a8d68adbc117e2029c37</t>
  </si>
  <si>
    <t>84001101</t>
  </si>
  <si>
    <t>JARRON BOWL EASYSTONE Set/3 27,5cm</t>
  </si>
  <si>
    <t>542982</t>
  </si>
  <si>
    <t>69b2ad01693aad6f6d0db31a</t>
  </si>
  <si>
    <t>84001102</t>
  </si>
  <si>
    <t>JARRON SCHALE XO EASYSTONE S/2</t>
  </si>
  <si>
    <t>542991</t>
  </si>
  <si>
    <t>69b2ad83a7d44216e8050edd</t>
  </si>
  <si>
    <t>84001103</t>
  </si>
  <si>
    <t>JARRON MONROE TEAL 13cm</t>
  </si>
  <si>
    <t>559237</t>
  </si>
  <si>
    <t>69b2ae02173838756e0344df</t>
  </si>
  <si>
    <t>84001104</t>
  </si>
  <si>
    <t>JARRON MONROE TEAL 15cm</t>
  </si>
  <si>
    <t>559238</t>
  </si>
  <si>
    <t>69b2ae762957b821280f4719</t>
  </si>
  <si>
    <t>84001105</t>
  </si>
  <si>
    <t>LARRON MONROE TEAL 18,5cm</t>
  </si>
  <si>
    <t>69b2b14c5740f49b1004e18b</t>
  </si>
  <si>
    <t>84001106</t>
  </si>
  <si>
    <t>JARRON ROSALBA MOCCA SPOTS 21cm</t>
  </si>
  <si>
    <t>69b2b2c17dc64a59a60ac3af</t>
  </si>
  <si>
    <t>84001107</t>
  </si>
  <si>
    <t>JARRON ROSALBA MACCO SPOTS 22,5cm</t>
  </si>
  <si>
    <t>575322</t>
  </si>
  <si>
    <t>69b2bb4748bcc9c2ac02b2e8</t>
  </si>
  <si>
    <t>84001109</t>
  </si>
  <si>
    <t>JARRON LAVANDA 20,5cm</t>
  </si>
  <si>
    <t>69b2bddb81bb1394d40e3c11</t>
  </si>
  <si>
    <t>84001110</t>
  </si>
  <si>
    <t>JARRÓN DEKO-VASE LANVIA 19,5cm</t>
  </si>
  <si>
    <t>69b2bf8347cc9ef2f30ee74a</t>
  </si>
  <si>
    <t>84001111</t>
  </si>
  <si>
    <t>JARRON ROSCOE ANTIK 31cm</t>
  </si>
  <si>
    <t>591039</t>
  </si>
  <si>
    <t>69b2cd74aa192177ce0fbdbd</t>
  </si>
  <si>
    <t>84001112</t>
  </si>
  <si>
    <t>JARRON ROUGH CEMENT Set/3 20,5cm</t>
  </si>
  <si>
    <t>69b2ce4a14c3f0c9980a5758</t>
  </si>
  <si>
    <t>84001113</t>
  </si>
  <si>
    <t>JARRON ROUGH CEMENT Set/3 14,5cm</t>
  </si>
  <si>
    <t>69b2d0c019108cee3f071185</t>
  </si>
  <si>
    <t>84001114</t>
  </si>
  <si>
    <t>JARRON ROUGH CEMENT Set/2 40cm</t>
  </si>
  <si>
    <t>69b2d2c85246f81b4e08bcce</t>
  </si>
  <si>
    <t>84001115</t>
  </si>
  <si>
    <t>JARRON ROUGH CEMENT LEXA Set/2 37cm</t>
  </si>
  <si>
    <t>69b2d497781dd1f165055a20</t>
  </si>
  <si>
    <t>84001116</t>
  </si>
  <si>
    <t>JARRON ROUGH CEMENTO Set/2 45cm</t>
  </si>
  <si>
    <t>69b2d8dd2d9f401423006560</t>
  </si>
  <si>
    <t>84001117</t>
  </si>
  <si>
    <t>JARRON BOWL EASYSTONE Set/3 21cm</t>
  </si>
  <si>
    <t>69b2e9177d6694e6c20de7a7</t>
  </si>
  <si>
    <t>84001118</t>
  </si>
  <si>
    <t>JARRON BOWL EASYSTONE Set/2 15,5cm</t>
  </si>
  <si>
    <t>69b40ed53d238810560c2cfa</t>
  </si>
  <si>
    <t>84001119</t>
  </si>
  <si>
    <t>DRACENA FRAG DORADO - planta/24</t>
  </si>
  <si>
    <t>69b43a23a598985984021a75</t>
  </si>
  <si>
    <t>84001120</t>
  </si>
  <si>
    <t>DRACENA FRAG</t>
  </si>
  <si>
    <t>113981</t>
  </si>
  <si>
    <t>69b43aefc1b823f7130bf928</t>
  </si>
  <si>
    <t>84001121</t>
  </si>
  <si>
    <t>FICUS ELAS OTHER - planta/9</t>
  </si>
  <si>
    <t>69b43b5d72951874d104e143</t>
  </si>
  <si>
    <t>84001122</t>
  </si>
  <si>
    <t>FICUS BENJ GREEN KINKY - planta/12</t>
  </si>
  <si>
    <t>196004</t>
  </si>
  <si>
    <t>69b43cb44d01c439d508db10</t>
  </si>
  <si>
    <t>84001123</t>
  </si>
  <si>
    <t>DRACENA FRAG - planta/9</t>
  </si>
  <si>
    <t>69b806fda599dd16850b9cd1</t>
  </si>
  <si>
    <t>84001124</t>
  </si>
  <si>
    <t>ROSA ATHENA ROYALE - flor</t>
  </si>
  <si>
    <t>69b9923409a86644ff04e482</t>
  </si>
  <si>
    <t>84001125</t>
  </si>
  <si>
    <t>ROSA PINK PUMA - flor</t>
  </si>
  <si>
    <t>197714</t>
  </si>
  <si>
    <t>69babfb768f65409e50e1a77</t>
  </si>
  <si>
    <t>84001128</t>
  </si>
  <si>
    <t>JARRÓN BOWL EASYSTONE Set/3 15,5cm</t>
  </si>
  <si>
    <t>69bac3c6a36efa434f0b9910</t>
  </si>
  <si>
    <t>84001129</t>
  </si>
  <si>
    <t>JARRON XO EASYSTONE OLIVE-GREY-WASH Set/2</t>
  </si>
  <si>
    <t>69bac4a91dd282dbb606786f</t>
  </si>
  <si>
    <t>84001130</t>
  </si>
  <si>
    <t>69bacb988614a4826f07b6be</t>
  </si>
  <si>
    <t>84001131</t>
  </si>
  <si>
    <t>JARRON SPUN BLACK AQUA 12,5cm</t>
  </si>
  <si>
    <t>595172</t>
  </si>
  <si>
    <t>69bacc1ac821815e2f0f712c</t>
  </si>
  <si>
    <t>84001132</t>
  </si>
  <si>
    <t>JARRON SPUN BLACK AQUA 10,5cm</t>
  </si>
  <si>
    <t>595171</t>
  </si>
  <si>
    <t>69bacd62224a2c03b00fa7c1</t>
  </si>
  <si>
    <t>84001133</t>
  </si>
  <si>
    <t>JARRON MASSA DARK BERRY 25cm</t>
  </si>
  <si>
    <t>848675</t>
  </si>
  <si>
    <t>69bacddc855540fd180c988b</t>
  </si>
  <si>
    <t>84001134</t>
  </si>
  <si>
    <t>JARRON MASSA GREY METALLIC 16cm</t>
  </si>
  <si>
    <t>848815</t>
  </si>
  <si>
    <t>69c3b3177e3a8f32ea099677</t>
  </si>
  <si>
    <t>84001135</t>
  </si>
  <si>
    <t>ROSA SWEET TACAZI - flor</t>
  </si>
  <si>
    <t>199203</t>
  </si>
  <si>
    <t>69c3b9011b02cd7d02006691</t>
  </si>
  <si>
    <t>84001136</t>
  </si>
  <si>
    <t>JACINTOS MIX CRISTAL - planta</t>
  </si>
  <si>
    <t>198092</t>
  </si>
  <si>
    <t>69c3bcdf2398cc370e038867</t>
  </si>
  <si>
    <t>84001137</t>
  </si>
  <si>
    <t>FICUS BONSAI GINSENG (con maceta cerámica) - planta</t>
  </si>
  <si>
    <t>198378</t>
  </si>
  <si>
    <t>69c3ed478942607301019ed1</t>
  </si>
  <si>
    <t>84001138</t>
  </si>
  <si>
    <t>PALMA BEBÉ 190 cm</t>
  </si>
  <si>
    <t>47055</t>
  </si>
  <si>
    <t>69c3edcb51ec9f5f440a0d01</t>
  </si>
  <si>
    <t>84001139</t>
  </si>
  <si>
    <t>PALMA BEBE 12 cm</t>
  </si>
  <si>
    <t>144122, 144119, 39500, 67658, 39076</t>
  </si>
  <si>
    <t>69c3f4dc5a2a5f71e50ecdcd</t>
  </si>
  <si>
    <t>84001140</t>
  </si>
  <si>
    <t>PALMA BEBE 25 cm</t>
  </si>
  <si>
    <t>108279, 108280</t>
  </si>
  <si>
    <t>69c3f6aba5e6c547eb0f5a17</t>
  </si>
  <si>
    <t>84001141</t>
  </si>
  <si>
    <t>PSLMA BEBÉ 100 cm</t>
  </si>
  <si>
    <t>159764</t>
  </si>
  <si>
    <t>69c50099b36d9fc0220fee65</t>
  </si>
  <si>
    <t>84001142</t>
  </si>
  <si>
    <t>ALOE VERA - planta/14</t>
  </si>
  <si>
    <t>33313</t>
  </si>
  <si>
    <t>69c50132ecc58c7b700098d1</t>
  </si>
  <si>
    <t>84001143</t>
  </si>
  <si>
    <t>ARALIA JAPONICA - planta/18</t>
  </si>
  <si>
    <t>197769</t>
  </si>
  <si>
    <t>69c504750fee7be4ac072f26</t>
  </si>
  <si>
    <t>84001144</t>
  </si>
  <si>
    <t>REGALITO</t>
  </si>
  <si>
    <t>69c50864b3896081e70c66ac</t>
  </si>
  <si>
    <t>84001145</t>
  </si>
  <si>
    <t>FUCIS BENGHALENSIS - planta/267</t>
  </si>
  <si>
    <t>198856</t>
  </si>
  <si>
    <t>69c517456a3e9b4ff9098d55</t>
  </si>
  <si>
    <t>84001146</t>
  </si>
  <si>
    <t>PALMA BEBE (1u/2, set 3u/5)</t>
  </si>
  <si>
    <t>144122 144119</t>
  </si>
  <si>
    <t>69c528d7bc04e930bc041a51</t>
  </si>
  <si>
    <t>84001147</t>
  </si>
  <si>
    <t>PALMA BEBE 150cm</t>
  </si>
  <si>
    <t>69c5303aceeed97c3309f10a</t>
  </si>
  <si>
    <t>84001148</t>
  </si>
  <si>
    <t>PALMA BEBE 14cm</t>
  </si>
  <si>
    <t>67658</t>
  </si>
  <si>
    <t>69c532221c533b994b0ea325</t>
  </si>
  <si>
    <t>84001149</t>
  </si>
  <si>
    <t>SALAL TIPS</t>
  </si>
  <si>
    <t>143</t>
  </si>
  <si>
    <t>69c536b610c57eb8020ba000</t>
  </si>
  <si>
    <t>84001150</t>
  </si>
  <si>
    <t>FONTANESIA PINK - rama</t>
  </si>
  <si>
    <t>198941</t>
  </si>
  <si>
    <t>69c53fb75221c3874c02940a</t>
  </si>
  <si>
    <t>84001151</t>
  </si>
  <si>
    <t>CILINDRO 35x12</t>
  </si>
  <si>
    <t>194077</t>
  </si>
  <si>
    <t>69ca891923ebee63d306290b</t>
  </si>
  <si>
    <t>84001152</t>
  </si>
  <si>
    <t>69ca89bca3d1b0b134030c59</t>
  </si>
  <si>
    <t>84001153</t>
  </si>
  <si>
    <t>69ca8ae3b9e2ddb3540933ec</t>
  </si>
  <si>
    <t>84001154</t>
  </si>
  <si>
    <t>69ca8b77b472d552cf00573c</t>
  </si>
  <si>
    <t>84001155</t>
  </si>
  <si>
    <t>69ca8bca085b778fa30cf0a5</t>
  </si>
  <si>
    <t>84001156</t>
  </si>
  <si>
    <t>69ca8fc8c1bafc2a56040f34</t>
  </si>
  <si>
    <t>84001157</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</si>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</sst>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2">
    <font>
      <sz val="10.0"/>
      <color rgb="FF000000"/>
      <name val="Calibri"/>
      <scheme val="minor"/>
    </font>
    <font>
      <b/>
      <sz val="10.0"/>
      <color theme="1"/>
      <name val="Calibri"/>
      <scheme val="minor"/>
    </font>
    <font>
      <sz val="10.0"/>
      <color theme="1"/>
      <name val="Calibri"/>
      <scheme val="minor"/>
    </font>
    <font>
      <sz val="10.0"/>
      <color theme="1"/>
      <name val="Calibri"/>
    </font>
    <font>
      <sz val="9.0"/>
      <color rgb="FF000000"/>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sz val="11.0"/>
      <color theme="1"/>
      <name val="Calibri"/>
    </font>
    <font>
      <sz val="11.0"/>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vertical="bottom"/>
    </xf>
    <xf borderId="0" fillId="0" fontId="18" numFmtId="0" xfId="0" applyAlignment="1" applyFont="1">
      <alignment readingOrder="0" vertical="bottom"/>
    </xf>
    <xf borderId="0" fillId="0" fontId="19" numFmtId="164" xfId="0" applyAlignment="1" applyFont="1" applyNumberFormat="1">
      <alignment vertical="bottom"/>
    </xf>
    <xf borderId="0" fillId="0" fontId="18" numFmtId="0" xfId="0" applyAlignment="1" applyFon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2"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0" fontId="18" numFmtId="0" xfId="0" applyAlignment="1" applyFont="1">
      <alignment vertical="bottom"/>
    </xf>
    <xf borderId="0" fillId="0" fontId="19" numFmtId="164" xfId="0" applyAlignment="1" applyFont="1" applyNumberFormat="1">
      <alignment horizontal="right" vertical="bottom"/>
    </xf>
    <xf borderId="0" fillId="0" fontId="18" numFmtId="0" xfId="0" applyAlignment="1" applyFon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3" numFmtId="3" xfId="0" applyAlignment="1" applyFont="1" applyNumberFormat="1">
      <alignment horizontal="center" vertical="center"/>
    </xf>
    <xf borderId="0" fillId="0" fontId="24" numFmtId="0" xfId="0" applyAlignment="1" applyFont="1">
      <alignment readingOrder="0" shrinkToFit="0" vertical="center" wrapText="0"/>
    </xf>
    <xf borderId="0" fillId="9" fontId="13" numFmtId="164" xfId="0" applyAlignment="1" applyFill="1" applyFont="1" applyNumberFormat="1">
      <alignment readingOrder="0" shrinkToFit="0" vertical="center" wrapText="1"/>
    </xf>
    <xf borderId="0" fillId="2" fontId="20" numFmtId="0" xfId="0" applyAlignment="1" applyFont="1">
      <alignment horizontal="center" vertical="center"/>
    </xf>
    <xf borderId="0" fillId="0" fontId="21" numFmtId="0" xfId="0" applyAlignment="1" applyFont="1">
      <alignment horizontal="center" readingOrder="0" vertical="center"/>
    </xf>
    <xf borderId="0" fillId="10" fontId="13" numFmtId="164" xfId="0" applyAlignment="1" applyFill="1" applyFont="1" applyNumberFormat="1">
      <alignment readingOrder="0" shrinkToFit="0" vertical="center" wrapText="1"/>
    </xf>
    <xf borderId="0" fillId="0" fontId="22" numFmtId="164" xfId="0" applyAlignment="1" applyFont="1" applyNumberFormat="1">
      <alignment horizontal="right" vertical="center"/>
    </xf>
    <xf borderId="0" fillId="0" fontId="15" numFmtId="0" xfId="0" applyAlignment="1" applyFont="1">
      <alignment readingOrder="0" vertical="center"/>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0" fontId="20"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8" fontId="20" numFmtId="0" xfId="0" applyAlignment="1" applyFont="1">
      <alignment horizontal="center" vertical="center"/>
    </xf>
    <xf borderId="0" fillId="9" fontId="13" numFmtId="164" xfId="0" applyAlignment="1" applyFont="1" applyNumberFormat="1">
      <alignment horizontal="right" readingOrder="0" shrinkToFit="0" vertical="center" wrapText="1"/>
    </xf>
    <xf borderId="0" fillId="0" fontId="25" numFmtId="0" xfId="0" applyAlignment="1" applyFont="1">
      <alignment horizontal="center" readingOrder="0" vertical="center"/>
    </xf>
    <xf borderId="0" fillId="0" fontId="18" numFmtId="0" xfId="0" applyAlignment="1" applyFont="1">
      <alignment horizontal="right" vertical="bottom"/>
    </xf>
    <xf borderId="0" fillId="8" fontId="20" numFmtId="0" xfId="0" applyAlignment="1" applyFont="1">
      <alignment horizontal="center" readingOrder="0" vertical="center"/>
    </xf>
    <xf borderId="0" fillId="0" fontId="15" numFmtId="0" xfId="0" applyAlignment="1" applyFont="1">
      <alignment readingOrder="0"/>
    </xf>
    <xf borderId="0" fillId="0" fontId="22" numFmtId="164" xfId="0" applyAlignment="1" applyFont="1" applyNumberFormat="1">
      <alignment horizontal="right" readingOrder="0" vertical="center"/>
    </xf>
    <xf borderId="0" fillId="0" fontId="18" numFmtId="49" xfId="0" applyAlignment="1" applyFont="1" applyNumberFormat="1">
      <alignment readingOrder="0" vertical="bottom"/>
    </xf>
    <xf borderId="0" fillId="0" fontId="18" numFmtId="0" xfId="0" applyAlignment="1" applyFont="1">
      <alignment horizontal="right" vertical="bottom"/>
    </xf>
    <xf borderId="0" fillId="0" fontId="26"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3"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9"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0" numFmtId="164" xfId="0" applyAlignment="1" applyFont="1" applyNumberForma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readingOrder="0" shrinkToFit="0" vertical="center" wrapText="1"/>
    </xf>
    <xf borderId="0" fillId="0" fontId="29"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0" numFmtId="164" xfId="0" applyAlignment="1" applyFont="1" applyNumberFormat="1">
      <alignment horizontal="center" shrinkToFit="0" vertical="center" wrapText="1"/>
    </xf>
    <xf borderId="0" fillId="0" fontId="31" numFmtId="0" xfId="0" applyAlignment="1" applyFont="1">
      <alignment horizontal="center" vertical="center"/>
    </xf>
    <xf borderId="0" fillId="10" fontId="13" numFmtId="164" xfId="0" applyAlignment="1" applyFont="1" applyNumberFormat="1">
      <alignment shrinkToFit="0" vertical="center" wrapText="1"/>
    </xf>
    <xf borderId="0" fillId="9" fontId="13" numFmtId="164" xfId="0" applyAlignment="1" applyFont="1" applyNumberFormat="1">
      <alignment shrinkToFit="0" vertical="center" wrapText="1"/>
    </xf>
    <xf borderId="0" fillId="11" fontId="33" numFmtId="0" xfId="0" applyAlignment="1" applyFill="1" applyFont="1">
      <alignment horizontal="center" readingOrder="0" vertical="center"/>
    </xf>
    <xf borderId="0" fillId="11" fontId="2" numFmtId="0" xfId="0" applyAlignment="1" applyFont="1">
      <alignment horizontal="center" shrinkToFit="0" vertical="center" wrapText="0"/>
    </xf>
    <xf borderId="0" fillId="11" fontId="34" numFmtId="0" xfId="0" applyAlignment="1" applyFont="1">
      <alignment horizontal="center" readingOrder="0" shrinkToFit="0" vertical="center" wrapText="1"/>
    </xf>
    <xf borderId="0" fillId="11" fontId="34"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1" fontId="6" numFmtId="0" xfId="0" applyAlignment="1" applyFont="1">
      <alignment horizontal="center" shrinkToFit="0" vertical="center" wrapText="0"/>
    </xf>
    <xf borderId="0" fillId="12" fontId="6" numFmtId="0" xfId="0" applyAlignment="1" applyFill="1" applyFont="1">
      <alignment horizontal="left" readingOrder="0" shrinkToFit="0" vertical="center" wrapText="0"/>
    </xf>
    <xf borderId="0" fillId="12" fontId="6" numFmtId="0" xfId="0" applyAlignment="1" applyFont="1">
      <alignment horizontal="center" readingOrder="0" shrinkToFit="0" vertical="center" wrapText="0"/>
    </xf>
    <xf borderId="0" fillId="11" fontId="35" numFmtId="0" xfId="0" applyAlignment="1" applyFont="1">
      <alignment horizontal="center" readingOrder="0" shrinkToFit="0" vertical="center" wrapText="1"/>
    </xf>
    <xf borderId="0" fillId="11" fontId="33" numFmtId="165" xfId="0" applyAlignment="1" applyFont="1" applyNumberFormat="1">
      <alignment horizontal="center" shrinkToFit="0" vertical="center" wrapText="0"/>
    </xf>
    <xf borderId="0" fillId="11" fontId="0" numFmtId="0" xfId="0" applyAlignment="1" applyFont="1">
      <alignment horizontal="center" shrinkToFit="0" vertical="center" wrapText="1"/>
    </xf>
    <xf borderId="0" fillId="5" fontId="34" numFmtId="0" xfId="0" applyAlignment="1" applyFont="1">
      <alignment horizontal="center" readingOrder="0" shrinkToFit="0" vertical="center" wrapText="1"/>
    </xf>
    <xf borderId="0" fillId="11" fontId="34" numFmtId="0" xfId="0" applyAlignment="1" applyFont="1">
      <alignment horizontal="center" shrinkToFit="0" vertical="center" wrapText="1"/>
    </xf>
    <xf borderId="0" fillId="11" fontId="34" numFmtId="0" xfId="0" applyAlignment="1" applyFont="1">
      <alignment horizontal="left" shrinkToFit="0" vertical="center" wrapText="1"/>
    </xf>
    <xf borderId="0" fillId="11" fontId="36"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7"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3" numFmtId="0" xfId="0" applyAlignment="1" applyFont="1">
      <alignment horizontal="center" vertical="center"/>
    </xf>
    <xf borderId="0" fillId="5" fontId="37" numFmtId="0" xfId="0" applyAlignment="1" applyFont="1">
      <alignment horizontal="center" readingOrder="0" vertical="center"/>
    </xf>
    <xf borderId="0" fillId="5" fontId="33" numFmtId="0" xfId="0" applyAlignment="1" applyFont="1">
      <alignment horizontal="center" readingOrder="0" vertical="center"/>
    </xf>
    <xf borderId="0" fillId="3" fontId="38"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9"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1" fontId="6" numFmtId="0" xfId="0" applyAlignment="1" applyFont="1">
      <alignment horizontal="left" shrinkToFit="0" vertical="center" wrapText="0"/>
    </xf>
    <xf borderId="0" fillId="12" fontId="11" numFmtId="0" xfId="0" applyAlignment="1" applyFont="1">
      <alignment horizontal="left" readingOrder="0" shrinkToFit="0" vertical="center" wrapText="0"/>
    </xf>
    <xf borderId="0" fillId="12" fontId="6" numFmtId="0" xfId="0" applyAlignment="1" applyFont="1">
      <alignment horizontal="center" shrinkToFit="0" vertical="center" wrapText="0"/>
    </xf>
    <xf borderId="0" fillId="11" fontId="40" numFmtId="0" xfId="0" applyAlignment="1" applyFont="1">
      <alignment horizontal="left" shrinkToFit="0" vertical="center" wrapText="1"/>
    </xf>
    <xf borderId="0" fillId="0" fontId="11" numFmtId="0" xfId="0" applyAlignment="1" applyFont="1">
      <alignment horizontal="left" shrinkToFit="0" vertical="center" wrapText="1"/>
    </xf>
    <xf borderId="0" fillId="3" fontId="38" numFmtId="0" xfId="0" applyAlignment="1" applyFont="1">
      <alignment horizontal="left" readingOrder="0" shrinkToFit="0" vertical="center" wrapText="1"/>
    </xf>
    <xf borderId="0" fillId="0" fontId="29"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0" fontId="41" numFmtId="0" xfId="0" applyAlignment="1" applyFont="1">
      <alignment horizontal="center" readingOrder="0" shrinkToFit="0" vertical="center" wrapText="1"/>
    </xf>
    <xf borderId="0" fillId="7" fontId="42"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7" numFmtId="164" xfId="0" applyAlignment="1" applyFont="1" applyNumberFormat="1">
      <alignment horizontal="center" readingOrder="0" vertical="center"/>
    </xf>
    <xf borderId="0" fillId="0" fontId="48"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9"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3" numFmtId="0" xfId="0" applyAlignment="1" applyFont="1">
      <alignment readingOrder="0" shrinkToFit="0" wrapText="1"/>
    </xf>
    <xf borderId="0" fillId="0" fontId="15" numFmtId="0" xfId="0" applyAlignment="1" applyFont="1">
      <alignment readingOrder="0" shrinkToFit="0" wrapText="1"/>
    </xf>
    <xf borderId="0" fillId="0" fontId="50" numFmtId="0" xfId="0" applyAlignment="1" applyFont="1">
      <alignment readingOrder="0" shrinkToFit="0" wrapText="1"/>
    </xf>
    <xf borderId="1" fillId="0" fontId="51" numFmtId="49" xfId="0" applyAlignment="1" applyBorder="1" applyFont="1" applyNumberFormat="1">
      <alignment readingOrder="0" vertical="bottom"/>
    </xf>
    <xf borderId="2" fillId="0" fontId="51" numFmtId="49" xfId="0" applyAlignment="1" applyBorder="1" applyFont="1" applyNumberFormat="1">
      <alignment horizontal="right" readingOrder="0" vertical="bottom"/>
    </xf>
    <xf borderId="2" fillId="0" fontId="51" numFmtId="49" xfId="0" applyAlignment="1" applyBorder="1" applyFont="1" applyNumberFormat="1">
      <alignment readingOrder="0" vertical="bottom"/>
    </xf>
    <xf borderId="2" fillId="0" fontId="51" numFmtId="49" xfId="0" applyAlignment="1" applyBorder="1" applyFont="1" applyNumberFormat="1">
      <alignment vertical="bottom"/>
    </xf>
    <xf borderId="2" fillId="0" fontId="51" numFmtId="49" xfId="0" applyAlignment="1" applyBorder="1" applyFont="1" applyNumberFormat="1">
      <alignment readingOrder="0" shrinkToFit="0" vertical="bottom" wrapText="1"/>
    </xf>
    <xf borderId="3" fillId="0" fontId="51"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4"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bQ_DhntG2uRO8Okt4v1vWc7zG6mHvaCV" TargetMode="External"/><Relationship Id="rId22" Type="http://schemas.openxmlformats.org/officeDocument/2006/relationships/hyperlink" Target="https://drive.google.com/uc?export=view&amp;id=1OsLbWUraJBcbC_4ErrdcoBAP-oM2MkBa" TargetMode="External"/><Relationship Id="rId21" Type="http://schemas.openxmlformats.org/officeDocument/2006/relationships/hyperlink" Target="https://drive.google.com/uc?export=view&amp;id=1b7R1A9LoTC34-OMZMrvcLKwKIECUi_Os" TargetMode="External"/><Relationship Id="rId24" Type="http://schemas.openxmlformats.org/officeDocument/2006/relationships/hyperlink" Target="https://drive.google.com/uc?export=view&amp;id=1SK1jetqpkHm4wysAal2kTf97P1BEWhpF" TargetMode="External"/><Relationship Id="rId23" Type="http://schemas.openxmlformats.org/officeDocument/2006/relationships/hyperlink" Target="https://drive.google.com/uc?export=view&amp;id=12K7rSNmKuUyPiVea-hixINhAgk9pFzEX" TargetMode="External"/><Relationship Id="rId1" Type="http://schemas.openxmlformats.org/officeDocument/2006/relationships/hyperlink" Target="https://drive.google.com/uc?export=view&amp;id=1mbmVjM82bGnM8nxdZnDYmJjSQLnHiol0" TargetMode="External"/><Relationship Id="rId2" Type="http://schemas.openxmlformats.org/officeDocument/2006/relationships/hyperlink" Target="https://drive.google.com/uc?export=view&amp;id=1mbmVjM82bGnM8nxdZnDYmJjSQLnHiol0" TargetMode="External"/><Relationship Id="rId3" Type="http://schemas.openxmlformats.org/officeDocument/2006/relationships/hyperlink" Target="https://drive.google.com/uc?export=view&amp;id=1hD_EIkM8w5p_WtnrcMdhYX6szEYoVelf" TargetMode="External"/><Relationship Id="rId4" Type="http://schemas.openxmlformats.org/officeDocument/2006/relationships/hyperlink" Target="https://drive.google.com/uc?export=view&amp;id=1fUhUDsiSHWrleyP7h5w_2pEpagbWza0G" TargetMode="External"/><Relationship Id="rId9" Type="http://schemas.openxmlformats.org/officeDocument/2006/relationships/hyperlink" Target="https://drive.google.com/uc?export=view&amp;id=1Q-AyZHgyh6uUyL-RDutGOkXSIkuILjHz" TargetMode="External"/><Relationship Id="rId26" Type="http://schemas.openxmlformats.org/officeDocument/2006/relationships/hyperlink" Target="https://drive.google.com/uc?export=view&amp;id=1r3AGRebywrGIf9rgKm41rhLoFBf_VJYs" TargetMode="External"/><Relationship Id="rId25" Type="http://schemas.openxmlformats.org/officeDocument/2006/relationships/hyperlink" Target="https://drive.google.com/uc?export=view&amp;id=1SK1jetqpkHm4wysAal2kTf97P1BEWhpF" TargetMode="External"/><Relationship Id="rId28" Type="http://schemas.openxmlformats.org/officeDocument/2006/relationships/hyperlink" Target="https://drive.google.com/uc?export=view&amp;id=1HMPt7u6wRyq_7yXxw94RmWmhwr-9paUV" TargetMode="External"/><Relationship Id="rId27" Type="http://schemas.openxmlformats.org/officeDocument/2006/relationships/hyperlink" Target="https://drive.google.com/uc?export=view&amp;id=1sZGDN8zhyq19KpYdDu_85JCqZfDsrTCK" TargetMode="External"/><Relationship Id="rId5" Type="http://schemas.openxmlformats.org/officeDocument/2006/relationships/hyperlink" Target="https://drive.google.com/uc?export=view&amp;id=1dI4YSHY8sPn-AzvYOdjKrrjGMV26hEE0" TargetMode="External"/><Relationship Id="rId6" Type="http://schemas.openxmlformats.org/officeDocument/2006/relationships/hyperlink" Target="https://drive.google.com/uc?export=view&amp;id=14lKbr1IZa_y54C-n_irMTGAXEPdZJoIn" TargetMode="External"/><Relationship Id="rId29" Type="http://schemas.openxmlformats.org/officeDocument/2006/relationships/drawing" Target="../drawings/drawing1.xml"/><Relationship Id="rId7" Type="http://schemas.openxmlformats.org/officeDocument/2006/relationships/hyperlink" Target="https://drive.google.com/uc?export=view&amp;id=1cMWmYq9Ijr9CTBLT1xhfRb5ZQ_GrN7hE" TargetMode="External"/><Relationship Id="rId8" Type="http://schemas.openxmlformats.org/officeDocument/2006/relationships/hyperlink" Target="https://drive.google.com/uc?export=view&amp;id=14z6focMNsmhbYM377L2M-B88nBfvXnJJ" TargetMode="External"/><Relationship Id="rId31" Type="http://schemas.openxmlformats.org/officeDocument/2006/relationships/table" Target="../tables/table1.xml"/><Relationship Id="rId11" Type="http://schemas.openxmlformats.org/officeDocument/2006/relationships/hyperlink" Target="https://drive.google.com/uc?export=view&amp;id=1jKGrPrhB6pvkBpjJKJWeb0LNLwFLMWiM" TargetMode="External"/><Relationship Id="rId10" Type="http://schemas.openxmlformats.org/officeDocument/2006/relationships/hyperlink" Target="https://drive.google.com/uc?export=view&amp;id=1nhRiZiSymvZqgrwdzMgNfzK5d8VGqcGQ" TargetMode="External"/><Relationship Id="rId13" Type="http://schemas.openxmlformats.org/officeDocument/2006/relationships/hyperlink" Target="https://drive.google.com/uc?export=view&amp;id=1jCZc_-4baAz784L3_VmKEcFHD_O4bGxB" TargetMode="External"/><Relationship Id="rId12" Type="http://schemas.openxmlformats.org/officeDocument/2006/relationships/hyperlink" Target="https://drive.google.com/uc?export=view&amp;id=1NfWhvI4iOJyVFjUEUpFej-EfjH2FiZmQ" TargetMode="External"/><Relationship Id="rId15" Type="http://schemas.openxmlformats.org/officeDocument/2006/relationships/hyperlink" Target="https://drive.google.com/uc?export=view&amp;id=1Wq_Uard5MdVY8XSrul4hRMbglxiw4tPZ" TargetMode="External"/><Relationship Id="rId14" Type="http://schemas.openxmlformats.org/officeDocument/2006/relationships/hyperlink" Target="https://drive.google.com/uc?export=view&amp;id=1ANQILzJ7Mt0PRTsFNY6NHq3nJ6aUQJyJ" TargetMode="External"/><Relationship Id="rId17" Type="http://schemas.openxmlformats.org/officeDocument/2006/relationships/hyperlink" Target="https://drive.google.com/uc?export=view&amp;id=1SK1jetqpkHm4wysAal2kTf97P1BEWhpF" TargetMode="External"/><Relationship Id="rId16" Type="http://schemas.openxmlformats.org/officeDocument/2006/relationships/hyperlink" Target="https://drive.google.com/uc?export=view&amp;id=1rQlNeojmuigxCKDDyLyE9853PtyPfBIF" TargetMode="External"/><Relationship Id="rId19" Type="http://schemas.openxmlformats.org/officeDocument/2006/relationships/hyperlink" Target="https://drive.google.com/uc?export=view&amp;id=1lx61k_U5Kp0yFS3ThzMZxvaYOsDd3GCE" TargetMode="External"/><Relationship Id="rId18" Type="http://schemas.openxmlformats.org/officeDocument/2006/relationships/hyperlink" Target="https://drive.google.com/uc?export=view&amp;id=1lx61k_U5Kp0yFS3ThzMZxvaYOsDd3GC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0" t="s">
        <v>28</v>
      </c>
      <c r="D3" s="32"/>
      <c r="E3" s="33"/>
      <c r="F3" s="34"/>
      <c r="G3" s="35"/>
      <c r="H3" s="35"/>
      <c r="I3" s="36"/>
      <c r="J3" s="35"/>
      <c r="K3" s="35"/>
      <c r="L3" s="37"/>
      <c r="M3" s="38" t="str">
        <f t="shared" ref="M3:M41" si="1">IF(E3&lt;&gt;"", E3 - SUM(G3:L3), "")</f>
        <v/>
      </c>
      <c r="N3" s="38"/>
      <c r="O3" s="39" t="str">
        <f t="shared" ref="O3:O41" si="2">IF(AND(F3&lt;&gt;"", E3&lt;&gt;""), F3*E3, "")</f>
        <v/>
      </c>
      <c r="P3" s="40"/>
      <c r="Q3" s="41"/>
      <c r="R3" s="42"/>
      <c r="S3" s="43"/>
      <c r="T3" s="44"/>
      <c r="U3" s="45"/>
      <c r="V3" s="46"/>
      <c r="W3" s="47"/>
      <c r="X3" s="48"/>
      <c r="Y3" s="49"/>
      <c r="Z3" s="50" t="str">
        <f t="array" ref="Z3">IF(R4 = "", "", HYPERLINK("https://app.holded.com/products/" &amp; INDEX(products!A:A, MATCH(TEXT(R4, "0"), TEXT(products!B:B, "0"), 0)), "Открыть карточку товара"))</f>
        <v>#N/A</v>
      </c>
      <c r="AA3" s="51"/>
    </row>
    <row r="4">
      <c r="A4" s="30" t="s">
        <v>29</v>
      </c>
      <c r="B4" s="52" t="s">
        <v>30</v>
      </c>
      <c r="C4" s="30"/>
      <c r="D4" s="53">
        <v>1.11</v>
      </c>
      <c r="E4" s="54">
        <v>3.0</v>
      </c>
      <c r="F4" s="34" t="s">
        <v>31</v>
      </c>
      <c r="G4" s="55"/>
      <c r="H4" s="55"/>
      <c r="I4" s="56"/>
      <c r="J4" s="55">
        <v>3.0</v>
      </c>
      <c r="K4" s="55"/>
      <c r="L4" s="57"/>
      <c r="M4" s="58">
        <f t="shared" si="1"/>
        <v>0</v>
      </c>
      <c r="N4" s="38"/>
      <c r="O4" s="39">
        <f t="shared" si="2"/>
        <v>30</v>
      </c>
      <c r="P4" s="40">
        <v>3.0</v>
      </c>
      <c r="Q4" s="41">
        <v>2.999997</v>
      </c>
      <c r="R4" s="42" t="str">
        <f t="shared" ref="R4:R8" si="3">IMAGE(W4)</f>
        <v/>
      </c>
      <c r="S4" s="43" t="s">
        <v>32</v>
      </c>
      <c r="T4" s="44">
        <v>8400518.0</v>
      </c>
      <c r="U4" s="45" t="s">
        <v>33</v>
      </c>
      <c r="V4" s="46" t="s">
        <v>34</v>
      </c>
      <c r="W4" s="59" t="s">
        <v>35</v>
      </c>
      <c r="X4" s="60"/>
      <c r="Y4" s="49"/>
      <c r="Z4" s="50"/>
      <c r="AA4" s="51"/>
    </row>
    <row r="5">
      <c r="A5" s="30" t="s">
        <v>36</v>
      </c>
      <c r="B5" s="52" t="s">
        <v>37</v>
      </c>
      <c r="C5" s="30"/>
      <c r="D5" s="53">
        <v>1.11</v>
      </c>
      <c r="E5" s="54">
        <v>6.0</v>
      </c>
      <c r="F5" s="34" t="s">
        <v>31</v>
      </c>
      <c r="G5" s="35"/>
      <c r="H5" s="35"/>
      <c r="I5" s="61"/>
      <c r="J5" s="35"/>
      <c r="K5" s="35">
        <v>6.0</v>
      </c>
      <c r="L5" s="62"/>
      <c r="M5" s="38">
        <f t="shared" si="1"/>
        <v>0</v>
      </c>
      <c r="N5" s="38"/>
      <c r="O5" s="39">
        <f t="shared" si="2"/>
        <v>60</v>
      </c>
      <c r="P5" s="40">
        <v>3.0</v>
      </c>
      <c r="Q5" s="41">
        <v>2.999997</v>
      </c>
      <c r="R5" s="42" t="str">
        <f t="shared" si="3"/>
        <v/>
      </c>
      <c r="S5" s="43" t="s">
        <v>32</v>
      </c>
      <c r="T5" s="44">
        <v>8400518.0</v>
      </c>
      <c r="U5" s="45" t="s">
        <v>33</v>
      </c>
      <c r="V5" s="46" t="s">
        <v>34</v>
      </c>
      <c r="W5" s="59" t="s">
        <v>35</v>
      </c>
      <c r="X5" s="63"/>
      <c r="Y5" s="49"/>
      <c r="Z5" s="50"/>
      <c r="AA5" s="51"/>
    </row>
    <row r="6">
      <c r="A6" s="30" t="s">
        <v>38</v>
      </c>
      <c r="B6" s="52" t="s">
        <v>39</v>
      </c>
      <c r="C6" s="30"/>
      <c r="D6" s="53">
        <v>0.75</v>
      </c>
      <c r="E6" s="54">
        <v>6.0</v>
      </c>
      <c r="F6" s="34" t="s">
        <v>31</v>
      </c>
      <c r="G6" s="35"/>
      <c r="H6" s="35">
        <v>2.0</v>
      </c>
      <c r="I6" s="36"/>
      <c r="J6" s="35">
        <v>2.0</v>
      </c>
      <c r="K6" s="35">
        <v>2.0</v>
      </c>
      <c r="L6" s="62"/>
      <c r="M6" s="38">
        <f t="shared" si="1"/>
        <v>0</v>
      </c>
      <c r="N6" s="38"/>
      <c r="O6" s="39">
        <f t="shared" si="2"/>
        <v>60</v>
      </c>
      <c r="P6" s="64"/>
      <c r="Q6" s="41">
        <v>2.999997</v>
      </c>
      <c r="R6" s="42" t="str">
        <f t="shared" si="3"/>
        <v/>
      </c>
      <c r="S6" s="43" t="s">
        <v>40</v>
      </c>
      <c r="T6" s="44">
        <v>8400154.0</v>
      </c>
      <c r="U6" s="65" t="s">
        <v>41</v>
      </c>
      <c r="V6" s="66" t="s">
        <v>42</v>
      </c>
      <c r="W6" s="59" t="s">
        <v>43</v>
      </c>
      <c r="X6" s="60">
        <v>0.15</v>
      </c>
      <c r="Y6" s="49"/>
      <c r="Z6" s="50"/>
      <c r="AA6" s="51"/>
    </row>
    <row r="7">
      <c r="A7" s="30" t="s">
        <v>44</v>
      </c>
      <c r="B7" s="52" t="s">
        <v>45</v>
      </c>
      <c r="C7" s="30"/>
      <c r="D7" s="53">
        <v>0.58</v>
      </c>
      <c r="E7" s="54">
        <v>6.0</v>
      </c>
      <c r="F7" s="34" t="s">
        <v>31</v>
      </c>
      <c r="G7" s="35"/>
      <c r="H7" s="35"/>
      <c r="I7" s="61"/>
      <c r="J7" s="35"/>
      <c r="K7" s="35">
        <v>6.0</v>
      </c>
      <c r="L7" s="62"/>
      <c r="M7" s="38">
        <f t="shared" si="1"/>
        <v>0</v>
      </c>
      <c r="N7" s="38"/>
      <c r="O7" s="39">
        <f t="shared" si="2"/>
        <v>60</v>
      </c>
      <c r="P7" s="40">
        <v>2.0</v>
      </c>
      <c r="Q7" s="41">
        <v>1.9999980000000002</v>
      </c>
      <c r="R7" s="42" t="str">
        <f t="shared" si="3"/>
        <v/>
      </c>
      <c r="S7" s="43" t="s">
        <v>46</v>
      </c>
      <c r="T7" s="44">
        <v>8400731.0</v>
      </c>
      <c r="U7" s="67" t="s">
        <v>47</v>
      </c>
      <c r="V7" s="66">
        <v>181496.0</v>
      </c>
      <c r="W7" s="59" t="s">
        <v>48</v>
      </c>
      <c r="X7" s="63"/>
      <c r="Y7" s="49"/>
      <c r="Z7" s="50"/>
      <c r="AA7" s="51"/>
    </row>
    <row r="8">
      <c r="A8" s="30" t="s">
        <v>49</v>
      </c>
      <c r="B8" s="52" t="s">
        <v>50</v>
      </c>
      <c r="C8" s="30"/>
      <c r="D8" s="53">
        <v>0.71</v>
      </c>
      <c r="E8" s="54">
        <v>6.0</v>
      </c>
      <c r="F8" s="34" t="s">
        <v>51</v>
      </c>
      <c r="G8" s="35"/>
      <c r="H8" s="35"/>
      <c r="I8" s="61"/>
      <c r="J8" s="35">
        <v>2.0</v>
      </c>
      <c r="K8" s="35">
        <v>4.0</v>
      </c>
      <c r="L8" s="37"/>
      <c r="M8" s="38">
        <f t="shared" si="1"/>
        <v>0</v>
      </c>
      <c r="N8" s="38"/>
      <c r="O8" s="39">
        <f t="shared" si="2"/>
        <v>30</v>
      </c>
      <c r="P8" s="40"/>
      <c r="Q8" s="41">
        <v>2.999997</v>
      </c>
      <c r="R8" s="42" t="str">
        <f t="shared" si="3"/>
        <v/>
      </c>
      <c r="S8" s="43" t="s">
        <v>52</v>
      </c>
      <c r="T8" s="44">
        <v>8.4001081E7</v>
      </c>
      <c r="U8" s="67" t="s">
        <v>53</v>
      </c>
      <c r="V8" s="66"/>
      <c r="W8" s="59" t="s">
        <v>54</v>
      </c>
      <c r="X8" s="60"/>
      <c r="Y8" s="49"/>
      <c r="Z8" s="50"/>
      <c r="AA8" s="51"/>
    </row>
    <row r="9">
      <c r="A9" s="30" t="s">
        <v>55</v>
      </c>
      <c r="B9" s="52" t="s">
        <v>56</v>
      </c>
      <c r="C9" s="30"/>
      <c r="D9" s="53">
        <v>1.19</v>
      </c>
      <c r="E9" s="54">
        <v>8.0</v>
      </c>
      <c r="F9" s="34" t="s">
        <v>57</v>
      </c>
      <c r="G9" s="68"/>
      <c r="H9" s="68"/>
      <c r="I9" s="61"/>
      <c r="J9" s="35"/>
      <c r="K9" s="35">
        <v>8.0</v>
      </c>
      <c r="L9" s="37"/>
      <c r="M9" s="38">
        <f t="shared" si="1"/>
        <v>0</v>
      </c>
      <c r="N9" s="38"/>
      <c r="O9" s="39">
        <f t="shared" si="2"/>
        <v>48</v>
      </c>
      <c r="P9" s="40">
        <v>3.0</v>
      </c>
      <c r="Q9" s="41"/>
      <c r="R9" s="42"/>
      <c r="S9" s="43" t="s">
        <v>58</v>
      </c>
      <c r="T9" s="44">
        <v>8.4001157E7</v>
      </c>
      <c r="U9" s="67" t="s">
        <v>59</v>
      </c>
      <c r="V9" s="66"/>
      <c r="W9" s="47" t="s">
        <v>60</v>
      </c>
      <c r="X9" s="69"/>
      <c r="Y9" s="49"/>
      <c r="Z9" s="50"/>
      <c r="AA9" s="51"/>
    </row>
    <row r="10">
      <c r="A10" s="30" t="s">
        <v>61</v>
      </c>
      <c r="B10" s="52" t="s">
        <v>62</v>
      </c>
      <c r="C10" s="30"/>
      <c r="D10" s="53">
        <v>0.77</v>
      </c>
      <c r="E10" s="54">
        <v>8.0</v>
      </c>
      <c r="F10" s="34" t="s">
        <v>31</v>
      </c>
      <c r="G10" s="35"/>
      <c r="H10" s="35">
        <v>2.0</v>
      </c>
      <c r="I10" s="70"/>
      <c r="J10" s="35">
        <v>3.0</v>
      </c>
      <c r="K10" s="35">
        <v>3.0</v>
      </c>
      <c r="L10" s="37"/>
      <c r="M10" s="38">
        <f t="shared" si="1"/>
        <v>0</v>
      </c>
      <c r="N10" s="38"/>
      <c r="O10" s="39">
        <f t="shared" si="2"/>
        <v>80</v>
      </c>
      <c r="P10" s="40"/>
      <c r="Q10" s="41">
        <v>2.999997</v>
      </c>
      <c r="R10" s="42" t="str">
        <f t="shared" ref="R10:R32" si="4">IMAGE(W10)</f>
        <v/>
      </c>
      <c r="S10" s="43" t="s">
        <v>63</v>
      </c>
      <c r="T10" s="44">
        <v>8400828.0</v>
      </c>
      <c r="U10" s="67" t="s">
        <v>64</v>
      </c>
      <c r="V10" s="66">
        <v>135409.0</v>
      </c>
      <c r="W10" s="59" t="s">
        <v>65</v>
      </c>
      <c r="X10" s="71"/>
      <c r="Y10" s="49"/>
      <c r="Z10" s="50"/>
      <c r="AA10" s="51"/>
    </row>
    <row r="11">
      <c r="A11" s="30" t="s">
        <v>66</v>
      </c>
      <c r="B11" s="52" t="s">
        <v>67</v>
      </c>
      <c r="C11" s="30"/>
      <c r="D11" s="53">
        <v>1.52</v>
      </c>
      <c r="E11" s="54">
        <v>4.0</v>
      </c>
      <c r="F11" s="34" t="s">
        <v>31</v>
      </c>
      <c r="G11" s="35"/>
      <c r="H11" s="35"/>
      <c r="I11" s="61"/>
      <c r="J11" s="35">
        <v>1.0</v>
      </c>
      <c r="K11" s="35">
        <v>3.0</v>
      </c>
      <c r="L11" s="37"/>
      <c r="M11" s="38">
        <f t="shared" si="1"/>
        <v>0</v>
      </c>
      <c r="N11" s="38"/>
      <c r="O11" s="39">
        <f t="shared" si="2"/>
        <v>40</v>
      </c>
      <c r="P11" s="40">
        <v>4.0</v>
      </c>
      <c r="Q11" s="41">
        <v>3.9999960000000003</v>
      </c>
      <c r="R11" s="42" t="str">
        <f t="shared" si="4"/>
        <v/>
      </c>
      <c r="S11" s="43" t="s">
        <v>68</v>
      </c>
      <c r="T11" s="72">
        <v>8.4001078E7</v>
      </c>
      <c r="U11" s="67" t="s">
        <v>69</v>
      </c>
      <c r="V11" s="66"/>
      <c r="W11" s="59" t="s">
        <v>70</v>
      </c>
      <c r="X11" s="63"/>
      <c r="Y11" s="49"/>
      <c r="Z11" s="50"/>
      <c r="AA11" s="51"/>
    </row>
    <row r="12">
      <c r="A12" s="30" t="s">
        <v>71</v>
      </c>
      <c r="B12" s="52" t="s">
        <v>72</v>
      </c>
      <c r="C12" s="30"/>
      <c r="D12" s="53">
        <v>0.47</v>
      </c>
      <c r="E12" s="54">
        <v>6.0</v>
      </c>
      <c r="F12" s="34" t="s">
        <v>31</v>
      </c>
      <c r="G12" s="35"/>
      <c r="H12" s="35">
        <v>3.0</v>
      </c>
      <c r="I12" s="61"/>
      <c r="J12" s="35">
        <v>3.0</v>
      </c>
      <c r="K12" s="35"/>
      <c r="L12" s="37"/>
      <c r="M12" s="38">
        <f t="shared" si="1"/>
        <v>0</v>
      </c>
      <c r="N12" s="38"/>
      <c r="O12" s="39">
        <f t="shared" si="2"/>
        <v>60</v>
      </c>
      <c r="P12" s="40">
        <v>3.0</v>
      </c>
      <c r="Q12" s="41">
        <v>2.999997</v>
      </c>
      <c r="R12" s="42" t="str">
        <f t="shared" si="4"/>
        <v/>
      </c>
      <c r="S12" s="43" t="s">
        <v>73</v>
      </c>
      <c r="T12" s="44">
        <v>8.4001044E7</v>
      </c>
      <c r="U12" s="67" t="s">
        <v>74</v>
      </c>
      <c r="V12" s="66"/>
      <c r="W12" s="59" t="s">
        <v>75</v>
      </c>
      <c r="X12" s="60"/>
      <c r="Y12" s="49"/>
      <c r="Z12" s="50"/>
      <c r="AA12" s="51"/>
    </row>
    <row r="13">
      <c r="A13" s="30" t="s">
        <v>76</v>
      </c>
      <c r="B13" s="52" t="s">
        <v>77</v>
      </c>
      <c r="C13" s="30"/>
      <c r="D13" s="53">
        <v>10.86</v>
      </c>
      <c r="E13" s="73">
        <v>18.0</v>
      </c>
      <c r="F13" s="34" t="s">
        <v>78</v>
      </c>
      <c r="G13" s="35"/>
      <c r="H13" s="35"/>
      <c r="I13" s="61"/>
      <c r="J13" s="35">
        <v>9.0</v>
      </c>
      <c r="K13" s="35">
        <v>9.0</v>
      </c>
      <c r="L13" s="37"/>
      <c r="M13" s="38">
        <f t="shared" si="1"/>
        <v>0</v>
      </c>
      <c r="N13" s="38"/>
      <c r="O13" s="39">
        <f t="shared" si="2"/>
        <v>18</v>
      </c>
      <c r="P13" s="40">
        <v>22.0</v>
      </c>
      <c r="Q13" s="41">
        <v>22.0</v>
      </c>
      <c r="R13" s="42" t="str">
        <f t="shared" si="4"/>
        <v/>
      </c>
      <c r="S13" s="43" t="s">
        <v>79</v>
      </c>
      <c r="T13" s="44">
        <v>8400594.0</v>
      </c>
      <c r="U13" s="67" t="s">
        <v>80</v>
      </c>
      <c r="V13" s="66" t="s">
        <v>81</v>
      </c>
      <c r="W13" s="59" t="s">
        <v>82</v>
      </c>
      <c r="X13" s="63"/>
      <c r="Y13" s="49"/>
      <c r="Z13" s="50"/>
      <c r="AA13" s="51"/>
    </row>
    <row r="14">
      <c r="A14" s="30" t="s">
        <v>83</v>
      </c>
      <c r="B14" s="52" t="s">
        <v>84</v>
      </c>
      <c r="C14" s="30"/>
      <c r="D14" s="53">
        <v>19.07</v>
      </c>
      <c r="E14" s="73">
        <v>1.0</v>
      </c>
      <c r="F14" s="34" t="s">
        <v>78</v>
      </c>
      <c r="G14" s="35"/>
      <c r="H14" s="35"/>
      <c r="I14" s="61"/>
      <c r="J14" s="35">
        <v>1.0</v>
      </c>
      <c r="K14" s="35"/>
      <c r="L14" s="37"/>
      <c r="M14" s="38">
        <f t="shared" si="1"/>
        <v>0</v>
      </c>
      <c r="N14" s="38"/>
      <c r="O14" s="39">
        <f t="shared" si="2"/>
        <v>1</v>
      </c>
      <c r="P14" s="40">
        <v>67.0</v>
      </c>
      <c r="Q14" s="41">
        <v>66.999999</v>
      </c>
      <c r="R14" s="42" t="str">
        <f t="shared" si="4"/>
        <v/>
      </c>
      <c r="S14" s="43" t="s">
        <v>85</v>
      </c>
      <c r="T14" s="44">
        <v>8.4001156E7</v>
      </c>
      <c r="U14" s="67" t="s">
        <v>86</v>
      </c>
      <c r="V14" s="66"/>
      <c r="W14" s="59" t="s">
        <v>87</v>
      </c>
      <c r="X14" s="60"/>
      <c r="Y14" s="49"/>
      <c r="Z14" s="50"/>
      <c r="AA14" s="51"/>
    </row>
    <row r="15">
      <c r="A15" s="30" t="s">
        <v>88</v>
      </c>
      <c r="B15" s="52" t="s">
        <v>84</v>
      </c>
      <c r="C15" s="30"/>
      <c r="D15" s="53">
        <v>14.53</v>
      </c>
      <c r="E15" s="73">
        <v>8.0</v>
      </c>
      <c r="F15" s="34" t="s">
        <v>78</v>
      </c>
      <c r="G15" s="35"/>
      <c r="H15" s="35"/>
      <c r="I15" s="70"/>
      <c r="J15" s="35">
        <v>4.0</v>
      </c>
      <c r="K15" s="35">
        <v>4.0</v>
      </c>
      <c r="L15" s="37"/>
      <c r="M15" s="38">
        <f t="shared" si="1"/>
        <v>0</v>
      </c>
      <c r="N15" s="38"/>
      <c r="O15" s="39">
        <f t="shared" si="2"/>
        <v>8</v>
      </c>
      <c r="P15" s="40">
        <v>47.0</v>
      </c>
      <c r="Q15" s="41">
        <v>46.999997</v>
      </c>
      <c r="R15" s="42" t="str">
        <f t="shared" si="4"/>
        <v/>
      </c>
      <c r="S15" s="43" t="s">
        <v>89</v>
      </c>
      <c r="T15" s="44">
        <v>8.4001155E7</v>
      </c>
      <c r="U15" s="67" t="s">
        <v>90</v>
      </c>
      <c r="V15" s="66"/>
      <c r="W15" s="59" t="s">
        <v>91</v>
      </c>
      <c r="X15" s="48"/>
      <c r="Y15" s="49"/>
      <c r="Z15" s="50"/>
      <c r="AA15" s="51"/>
    </row>
    <row r="16">
      <c r="A16" s="30" t="s">
        <v>92</v>
      </c>
      <c r="B16" s="52" t="s">
        <v>93</v>
      </c>
      <c r="C16" s="30"/>
      <c r="D16" s="53">
        <v>9.54</v>
      </c>
      <c r="E16" s="73">
        <v>8.0</v>
      </c>
      <c r="F16" s="34" t="s">
        <v>78</v>
      </c>
      <c r="G16" s="35"/>
      <c r="H16" s="35"/>
      <c r="I16" s="61"/>
      <c r="J16" s="35">
        <v>4.0</v>
      </c>
      <c r="K16" s="35">
        <v>4.0</v>
      </c>
      <c r="L16" s="37"/>
      <c r="M16" s="38">
        <f t="shared" si="1"/>
        <v>0</v>
      </c>
      <c r="N16" s="38"/>
      <c r="O16" s="39">
        <f t="shared" si="2"/>
        <v>8</v>
      </c>
      <c r="P16" s="40">
        <v>22.0</v>
      </c>
      <c r="Q16" s="41">
        <v>22.0</v>
      </c>
      <c r="R16" s="42" t="str">
        <f t="shared" si="4"/>
        <v/>
      </c>
      <c r="S16" s="43" t="s">
        <v>94</v>
      </c>
      <c r="T16" s="44">
        <v>8400410.0</v>
      </c>
      <c r="U16" s="67" t="s">
        <v>95</v>
      </c>
      <c r="V16" s="66" t="s">
        <v>96</v>
      </c>
      <c r="W16" s="59" t="s">
        <v>97</v>
      </c>
      <c r="X16" s="60"/>
      <c r="Y16" s="49"/>
      <c r="Z16" s="50"/>
      <c r="AA16" s="51"/>
    </row>
    <row r="17">
      <c r="A17" s="30" t="s">
        <v>98</v>
      </c>
      <c r="B17" s="52" t="s">
        <v>99</v>
      </c>
      <c r="C17" s="30"/>
      <c r="D17" s="53">
        <v>5.69</v>
      </c>
      <c r="E17" s="73">
        <v>12.0</v>
      </c>
      <c r="F17" s="34" t="s">
        <v>78</v>
      </c>
      <c r="G17" s="35"/>
      <c r="H17" s="35"/>
      <c r="I17" s="61"/>
      <c r="J17" s="35">
        <v>6.0</v>
      </c>
      <c r="K17" s="35">
        <v>6.0</v>
      </c>
      <c r="L17" s="37"/>
      <c r="M17" s="38">
        <f t="shared" si="1"/>
        <v>0</v>
      </c>
      <c r="N17" s="38"/>
      <c r="O17" s="39">
        <f t="shared" si="2"/>
        <v>12</v>
      </c>
      <c r="P17" s="40">
        <v>14.0</v>
      </c>
      <c r="Q17" s="41">
        <v>13.999997000000002</v>
      </c>
      <c r="R17" s="42" t="str">
        <f t="shared" si="4"/>
        <v/>
      </c>
      <c r="S17" s="43" t="s">
        <v>100</v>
      </c>
      <c r="T17" s="44">
        <v>8.4001152E7</v>
      </c>
      <c r="U17" s="67" t="s">
        <v>101</v>
      </c>
      <c r="V17" s="66"/>
      <c r="W17" s="59" t="s">
        <v>102</v>
      </c>
      <c r="X17" s="63"/>
      <c r="Y17" s="49"/>
      <c r="Z17" s="50"/>
      <c r="AA17" s="51"/>
    </row>
    <row r="18">
      <c r="A18" s="30" t="s">
        <v>103</v>
      </c>
      <c r="B18" s="52" t="s">
        <v>104</v>
      </c>
      <c r="C18" s="30"/>
      <c r="D18" s="53">
        <v>6.53</v>
      </c>
      <c r="E18" s="73">
        <v>8.0</v>
      </c>
      <c r="F18" s="34" t="s">
        <v>78</v>
      </c>
      <c r="G18" s="35"/>
      <c r="H18" s="35"/>
      <c r="I18" s="74"/>
      <c r="J18" s="35">
        <v>4.0</v>
      </c>
      <c r="K18" s="35">
        <v>4.0</v>
      </c>
      <c r="L18" s="37"/>
      <c r="M18" s="38">
        <f t="shared" si="1"/>
        <v>0</v>
      </c>
      <c r="N18" s="38"/>
      <c r="O18" s="39">
        <f t="shared" si="2"/>
        <v>8</v>
      </c>
      <c r="P18" s="40"/>
      <c r="Q18" s="41">
        <v>17.000005</v>
      </c>
      <c r="R18" s="42" t="str">
        <f t="shared" si="4"/>
        <v/>
      </c>
      <c r="S18" s="43" t="s">
        <v>105</v>
      </c>
      <c r="T18" s="44">
        <v>8.4001038E7</v>
      </c>
      <c r="U18" s="67" t="s">
        <v>106</v>
      </c>
      <c r="V18" s="66"/>
      <c r="W18" s="59" t="s">
        <v>107</v>
      </c>
      <c r="X18" s="60"/>
      <c r="Y18" s="49"/>
      <c r="Z18" s="50"/>
      <c r="AA18" s="51"/>
    </row>
    <row r="19">
      <c r="A19" s="30" t="s">
        <v>108</v>
      </c>
      <c r="B19" s="52" t="s">
        <v>109</v>
      </c>
      <c r="C19" s="30"/>
      <c r="D19" s="53">
        <v>14.37</v>
      </c>
      <c r="E19" s="73">
        <v>4.0</v>
      </c>
      <c r="F19" s="34" t="s">
        <v>78</v>
      </c>
      <c r="G19" s="35"/>
      <c r="H19" s="35"/>
      <c r="I19" s="61"/>
      <c r="J19" s="35">
        <v>4.0</v>
      </c>
      <c r="K19" s="35"/>
      <c r="L19" s="37"/>
      <c r="M19" s="38">
        <f t="shared" si="1"/>
        <v>0</v>
      </c>
      <c r="N19" s="38"/>
      <c r="O19" s="39">
        <f t="shared" si="2"/>
        <v>4</v>
      </c>
      <c r="P19" s="40">
        <v>38.0</v>
      </c>
      <c r="Q19" s="41">
        <v>37.999995000000006</v>
      </c>
      <c r="R19" s="42" t="str">
        <f t="shared" si="4"/>
        <v/>
      </c>
      <c r="S19" s="43" t="s">
        <v>110</v>
      </c>
      <c r="T19" s="44">
        <v>8.4001154E7</v>
      </c>
      <c r="U19" s="67" t="s">
        <v>111</v>
      </c>
      <c r="V19" s="66"/>
      <c r="W19" s="59" t="s">
        <v>112</v>
      </c>
      <c r="X19" s="63"/>
      <c r="Y19" s="49"/>
      <c r="Z19" s="50"/>
      <c r="AA19" s="51"/>
    </row>
    <row r="20">
      <c r="A20" s="30" t="s">
        <v>113</v>
      </c>
      <c r="B20" s="52" t="s">
        <v>109</v>
      </c>
      <c r="C20" s="30"/>
      <c r="D20" s="53">
        <v>14.37</v>
      </c>
      <c r="E20" s="73">
        <v>4.0</v>
      </c>
      <c r="F20" s="34" t="s">
        <v>78</v>
      </c>
      <c r="G20" s="35"/>
      <c r="H20" s="35"/>
      <c r="I20" s="61"/>
      <c r="J20" s="35"/>
      <c r="K20" s="35">
        <v>4.0</v>
      </c>
      <c r="L20" s="37"/>
      <c r="M20" s="38">
        <f t="shared" si="1"/>
        <v>0</v>
      </c>
      <c r="N20" s="38"/>
      <c r="O20" s="39">
        <f t="shared" si="2"/>
        <v>4</v>
      </c>
      <c r="P20" s="40">
        <v>38.0</v>
      </c>
      <c r="Q20" s="41">
        <v>37.999995000000006</v>
      </c>
      <c r="R20" s="42" t="str">
        <f t="shared" si="4"/>
        <v/>
      </c>
      <c r="S20" s="43" t="s">
        <v>110</v>
      </c>
      <c r="T20" s="72">
        <v>8.4001154E7</v>
      </c>
      <c r="U20" s="67" t="s">
        <v>111</v>
      </c>
      <c r="V20" s="66"/>
      <c r="W20" s="59" t="s">
        <v>114</v>
      </c>
      <c r="X20" s="60"/>
      <c r="Y20" s="49"/>
      <c r="Z20" s="50"/>
      <c r="AA20" s="51"/>
    </row>
    <row r="21">
      <c r="A21" s="30" t="s">
        <v>115</v>
      </c>
      <c r="B21" s="52" t="s">
        <v>116</v>
      </c>
      <c r="C21" s="30"/>
      <c r="D21" s="53">
        <v>29.24</v>
      </c>
      <c r="E21" s="73">
        <v>4.0</v>
      </c>
      <c r="F21" s="34" t="s">
        <v>78</v>
      </c>
      <c r="G21" s="35"/>
      <c r="H21" s="35"/>
      <c r="I21" s="61"/>
      <c r="J21" s="35">
        <v>2.0</v>
      </c>
      <c r="K21" s="75">
        <v>2.0</v>
      </c>
      <c r="L21" s="37"/>
      <c r="M21" s="38">
        <f t="shared" si="1"/>
        <v>0</v>
      </c>
      <c r="N21" s="38"/>
      <c r="O21" s="39">
        <f t="shared" si="2"/>
        <v>4</v>
      </c>
      <c r="P21" s="40">
        <v>65.0</v>
      </c>
      <c r="Q21" s="41">
        <v>65.00000100000001</v>
      </c>
      <c r="R21" s="42" t="str">
        <f t="shared" si="4"/>
        <v/>
      </c>
      <c r="S21" s="43" t="s">
        <v>117</v>
      </c>
      <c r="T21" s="44">
        <v>8.4001153E7</v>
      </c>
      <c r="U21" s="67" t="s">
        <v>118</v>
      </c>
      <c r="V21" s="66"/>
      <c r="W21" s="59" t="s">
        <v>119</v>
      </c>
      <c r="X21" s="63"/>
      <c r="Y21" s="49"/>
      <c r="Z21" s="50"/>
      <c r="AA21" s="51"/>
    </row>
    <row r="22">
      <c r="A22" s="30" t="s">
        <v>120</v>
      </c>
      <c r="B22" s="52" t="s">
        <v>121</v>
      </c>
      <c r="C22" s="30"/>
      <c r="D22" s="53">
        <v>100.54</v>
      </c>
      <c r="E22" s="73">
        <v>1.0</v>
      </c>
      <c r="F22" s="34" t="s">
        <v>78</v>
      </c>
      <c r="G22" s="35"/>
      <c r="H22" s="35"/>
      <c r="I22" s="70"/>
      <c r="J22" s="35">
        <v>1.0</v>
      </c>
      <c r="K22" s="68"/>
      <c r="L22" s="37"/>
      <c r="M22" s="38">
        <f t="shared" si="1"/>
        <v>0</v>
      </c>
      <c r="N22" s="38"/>
      <c r="O22" s="39">
        <f t="shared" si="2"/>
        <v>1</v>
      </c>
      <c r="P22" s="40">
        <v>188.0</v>
      </c>
      <c r="Q22" s="41">
        <v>187.999999</v>
      </c>
      <c r="R22" s="42" t="str">
        <f t="shared" si="4"/>
        <v/>
      </c>
      <c r="S22" s="43" t="s">
        <v>122</v>
      </c>
      <c r="T22" s="44">
        <v>8400365.0</v>
      </c>
      <c r="U22" s="67" t="s">
        <v>123</v>
      </c>
      <c r="V22" s="66" t="s">
        <v>124</v>
      </c>
      <c r="W22" s="59" t="s">
        <v>125</v>
      </c>
      <c r="X22" s="60"/>
      <c r="Y22" s="49"/>
      <c r="Z22" s="50"/>
      <c r="AA22" s="51"/>
    </row>
    <row r="23">
      <c r="A23" s="30" t="s">
        <v>126</v>
      </c>
      <c r="B23" s="52" t="s">
        <v>121</v>
      </c>
      <c r="C23" s="30"/>
      <c r="D23" s="53">
        <v>94.26</v>
      </c>
      <c r="E23" s="73">
        <v>1.0</v>
      </c>
      <c r="F23" s="34" t="s">
        <v>78</v>
      </c>
      <c r="G23" s="35"/>
      <c r="H23" s="35"/>
      <c r="I23" s="56"/>
      <c r="J23" s="35"/>
      <c r="K23" s="35">
        <v>1.0</v>
      </c>
      <c r="L23" s="37"/>
      <c r="M23" s="38">
        <f t="shared" si="1"/>
        <v>0</v>
      </c>
      <c r="N23" s="38"/>
      <c r="O23" s="39">
        <f t="shared" si="2"/>
        <v>1</v>
      </c>
      <c r="P23" s="40">
        <v>188.0</v>
      </c>
      <c r="Q23" s="41">
        <v>187.999999</v>
      </c>
      <c r="R23" s="42" t="str">
        <f t="shared" si="4"/>
        <v/>
      </c>
      <c r="S23" s="43" t="s">
        <v>127</v>
      </c>
      <c r="T23" s="44">
        <v>8400365.0</v>
      </c>
      <c r="U23" s="67" t="s">
        <v>128</v>
      </c>
      <c r="V23" s="66" t="s">
        <v>124</v>
      </c>
      <c r="W23" s="59" t="s">
        <v>125</v>
      </c>
      <c r="X23" s="63"/>
      <c r="Y23" s="49"/>
      <c r="Z23" s="50"/>
      <c r="AA23" s="51"/>
    </row>
    <row r="24">
      <c r="A24" s="30" t="s">
        <v>129</v>
      </c>
      <c r="B24" s="52" t="s">
        <v>130</v>
      </c>
      <c r="C24" s="30"/>
      <c r="D24" s="53">
        <v>23.43</v>
      </c>
      <c r="E24" s="73">
        <v>3.0</v>
      </c>
      <c r="F24" s="34" t="s">
        <v>78</v>
      </c>
      <c r="G24" s="35"/>
      <c r="H24" s="68"/>
      <c r="I24" s="61"/>
      <c r="J24" s="35">
        <v>3.0</v>
      </c>
      <c r="K24" s="35"/>
      <c r="L24" s="37"/>
      <c r="M24" s="38">
        <f t="shared" si="1"/>
        <v>0</v>
      </c>
      <c r="N24" s="38"/>
      <c r="O24" s="39">
        <f t="shared" si="2"/>
        <v>3</v>
      </c>
      <c r="P24" s="40">
        <v>36.0</v>
      </c>
      <c r="Q24" s="41">
        <v>35.999997</v>
      </c>
      <c r="R24" s="42" t="str">
        <f t="shared" si="4"/>
        <v/>
      </c>
      <c r="S24" s="43" t="s">
        <v>131</v>
      </c>
      <c r="T24" s="44">
        <v>8400558.0</v>
      </c>
      <c r="U24" s="67" t="s">
        <v>132</v>
      </c>
      <c r="V24" s="66" t="s">
        <v>133</v>
      </c>
      <c r="W24" s="59" t="s">
        <v>134</v>
      </c>
      <c r="X24" s="60"/>
      <c r="Y24" s="49"/>
      <c r="Z24" s="50"/>
      <c r="AA24" s="51"/>
    </row>
    <row r="25">
      <c r="A25" s="30" t="s">
        <v>135</v>
      </c>
      <c r="B25" s="52" t="s">
        <v>136</v>
      </c>
      <c r="C25" s="30"/>
      <c r="D25" s="53">
        <v>6.52</v>
      </c>
      <c r="E25" s="73">
        <v>6.0</v>
      </c>
      <c r="F25" s="34" t="s">
        <v>78</v>
      </c>
      <c r="G25" s="35"/>
      <c r="H25" s="35"/>
      <c r="I25" s="61"/>
      <c r="J25" s="35"/>
      <c r="K25" s="35">
        <v>6.0</v>
      </c>
      <c r="L25" s="37"/>
      <c r="M25" s="38">
        <f t="shared" si="1"/>
        <v>0</v>
      </c>
      <c r="N25" s="38"/>
      <c r="O25" s="39">
        <f t="shared" si="2"/>
        <v>6</v>
      </c>
      <c r="P25" s="40"/>
      <c r="Q25" s="41">
        <v>14.999996000000001</v>
      </c>
      <c r="R25" s="42" t="str">
        <f t="shared" si="4"/>
        <v/>
      </c>
      <c r="S25" s="43" t="s">
        <v>137</v>
      </c>
      <c r="T25" s="72">
        <v>8400357.0</v>
      </c>
      <c r="U25" s="67" t="s">
        <v>138</v>
      </c>
      <c r="V25" s="66" t="s">
        <v>139</v>
      </c>
      <c r="W25" s="59" t="s">
        <v>140</v>
      </c>
      <c r="X25" s="69"/>
      <c r="Y25" s="49"/>
      <c r="Z25" s="50"/>
      <c r="AA25" s="51"/>
    </row>
    <row r="26">
      <c r="A26" s="30" t="s">
        <v>141</v>
      </c>
      <c r="B26" s="52" t="s">
        <v>142</v>
      </c>
      <c r="C26" s="30"/>
      <c r="D26" s="53">
        <v>7.27</v>
      </c>
      <c r="E26" s="73">
        <v>6.0</v>
      </c>
      <c r="F26" s="34" t="s">
        <v>78</v>
      </c>
      <c r="G26" s="35"/>
      <c r="H26" s="68"/>
      <c r="I26" s="56"/>
      <c r="J26" s="35">
        <v>6.0</v>
      </c>
      <c r="K26" s="35"/>
      <c r="L26" s="37"/>
      <c r="M26" s="38">
        <f t="shared" si="1"/>
        <v>0</v>
      </c>
      <c r="N26" s="38"/>
      <c r="O26" s="39">
        <f t="shared" si="2"/>
        <v>6</v>
      </c>
      <c r="P26" s="40">
        <v>18.0</v>
      </c>
      <c r="Q26" s="41">
        <v>18.000004</v>
      </c>
      <c r="R26" s="42" t="str">
        <f t="shared" si="4"/>
        <v/>
      </c>
      <c r="S26" s="43" t="s">
        <v>143</v>
      </c>
      <c r="T26" s="44">
        <v>8400448.0</v>
      </c>
      <c r="U26" s="67" t="s">
        <v>144</v>
      </c>
      <c r="V26" s="66" t="s">
        <v>145</v>
      </c>
      <c r="W26" s="59" t="s">
        <v>146</v>
      </c>
      <c r="X26" s="60"/>
      <c r="Y26" s="49"/>
      <c r="Z26" s="50"/>
      <c r="AA26" s="51"/>
    </row>
    <row r="27">
      <c r="A27" s="30" t="s">
        <v>147</v>
      </c>
      <c r="B27" s="52" t="s">
        <v>148</v>
      </c>
      <c r="C27" s="30"/>
      <c r="D27" s="53">
        <v>4.09</v>
      </c>
      <c r="E27" s="73">
        <v>10.0</v>
      </c>
      <c r="F27" s="34" t="s">
        <v>78</v>
      </c>
      <c r="G27" s="35"/>
      <c r="H27" s="35"/>
      <c r="I27" s="61"/>
      <c r="J27" s="35"/>
      <c r="K27" s="35">
        <v>10.0</v>
      </c>
      <c r="L27" s="37"/>
      <c r="M27" s="38">
        <f t="shared" si="1"/>
        <v>0</v>
      </c>
      <c r="N27" s="38"/>
      <c r="O27" s="39">
        <f t="shared" si="2"/>
        <v>10</v>
      </c>
      <c r="P27" s="40"/>
      <c r="Q27" s="41">
        <v>22.0</v>
      </c>
      <c r="R27" s="42" t="str">
        <f t="shared" si="4"/>
        <v/>
      </c>
      <c r="S27" s="43" t="s">
        <v>149</v>
      </c>
      <c r="T27" s="44">
        <v>8400556.0</v>
      </c>
      <c r="U27" s="67" t="s">
        <v>150</v>
      </c>
      <c r="V27" s="66" t="s">
        <v>151</v>
      </c>
      <c r="W27" s="59" t="s">
        <v>152</v>
      </c>
      <c r="X27" s="63"/>
      <c r="Y27" s="49"/>
      <c r="Z27" s="50"/>
      <c r="AA27" s="51"/>
    </row>
    <row r="28">
      <c r="A28" s="30" t="s">
        <v>153</v>
      </c>
      <c r="B28" s="52" t="s">
        <v>154</v>
      </c>
      <c r="C28" s="30"/>
      <c r="D28" s="53">
        <v>29.75</v>
      </c>
      <c r="E28" s="73">
        <v>2.0</v>
      </c>
      <c r="F28" s="34" t="s">
        <v>78</v>
      </c>
      <c r="G28" s="35"/>
      <c r="H28" s="35"/>
      <c r="I28" s="70"/>
      <c r="J28" s="35">
        <v>1.0</v>
      </c>
      <c r="K28" s="35">
        <v>1.0</v>
      </c>
      <c r="L28" s="62"/>
      <c r="M28" s="38">
        <f t="shared" si="1"/>
        <v>0</v>
      </c>
      <c r="N28" s="38"/>
      <c r="O28" s="39">
        <f t="shared" si="2"/>
        <v>2</v>
      </c>
      <c r="P28" s="40">
        <v>65.0</v>
      </c>
      <c r="Q28" s="41">
        <v>65.00000100000001</v>
      </c>
      <c r="R28" s="42" t="str">
        <f t="shared" si="4"/>
        <v/>
      </c>
      <c r="S28" s="43" t="s">
        <v>117</v>
      </c>
      <c r="T28" s="44">
        <v>8.4001153E7</v>
      </c>
      <c r="U28" s="67" t="s">
        <v>118</v>
      </c>
      <c r="V28" s="66"/>
      <c r="W28" s="59" t="s">
        <v>119</v>
      </c>
      <c r="X28" s="60"/>
      <c r="Y28" s="49"/>
      <c r="Z28" s="50"/>
      <c r="AA28" s="51"/>
    </row>
    <row r="29">
      <c r="A29" s="30" t="s">
        <v>155</v>
      </c>
      <c r="B29" s="52" t="s">
        <v>156</v>
      </c>
      <c r="C29" s="30"/>
      <c r="D29" s="53">
        <v>29.75</v>
      </c>
      <c r="E29" s="73">
        <v>2.0</v>
      </c>
      <c r="F29" s="34" t="s">
        <v>78</v>
      </c>
      <c r="G29" s="35"/>
      <c r="H29" s="35"/>
      <c r="I29" s="61"/>
      <c r="J29" s="35">
        <v>1.0</v>
      </c>
      <c r="K29" s="35">
        <v>1.0</v>
      </c>
      <c r="L29" s="37"/>
      <c r="M29" s="38">
        <f t="shared" si="1"/>
        <v>0</v>
      </c>
      <c r="N29" s="38"/>
      <c r="O29" s="39">
        <f t="shared" si="2"/>
        <v>2</v>
      </c>
      <c r="P29" s="40">
        <v>65.0</v>
      </c>
      <c r="Q29" s="41">
        <v>65.00000100000001</v>
      </c>
      <c r="R29" s="42" t="str">
        <f t="shared" si="4"/>
        <v/>
      </c>
      <c r="S29" s="43" t="s">
        <v>117</v>
      </c>
      <c r="T29" s="72">
        <v>8.4001153E7</v>
      </c>
      <c r="U29" s="67" t="s">
        <v>118</v>
      </c>
      <c r="V29" s="66"/>
      <c r="W29" s="59" t="s">
        <v>119</v>
      </c>
      <c r="X29" s="63"/>
      <c r="Y29" s="49"/>
      <c r="Z29" s="50"/>
      <c r="AA29" s="51"/>
    </row>
    <row r="30">
      <c r="A30" s="30" t="s">
        <v>157</v>
      </c>
      <c r="B30" s="52" t="s">
        <v>158</v>
      </c>
      <c r="C30" s="30"/>
      <c r="D30" s="53">
        <v>15.78</v>
      </c>
      <c r="E30" s="73">
        <v>6.0</v>
      </c>
      <c r="F30" s="34" t="s">
        <v>78</v>
      </c>
      <c r="G30" s="35"/>
      <c r="H30" s="35"/>
      <c r="I30" s="70"/>
      <c r="J30" s="35">
        <v>6.0</v>
      </c>
      <c r="K30" s="68"/>
      <c r="L30" s="37"/>
      <c r="M30" s="38">
        <f t="shared" si="1"/>
        <v>0</v>
      </c>
      <c r="N30" s="38"/>
      <c r="O30" s="39">
        <f t="shared" si="2"/>
        <v>6</v>
      </c>
      <c r="P30" s="40">
        <v>28.0</v>
      </c>
      <c r="Q30" s="41">
        <v>28.000005000000005</v>
      </c>
      <c r="R30" s="42" t="str">
        <f t="shared" si="4"/>
        <v/>
      </c>
      <c r="S30" s="43" t="s">
        <v>159</v>
      </c>
      <c r="T30" s="44">
        <v>8400391.0</v>
      </c>
      <c r="U30" s="67" t="s">
        <v>160</v>
      </c>
      <c r="V30" s="66" t="s">
        <v>161</v>
      </c>
      <c r="W30" s="59" t="s">
        <v>162</v>
      </c>
      <c r="X30" s="48"/>
      <c r="Y30" s="49"/>
      <c r="Z30" s="50"/>
      <c r="AA30" s="51"/>
    </row>
    <row r="31">
      <c r="A31" s="30" t="s">
        <v>163</v>
      </c>
      <c r="B31" s="52" t="s">
        <v>164</v>
      </c>
      <c r="C31" s="30"/>
      <c r="D31" s="53">
        <v>10.25</v>
      </c>
      <c r="E31" s="73">
        <v>3.0</v>
      </c>
      <c r="F31" s="34" t="s">
        <v>78</v>
      </c>
      <c r="G31" s="35"/>
      <c r="H31" s="35"/>
      <c r="I31" s="61"/>
      <c r="J31" s="35"/>
      <c r="K31" s="35">
        <v>3.0</v>
      </c>
      <c r="L31" s="62"/>
      <c r="M31" s="38">
        <f t="shared" si="1"/>
        <v>0</v>
      </c>
      <c r="N31" s="38"/>
      <c r="O31" s="39">
        <f t="shared" si="2"/>
        <v>3</v>
      </c>
      <c r="P31" s="76">
        <v>28.0</v>
      </c>
      <c r="Q31" s="41">
        <v>28.000005000000005</v>
      </c>
      <c r="R31" s="42" t="str">
        <f t="shared" si="4"/>
        <v/>
      </c>
      <c r="S31" s="43" t="s">
        <v>165</v>
      </c>
      <c r="T31" s="72">
        <v>8400591.0</v>
      </c>
      <c r="U31" s="67" t="s">
        <v>166</v>
      </c>
      <c r="V31" s="66" t="s">
        <v>167</v>
      </c>
      <c r="W31" s="59" t="s">
        <v>168</v>
      </c>
      <c r="X31" s="63"/>
      <c r="Y31" s="49"/>
      <c r="Z31" s="50"/>
      <c r="AA31" s="51"/>
    </row>
    <row r="32">
      <c r="A32" s="30" t="s">
        <v>169</v>
      </c>
      <c r="B32" s="52" t="s">
        <v>170</v>
      </c>
      <c r="C32" s="30"/>
      <c r="D32" s="53">
        <v>4.33</v>
      </c>
      <c r="E32" s="73">
        <v>24.0</v>
      </c>
      <c r="F32" s="34" t="s">
        <v>78</v>
      </c>
      <c r="G32" s="35"/>
      <c r="H32" s="35"/>
      <c r="I32" s="61"/>
      <c r="J32" s="35">
        <v>12.0</v>
      </c>
      <c r="K32" s="35">
        <v>12.0</v>
      </c>
      <c r="L32" s="37"/>
      <c r="M32" s="38">
        <f t="shared" si="1"/>
        <v>0</v>
      </c>
      <c r="N32" s="38"/>
      <c r="O32" s="39">
        <f t="shared" si="2"/>
        <v>24</v>
      </c>
      <c r="P32" s="40">
        <v>12.0</v>
      </c>
      <c r="Q32" s="41">
        <v>11.999999000000003</v>
      </c>
      <c r="R32" s="42" t="str">
        <f t="shared" si="4"/>
        <v/>
      </c>
      <c r="S32" s="43" t="s">
        <v>171</v>
      </c>
      <c r="T32" s="44">
        <v>8400895.0</v>
      </c>
      <c r="U32" s="67" t="s">
        <v>172</v>
      </c>
      <c r="V32" s="66">
        <v>83612.0</v>
      </c>
      <c r="W32" s="59" t="s">
        <v>173</v>
      </c>
      <c r="X32" s="60"/>
      <c r="Y32" s="49"/>
      <c r="Z32" s="50"/>
      <c r="AA32" s="51"/>
    </row>
    <row r="33">
      <c r="A33" s="30"/>
      <c r="B33" s="52"/>
      <c r="C33" s="30"/>
      <c r="D33" s="53"/>
      <c r="E33" s="54"/>
      <c r="F33" s="34"/>
      <c r="G33" s="35"/>
      <c r="H33" s="68"/>
      <c r="I33" s="61"/>
      <c r="J33" s="35"/>
      <c r="K33" s="35"/>
      <c r="L33" s="37"/>
      <c r="M33" s="38" t="str">
        <f t="shared" si="1"/>
        <v/>
      </c>
      <c r="N33" s="38"/>
      <c r="O33" s="39" t="str">
        <f t="shared" si="2"/>
        <v/>
      </c>
      <c r="P33" s="40"/>
      <c r="Q33" s="41"/>
      <c r="R33" s="42"/>
      <c r="S33" s="43"/>
      <c r="T33" s="44"/>
      <c r="U33" s="67"/>
      <c r="V33" s="66"/>
      <c r="W33" s="47"/>
      <c r="X33" s="63"/>
      <c r="Y33" s="49"/>
      <c r="Z33" s="50"/>
      <c r="AA33" s="51"/>
    </row>
    <row r="34">
      <c r="A34" s="30"/>
      <c r="B34" s="52"/>
      <c r="C34" s="30"/>
      <c r="D34" s="53"/>
      <c r="E34" s="73"/>
      <c r="F34" s="34"/>
      <c r="G34" s="35"/>
      <c r="H34" s="35"/>
      <c r="I34" s="56"/>
      <c r="J34" s="35"/>
      <c r="K34" s="35"/>
      <c r="L34" s="37"/>
      <c r="M34" s="38" t="str">
        <f t="shared" si="1"/>
        <v/>
      </c>
      <c r="N34" s="38"/>
      <c r="O34" s="39" t="str">
        <f t="shared" si="2"/>
        <v/>
      </c>
      <c r="P34" s="40"/>
      <c r="Q34" s="41"/>
      <c r="R34" s="42"/>
      <c r="S34" s="43"/>
      <c r="T34" s="44"/>
      <c r="U34" s="67"/>
      <c r="V34" s="66"/>
      <c r="W34" s="47"/>
      <c r="X34" s="60"/>
      <c r="Y34" s="49"/>
      <c r="Z34" s="50"/>
      <c r="AA34" s="51"/>
    </row>
    <row r="35">
      <c r="A35" s="30"/>
      <c r="B35" s="52"/>
      <c r="C35" s="30"/>
      <c r="D35" s="53"/>
      <c r="E35" s="73"/>
      <c r="F35" s="34"/>
      <c r="G35" s="35"/>
      <c r="H35" s="35"/>
      <c r="I35" s="56"/>
      <c r="J35" s="35"/>
      <c r="K35" s="35"/>
      <c r="L35" s="37"/>
      <c r="M35" s="38" t="str">
        <f t="shared" si="1"/>
        <v/>
      </c>
      <c r="N35" s="38"/>
      <c r="O35" s="39" t="str">
        <f t="shared" si="2"/>
        <v/>
      </c>
      <c r="P35" s="40"/>
      <c r="Q35" s="41"/>
      <c r="R35" s="42"/>
      <c r="S35" s="43"/>
      <c r="T35" s="44"/>
      <c r="U35" s="67"/>
      <c r="V35" s="66"/>
      <c r="W35" s="47"/>
      <c r="X35" s="63"/>
      <c r="Y35" s="49"/>
      <c r="Z35" s="50"/>
      <c r="AA35" s="51"/>
    </row>
    <row r="36">
      <c r="A36" s="30"/>
      <c r="B36" s="31"/>
      <c r="C36" s="77"/>
      <c r="D36" s="32"/>
      <c r="E36" s="52"/>
      <c r="F36" s="34"/>
      <c r="G36" s="35"/>
      <c r="H36" s="35"/>
      <c r="I36" s="61"/>
      <c r="J36" s="68"/>
      <c r="K36" s="35"/>
      <c r="L36" s="37"/>
      <c r="M36" s="38" t="str">
        <f t="shared" si="1"/>
        <v/>
      </c>
      <c r="N36" s="38"/>
      <c r="O36" s="39" t="str">
        <f t="shared" si="2"/>
        <v/>
      </c>
      <c r="P36" s="64"/>
      <c r="Q36" s="41"/>
      <c r="R36" s="42"/>
      <c r="S36" s="43"/>
      <c r="T36" s="44"/>
      <c r="U36" s="67"/>
      <c r="V36" s="66"/>
      <c r="W36" s="47"/>
      <c r="X36" s="60"/>
      <c r="Y36" s="49"/>
      <c r="Z36" s="50"/>
      <c r="AA36" s="51"/>
    </row>
    <row r="37">
      <c r="A37" s="30"/>
      <c r="B37" s="52"/>
      <c r="C37" s="30"/>
      <c r="D37" s="53"/>
      <c r="E37" s="73"/>
      <c r="F37" s="34"/>
      <c r="G37" s="35"/>
      <c r="H37" s="35"/>
      <c r="I37" s="61"/>
      <c r="J37" s="35"/>
      <c r="K37" s="35"/>
      <c r="L37" s="37"/>
      <c r="M37" s="38" t="str">
        <f t="shared" si="1"/>
        <v/>
      </c>
      <c r="N37" s="38"/>
      <c r="O37" s="39" t="str">
        <f t="shared" si="2"/>
        <v/>
      </c>
      <c r="P37" s="64"/>
      <c r="Q37" s="41"/>
      <c r="R37" s="42"/>
      <c r="S37" s="43"/>
      <c r="T37" s="44"/>
      <c r="U37" s="67"/>
      <c r="V37" s="66"/>
      <c r="W37" s="47"/>
      <c r="X37" s="63"/>
      <c r="Y37" s="49"/>
      <c r="Z37" s="50"/>
      <c r="AA37" s="51"/>
    </row>
    <row r="38">
      <c r="A38" s="30"/>
      <c r="B38" s="31"/>
      <c r="C38" s="77"/>
      <c r="D38" s="32"/>
      <c r="E38" s="52"/>
      <c r="F38" s="34"/>
      <c r="G38" s="35"/>
      <c r="H38" s="35"/>
      <c r="I38" s="61"/>
      <c r="J38" s="68"/>
      <c r="K38" s="35"/>
      <c r="L38" s="37"/>
      <c r="M38" s="38" t="str">
        <f t="shared" si="1"/>
        <v/>
      </c>
      <c r="N38" s="38"/>
      <c r="O38" s="39" t="str">
        <f t="shared" si="2"/>
        <v/>
      </c>
      <c r="P38" s="76"/>
      <c r="Q38" s="41"/>
      <c r="R38" s="42"/>
      <c r="S38" s="43"/>
      <c r="T38" s="72"/>
      <c r="U38" s="67"/>
      <c r="V38" s="66"/>
      <c r="W38" s="47"/>
      <c r="X38" s="71"/>
      <c r="Y38" s="49"/>
      <c r="Z38" s="50"/>
      <c r="AA38" s="51"/>
    </row>
    <row r="39">
      <c r="A39" s="30"/>
      <c r="B39" s="52"/>
      <c r="C39" s="30"/>
      <c r="D39" s="53"/>
      <c r="E39" s="78"/>
      <c r="F39" s="34"/>
      <c r="G39" s="68"/>
      <c r="H39" s="68"/>
      <c r="I39" s="61"/>
      <c r="J39" s="68"/>
      <c r="K39" s="35"/>
      <c r="L39" s="37"/>
      <c r="M39" s="38" t="str">
        <f t="shared" si="1"/>
        <v/>
      </c>
      <c r="N39" s="38"/>
      <c r="O39" s="39" t="str">
        <f t="shared" si="2"/>
        <v/>
      </c>
      <c r="P39" s="76"/>
      <c r="Q39" s="41"/>
      <c r="R39" s="42"/>
      <c r="S39" s="79"/>
      <c r="T39" s="80"/>
      <c r="U39" s="67"/>
      <c r="V39" s="66"/>
      <c r="W39" s="47"/>
      <c r="X39" s="63"/>
      <c r="Y39" s="49"/>
      <c r="Z39" s="50"/>
      <c r="AA39" s="51"/>
    </row>
    <row r="40">
      <c r="A40" s="30"/>
      <c r="B40" s="52"/>
      <c r="C40" s="30"/>
      <c r="D40" s="53"/>
      <c r="E40" s="73"/>
      <c r="F40" s="34"/>
      <c r="G40" s="35"/>
      <c r="H40" s="68"/>
      <c r="I40" s="56"/>
      <c r="J40" s="35"/>
      <c r="K40" s="35"/>
      <c r="L40" s="37"/>
      <c r="M40" s="38" t="str">
        <f t="shared" si="1"/>
        <v/>
      </c>
      <c r="N40" s="38"/>
      <c r="O40" s="39" t="str">
        <f t="shared" si="2"/>
        <v/>
      </c>
      <c r="P40" s="40"/>
      <c r="Q40" s="41"/>
      <c r="R40" s="42"/>
      <c r="S40" s="43"/>
      <c r="T40" s="44"/>
      <c r="U40" s="67"/>
      <c r="V40" s="66"/>
      <c r="W40" s="47"/>
      <c r="X40" s="60"/>
      <c r="Y40" s="49"/>
      <c r="Z40" s="50"/>
      <c r="AA40" s="51"/>
    </row>
    <row r="41">
      <c r="A41" s="30"/>
      <c r="B41" s="52"/>
      <c r="C41" s="30"/>
      <c r="D41" s="53"/>
      <c r="E41" s="73"/>
      <c r="F41" s="34"/>
      <c r="G41" s="68"/>
      <c r="H41" s="35"/>
      <c r="I41" s="56"/>
      <c r="J41" s="35"/>
      <c r="K41" s="35"/>
      <c r="L41" s="37"/>
      <c r="M41" s="38" t="str">
        <f t="shared" si="1"/>
        <v/>
      </c>
      <c r="N41" s="38"/>
      <c r="O41" s="39" t="str">
        <f t="shared" si="2"/>
        <v/>
      </c>
      <c r="P41" s="40"/>
      <c r="Q41" s="41"/>
      <c r="R41" s="42"/>
      <c r="S41" s="81"/>
      <c r="T41" s="44"/>
      <c r="U41" s="67"/>
      <c r="V41" s="66"/>
      <c r="W41" s="47"/>
      <c r="X41" s="60"/>
      <c r="Y41" s="49"/>
      <c r="Z41" s="50"/>
      <c r="AA41" s="51"/>
    </row>
    <row r="42">
      <c r="A42" s="30"/>
      <c r="B42" s="52"/>
      <c r="C42" s="30"/>
      <c r="D42" s="53"/>
      <c r="E42" s="78"/>
      <c r="F42" s="34"/>
      <c r="G42" s="68"/>
      <c r="H42" s="68"/>
      <c r="I42" s="56"/>
      <c r="J42" s="68"/>
      <c r="K42" s="35"/>
      <c r="L42" s="37"/>
      <c r="M42" s="38"/>
      <c r="N42" s="38"/>
      <c r="O42" s="39"/>
      <c r="P42" s="76"/>
      <c r="Q42" s="41"/>
      <c r="R42" s="42"/>
      <c r="S42" s="82"/>
      <c r="T42" s="83"/>
      <c r="U42" s="67"/>
      <c r="V42" s="66"/>
      <c r="W42" s="47"/>
      <c r="X42" s="63"/>
      <c r="Y42" s="49"/>
      <c r="Z42" s="50"/>
      <c r="AA42" s="51"/>
    </row>
    <row r="43">
      <c r="A43" s="30"/>
      <c r="B43" s="52"/>
      <c r="C43" s="30"/>
      <c r="D43" s="53"/>
      <c r="E43" s="73"/>
      <c r="F43" s="34"/>
      <c r="G43" s="68"/>
      <c r="H43" s="68"/>
      <c r="I43" s="56"/>
      <c r="J43" s="68"/>
      <c r="K43" s="35"/>
      <c r="L43" s="37"/>
      <c r="M43" s="38" t="str">
        <f t="shared" ref="M43:M196" si="5">IF(E43&lt;&gt;"", E43 - SUM(G43:L43), "")</f>
        <v/>
      </c>
      <c r="N43" s="38"/>
      <c r="O43" s="39" t="str">
        <f t="shared" ref="O43:O196" si="6">IF(AND(F43&lt;&gt;"", E43&lt;&gt;""), F43*E43, "")</f>
        <v/>
      </c>
      <c r="P43" s="76"/>
      <c r="Q43" s="41"/>
      <c r="R43" s="42"/>
      <c r="S43" s="82"/>
      <c r="T43" s="83"/>
      <c r="U43" s="67"/>
      <c r="V43" s="66"/>
      <c r="W43" s="47"/>
      <c r="X43" s="63"/>
      <c r="Y43" s="49"/>
      <c r="Z43" s="50"/>
      <c r="AA43" s="51"/>
    </row>
    <row r="44">
      <c r="A44" s="30"/>
      <c r="B44" s="31"/>
      <c r="C44" s="77"/>
      <c r="D44" s="32"/>
      <c r="E44" s="52"/>
      <c r="F44" s="34"/>
      <c r="G44" s="68"/>
      <c r="H44" s="68"/>
      <c r="I44" s="56"/>
      <c r="J44" s="35"/>
      <c r="K44" s="35"/>
      <c r="L44" s="37"/>
      <c r="M44" s="38" t="str">
        <f t="shared" si="5"/>
        <v/>
      </c>
      <c r="N44" s="38"/>
      <c r="O44" s="39" t="str">
        <f t="shared" si="6"/>
        <v/>
      </c>
      <c r="P44" s="76"/>
      <c r="Q44" s="41"/>
      <c r="R44" s="42"/>
      <c r="S44" s="82"/>
      <c r="T44" s="83"/>
      <c r="U44" s="67"/>
      <c r="V44" s="66"/>
      <c r="W44" s="47"/>
      <c r="X44" s="63"/>
      <c r="Y44" s="49"/>
      <c r="Z44" s="50"/>
      <c r="AA44" s="51"/>
    </row>
    <row r="45">
      <c r="A45" s="30"/>
      <c r="B45" s="52"/>
      <c r="C45" s="30"/>
      <c r="D45" s="53"/>
      <c r="E45" s="78"/>
      <c r="F45" s="84"/>
      <c r="G45" s="68"/>
      <c r="H45" s="68"/>
      <c r="I45" s="61"/>
      <c r="J45" s="68"/>
      <c r="K45" s="68"/>
      <c r="L45" s="37"/>
      <c r="M45" s="38" t="str">
        <f t="shared" si="5"/>
        <v/>
      </c>
      <c r="N45" s="38"/>
      <c r="O45" s="39" t="str">
        <f t="shared" si="6"/>
        <v/>
      </c>
      <c r="P45" s="64"/>
      <c r="Q45" s="41"/>
      <c r="R45" s="42"/>
      <c r="S45" s="81"/>
      <c r="T45" s="44"/>
      <c r="U45" s="67"/>
      <c r="V45" s="66"/>
      <c r="W45" s="47"/>
      <c r="X45" s="63"/>
      <c r="Y45" s="49"/>
      <c r="Z45" s="50"/>
      <c r="AA45" s="51"/>
    </row>
    <row r="46">
      <c r="A46" s="30"/>
      <c r="B46" s="52"/>
      <c r="C46" s="30"/>
      <c r="D46" s="53"/>
      <c r="E46" s="73"/>
      <c r="F46" s="34"/>
      <c r="G46" s="68"/>
      <c r="H46" s="68"/>
      <c r="I46" s="61"/>
      <c r="J46" s="35"/>
      <c r="K46" s="35"/>
      <c r="L46" s="37"/>
      <c r="M46" s="38" t="str">
        <f t="shared" si="5"/>
        <v/>
      </c>
      <c r="N46" s="38"/>
      <c r="O46" s="39" t="str">
        <f t="shared" si="6"/>
        <v/>
      </c>
      <c r="P46" s="64"/>
      <c r="Q46" s="41"/>
      <c r="R46" s="42"/>
      <c r="S46" s="81"/>
      <c r="T46" s="44"/>
      <c r="U46" s="67"/>
      <c r="V46" s="66"/>
      <c r="W46" s="47"/>
      <c r="X46" s="60"/>
      <c r="Y46" s="49"/>
      <c r="Z46" s="50"/>
      <c r="AA46" s="51"/>
    </row>
    <row r="47">
      <c r="A47" s="30"/>
      <c r="B47" s="31"/>
      <c r="C47" s="77"/>
      <c r="D47" s="32"/>
      <c r="E47" s="52"/>
      <c r="F47" s="34"/>
      <c r="G47" s="68"/>
      <c r="H47" s="68"/>
      <c r="I47" s="61"/>
      <c r="J47" s="35"/>
      <c r="K47" s="35"/>
      <c r="L47" s="37"/>
      <c r="M47" s="38" t="str">
        <f t="shared" si="5"/>
        <v/>
      </c>
      <c r="N47" s="38"/>
      <c r="O47" s="39" t="str">
        <f t="shared" si="6"/>
        <v/>
      </c>
      <c r="P47" s="40"/>
      <c r="Q47" s="41"/>
      <c r="R47" s="42"/>
      <c r="S47" s="81"/>
      <c r="T47" s="44"/>
      <c r="U47" s="67"/>
      <c r="V47" s="66"/>
      <c r="W47" s="47"/>
      <c r="X47" s="63"/>
      <c r="Y47" s="49"/>
      <c r="Z47" s="50"/>
      <c r="AA47" s="51"/>
    </row>
    <row r="48">
      <c r="A48" s="30"/>
      <c r="B48" s="52"/>
      <c r="C48" s="30"/>
      <c r="D48" s="53"/>
      <c r="E48" s="73"/>
      <c r="F48" s="34"/>
      <c r="G48" s="68"/>
      <c r="H48" s="68"/>
      <c r="I48" s="56"/>
      <c r="J48" s="68"/>
      <c r="K48" s="68"/>
      <c r="L48" s="37"/>
      <c r="M48" s="38" t="str">
        <f t="shared" si="5"/>
        <v/>
      </c>
      <c r="N48" s="38"/>
      <c r="O48" s="39" t="str">
        <f t="shared" si="6"/>
        <v/>
      </c>
      <c r="P48" s="40"/>
      <c r="Q48" s="41"/>
      <c r="R48" s="42"/>
      <c r="S48" s="81"/>
      <c r="T48" s="44"/>
      <c r="U48" s="67"/>
      <c r="V48" s="66"/>
      <c r="W48" s="47"/>
      <c r="X48" s="60"/>
      <c r="Y48" s="49"/>
      <c r="Z48" s="50"/>
      <c r="AA48" s="51"/>
    </row>
    <row r="49">
      <c r="A49" s="30"/>
      <c r="B49" s="52"/>
      <c r="C49" s="30"/>
      <c r="D49" s="53"/>
      <c r="E49" s="73"/>
      <c r="F49" s="34"/>
      <c r="G49" s="68"/>
      <c r="H49" s="68"/>
      <c r="I49" s="56"/>
      <c r="J49" s="35"/>
      <c r="K49" s="35"/>
      <c r="L49" s="37"/>
      <c r="M49" s="38" t="str">
        <f t="shared" si="5"/>
        <v/>
      </c>
      <c r="N49" s="38"/>
      <c r="O49" s="39" t="str">
        <f t="shared" si="6"/>
        <v/>
      </c>
      <c r="P49" s="40"/>
      <c r="Q49" s="41"/>
      <c r="R49" s="42"/>
      <c r="S49" s="81"/>
      <c r="T49" s="44"/>
      <c r="U49" s="67"/>
      <c r="V49" s="66"/>
      <c r="W49" s="47"/>
      <c r="X49" s="69"/>
      <c r="Y49" s="49"/>
      <c r="Z49" s="50"/>
      <c r="AA49" s="51"/>
    </row>
    <row r="50">
      <c r="A50" s="30"/>
      <c r="B50" s="52"/>
      <c r="C50" s="30"/>
      <c r="D50" s="53"/>
      <c r="E50" s="73"/>
      <c r="F50" s="34"/>
      <c r="G50" s="68"/>
      <c r="H50" s="68"/>
      <c r="I50" s="61"/>
      <c r="J50" s="35"/>
      <c r="K50" s="35"/>
      <c r="L50" s="37"/>
      <c r="M50" s="38" t="str">
        <f t="shared" si="5"/>
        <v/>
      </c>
      <c r="N50" s="38"/>
      <c r="O50" s="39" t="str">
        <f t="shared" si="6"/>
        <v/>
      </c>
      <c r="P50" s="40"/>
      <c r="Q50" s="41"/>
      <c r="R50" s="42"/>
      <c r="S50" s="81"/>
      <c r="T50" s="44"/>
      <c r="U50" s="67"/>
      <c r="V50" s="66"/>
      <c r="W50" s="47"/>
      <c r="X50" s="60"/>
      <c r="Y50" s="49"/>
      <c r="Z50" s="50"/>
      <c r="AA50" s="51"/>
    </row>
    <row r="51">
      <c r="A51" s="30"/>
      <c r="B51" s="31"/>
      <c r="C51" s="77"/>
      <c r="D51" s="32"/>
      <c r="E51" s="52"/>
      <c r="F51" s="34"/>
      <c r="G51" s="68"/>
      <c r="H51" s="68"/>
      <c r="I51" s="56"/>
      <c r="J51" s="35"/>
      <c r="K51" s="35"/>
      <c r="L51" s="37"/>
      <c r="M51" s="38" t="str">
        <f t="shared" si="5"/>
        <v/>
      </c>
      <c r="N51" s="38"/>
      <c r="O51" s="39" t="str">
        <f t="shared" si="6"/>
        <v/>
      </c>
      <c r="P51" s="40"/>
      <c r="Q51" s="41"/>
      <c r="R51" s="42"/>
      <c r="S51" s="81"/>
      <c r="T51" s="44"/>
      <c r="U51" s="67"/>
      <c r="V51" s="66"/>
      <c r="W51" s="47"/>
      <c r="X51" s="63"/>
      <c r="Y51" s="49"/>
      <c r="Z51" s="50"/>
      <c r="AA51" s="51"/>
    </row>
    <row r="52">
      <c r="A52" s="30"/>
      <c r="B52" s="52"/>
      <c r="C52" s="30"/>
      <c r="D52" s="53"/>
      <c r="E52" s="73"/>
      <c r="F52" s="34"/>
      <c r="G52" s="68"/>
      <c r="H52" s="68"/>
      <c r="I52" s="56"/>
      <c r="J52" s="35"/>
      <c r="K52" s="35"/>
      <c r="L52" s="37"/>
      <c r="M52" s="38" t="str">
        <f t="shared" si="5"/>
        <v/>
      </c>
      <c r="N52" s="38"/>
      <c r="O52" s="39" t="str">
        <f t="shared" si="6"/>
        <v/>
      </c>
      <c r="P52" s="40"/>
      <c r="Q52" s="41"/>
      <c r="R52" s="42"/>
      <c r="S52" s="81"/>
      <c r="T52" s="44"/>
      <c r="U52" s="67"/>
      <c r="V52" s="66"/>
      <c r="W52" s="47"/>
      <c r="X52" s="60"/>
      <c r="Y52" s="49"/>
      <c r="Z52" s="50"/>
      <c r="AA52" s="51"/>
    </row>
    <row r="53">
      <c r="A53" s="30"/>
      <c r="B53" s="52"/>
      <c r="C53" s="30"/>
      <c r="D53" s="53"/>
      <c r="E53" s="73"/>
      <c r="F53" s="34"/>
      <c r="G53" s="68"/>
      <c r="H53" s="68"/>
      <c r="I53" s="56"/>
      <c r="J53" s="35"/>
      <c r="K53" s="35"/>
      <c r="L53" s="37"/>
      <c r="M53" s="38" t="str">
        <f t="shared" si="5"/>
        <v/>
      </c>
      <c r="N53" s="38"/>
      <c r="O53" s="39" t="str">
        <f t="shared" si="6"/>
        <v/>
      </c>
      <c r="P53" s="40"/>
      <c r="Q53" s="41"/>
      <c r="R53" s="42"/>
      <c r="S53" s="81"/>
      <c r="T53" s="44"/>
      <c r="U53" s="67"/>
      <c r="V53" s="66"/>
      <c r="W53" s="47"/>
      <c r="X53" s="63"/>
      <c r="Y53" s="49"/>
      <c r="Z53" s="50"/>
      <c r="AA53" s="51"/>
    </row>
    <row r="54">
      <c r="A54" s="30"/>
      <c r="B54" s="52"/>
      <c r="C54" s="30"/>
      <c r="D54" s="53"/>
      <c r="E54" s="73"/>
      <c r="F54" s="34"/>
      <c r="G54" s="68"/>
      <c r="H54" s="68"/>
      <c r="I54" s="61"/>
      <c r="J54" s="68"/>
      <c r="K54" s="35"/>
      <c r="L54" s="37"/>
      <c r="M54" s="38" t="str">
        <f t="shared" si="5"/>
        <v/>
      </c>
      <c r="N54" s="38"/>
      <c r="O54" s="39" t="str">
        <f t="shared" si="6"/>
        <v/>
      </c>
      <c r="P54" s="40"/>
      <c r="Q54" s="41"/>
      <c r="R54" s="42"/>
      <c r="S54" s="81"/>
      <c r="T54" s="44"/>
      <c r="U54" s="67"/>
      <c r="V54" s="66"/>
      <c r="W54" s="47"/>
      <c r="X54" s="60"/>
      <c r="Y54" s="49"/>
      <c r="Z54" s="50"/>
      <c r="AA54" s="51"/>
    </row>
    <row r="55">
      <c r="A55" s="30"/>
      <c r="B55" s="52"/>
      <c r="C55" s="30"/>
      <c r="D55" s="53"/>
      <c r="E55" s="73"/>
      <c r="F55" s="34"/>
      <c r="G55" s="68"/>
      <c r="H55" s="68"/>
      <c r="I55" s="56"/>
      <c r="J55" s="35"/>
      <c r="K55" s="68"/>
      <c r="L55" s="37"/>
      <c r="M55" s="38" t="str">
        <f t="shared" si="5"/>
        <v/>
      </c>
      <c r="N55" s="38"/>
      <c r="O55" s="39" t="str">
        <f t="shared" si="6"/>
        <v/>
      </c>
      <c r="P55" s="40"/>
      <c r="Q55" s="41"/>
      <c r="R55" s="42"/>
      <c r="S55" s="81"/>
      <c r="T55" s="44"/>
      <c r="U55" s="67"/>
      <c r="V55" s="66"/>
      <c r="W55" s="47"/>
      <c r="X55" s="63"/>
      <c r="Y55" s="49"/>
      <c r="Z55" s="50"/>
      <c r="AA55" s="51"/>
    </row>
    <row r="56">
      <c r="A56" s="30"/>
      <c r="B56" s="52"/>
      <c r="C56" s="30"/>
      <c r="D56" s="53"/>
      <c r="E56" s="73"/>
      <c r="F56" s="34"/>
      <c r="G56" s="68"/>
      <c r="H56" s="68"/>
      <c r="I56" s="56"/>
      <c r="J56" s="35"/>
      <c r="K56" s="35"/>
      <c r="L56" s="37"/>
      <c r="M56" s="38" t="str">
        <f t="shared" si="5"/>
        <v/>
      </c>
      <c r="N56" s="38"/>
      <c r="O56" s="39" t="str">
        <f t="shared" si="6"/>
        <v/>
      </c>
      <c r="P56" s="40"/>
      <c r="Q56" s="41"/>
      <c r="R56" s="42"/>
      <c r="S56" s="81"/>
      <c r="T56" s="44"/>
      <c r="U56" s="67"/>
      <c r="V56" s="66"/>
      <c r="W56" s="47"/>
      <c r="X56" s="60"/>
      <c r="Y56" s="49"/>
      <c r="Z56" s="50"/>
      <c r="AA56" s="51"/>
    </row>
    <row r="57">
      <c r="A57" s="30"/>
      <c r="B57" s="52"/>
      <c r="C57" s="30"/>
      <c r="D57" s="53"/>
      <c r="E57" s="73"/>
      <c r="F57" s="34"/>
      <c r="G57" s="68"/>
      <c r="H57" s="68"/>
      <c r="I57" s="61"/>
      <c r="J57" s="35"/>
      <c r="K57" s="35"/>
      <c r="L57" s="37"/>
      <c r="M57" s="38" t="str">
        <f t="shared" si="5"/>
        <v/>
      </c>
      <c r="N57" s="38"/>
      <c r="O57" s="39" t="str">
        <f t="shared" si="6"/>
        <v/>
      </c>
      <c r="P57" s="40"/>
      <c r="Q57" s="41"/>
      <c r="R57" s="42"/>
      <c r="S57" s="81"/>
      <c r="T57" s="44"/>
      <c r="U57" s="67"/>
      <c r="V57" s="66"/>
      <c r="W57" s="47"/>
      <c r="X57" s="63"/>
      <c r="Y57" s="49"/>
      <c r="Z57" s="50"/>
      <c r="AA57" s="51"/>
    </row>
    <row r="58">
      <c r="A58" s="30"/>
      <c r="B58" s="52"/>
      <c r="C58" s="30"/>
      <c r="D58" s="53"/>
      <c r="E58" s="73"/>
      <c r="F58" s="34"/>
      <c r="G58" s="35"/>
      <c r="H58" s="35"/>
      <c r="I58" s="56"/>
      <c r="J58" s="35"/>
      <c r="K58" s="35"/>
      <c r="L58" s="37"/>
      <c r="M58" s="38" t="str">
        <f t="shared" si="5"/>
        <v/>
      </c>
      <c r="N58" s="38"/>
      <c r="O58" s="39" t="str">
        <f t="shared" si="6"/>
        <v/>
      </c>
      <c r="P58" s="40"/>
      <c r="Q58" s="41"/>
      <c r="R58" s="42"/>
      <c r="S58" s="81"/>
      <c r="T58" s="44"/>
      <c r="U58" s="67"/>
      <c r="V58" s="66"/>
      <c r="W58" s="47"/>
      <c r="X58" s="60"/>
      <c r="Y58" s="49"/>
      <c r="Z58" s="50"/>
      <c r="AA58" s="51"/>
    </row>
    <row r="59">
      <c r="A59" s="30"/>
      <c r="B59" s="52"/>
      <c r="C59" s="30"/>
      <c r="D59" s="53"/>
      <c r="E59" s="73"/>
      <c r="F59" s="34"/>
      <c r="G59" s="68"/>
      <c r="H59" s="68"/>
      <c r="I59" s="61"/>
      <c r="J59" s="68"/>
      <c r="K59" s="35"/>
      <c r="L59" s="37"/>
      <c r="M59" s="38" t="str">
        <f t="shared" si="5"/>
        <v/>
      </c>
      <c r="N59" s="38"/>
      <c r="O59" s="39" t="str">
        <f t="shared" si="6"/>
        <v/>
      </c>
      <c r="P59" s="40"/>
      <c r="Q59" s="41"/>
      <c r="R59" s="42"/>
      <c r="S59" s="81"/>
      <c r="T59" s="44"/>
      <c r="U59" s="67"/>
      <c r="V59" s="66"/>
      <c r="W59" s="47"/>
      <c r="X59" s="63"/>
      <c r="Y59" s="49"/>
      <c r="Z59" s="50"/>
      <c r="AA59" s="51"/>
    </row>
    <row r="60">
      <c r="A60" s="30"/>
      <c r="B60" s="52"/>
      <c r="C60" s="30"/>
      <c r="D60" s="53"/>
      <c r="E60" s="73"/>
      <c r="F60" s="34"/>
      <c r="G60" s="68"/>
      <c r="H60" s="68"/>
      <c r="I60" s="56"/>
      <c r="J60" s="35"/>
      <c r="K60" s="35"/>
      <c r="L60" s="37"/>
      <c r="M60" s="38" t="str">
        <f t="shared" si="5"/>
        <v/>
      </c>
      <c r="N60" s="38"/>
      <c r="O60" s="39" t="str">
        <f t="shared" si="6"/>
        <v/>
      </c>
      <c r="P60" s="64"/>
      <c r="Q60" s="41"/>
      <c r="R60" s="42"/>
      <c r="S60" s="81"/>
      <c r="T60" s="44"/>
      <c r="U60" s="67"/>
      <c r="V60" s="66"/>
      <c r="W60" s="47"/>
      <c r="X60" s="60"/>
      <c r="Y60" s="49"/>
      <c r="Z60" s="50"/>
      <c r="AA60" s="51"/>
    </row>
    <row r="61">
      <c r="A61" s="30"/>
      <c r="B61" s="52"/>
      <c r="C61" s="30"/>
      <c r="D61" s="53"/>
      <c r="E61" s="73"/>
      <c r="F61" s="34"/>
      <c r="G61" s="68"/>
      <c r="H61" s="68"/>
      <c r="I61" s="61"/>
      <c r="J61" s="35"/>
      <c r="K61" s="35"/>
      <c r="L61" s="37"/>
      <c r="M61" s="38" t="str">
        <f t="shared" si="5"/>
        <v/>
      </c>
      <c r="N61" s="38"/>
      <c r="O61" s="39" t="str">
        <f t="shared" si="6"/>
        <v/>
      </c>
      <c r="P61" s="64"/>
      <c r="Q61" s="41"/>
      <c r="R61" s="42"/>
      <c r="S61" s="81"/>
      <c r="T61" s="44"/>
      <c r="U61" s="67"/>
      <c r="V61" s="66"/>
      <c r="W61" s="47"/>
      <c r="X61" s="63"/>
      <c r="Y61" s="49"/>
      <c r="Z61" s="50"/>
      <c r="AA61" s="51"/>
    </row>
    <row r="62">
      <c r="A62" s="30"/>
      <c r="B62" s="52"/>
      <c r="C62" s="30"/>
      <c r="D62" s="53"/>
      <c r="E62" s="73"/>
      <c r="F62" s="34"/>
      <c r="G62" s="68"/>
      <c r="H62" s="68"/>
      <c r="I62" s="56"/>
      <c r="J62" s="35"/>
      <c r="K62" s="35"/>
      <c r="L62" s="37"/>
      <c r="M62" s="38" t="str">
        <f t="shared" si="5"/>
        <v/>
      </c>
      <c r="N62" s="38"/>
      <c r="O62" s="39" t="str">
        <f t="shared" si="6"/>
        <v/>
      </c>
      <c r="P62" s="64"/>
      <c r="Q62" s="41"/>
      <c r="R62" s="42"/>
      <c r="S62" s="81"/>
      <c r="T62" s="44"/>
      <c r="U62" s="67"/>
      <c r="V62" s="66"/>
      <c r="W62" s="47"/>
      <c r="X62" s="60"/>
      <c r="Y62" s="49"/>
      <c r="Z62" s="50"/>
      <c r="AA62" s="51"/>
    </row>
    <row r="63">
      <c r="A63" s="30"/>
      <c r="B63" s="52"/>
      <c r="C63" s="30"/>
      <c r="D63" s="53"/>
      <c r="E63" s="73"/>
      <c r="F63" s="84"/>
      <c r="G63" s="68"/>
      <c r="H63" s="68"/>
      <c r="I63" s="61"/>
      <c r="J63" s="68"/>
      <c r="K63" s="68"/>
      <c r="L63" s="37"/>
      <c r="M63" s="38" t="str">
        <f t="shared" si="5"/>
        <v/>
      </c>
      <c r="N63" s="38"/>
      <c r="O63" s="39" t="str">
        <f t="shared" si="6"/>
        <v/>
      </c>
      <c r="P63" s="64"/>
      <c r="Q63" s="41"/>
      <c r="R63" s="42"/>
      <c r="S63" s="81"/>
      <c r="T63" s="44"/>
      <c r="U63" s="67"/>
      <c r="V63" s="66"/>
      <c r="W63" s="47"/>
      <c r="X63" s="63"/>
      <c r="Y63" s="49"/>
      <c r="Z63" s="50"/>
      <c r="AA63" s="51"/>
    </row>
    <row r="64">
      <c r="A64" s="30"/>
      <c r="B64" s="52"/>
      <c r="C64" s="30"/>
      <c r="D64" s="53"/>
      <c r="E64" s="73"/>
      <c r="F64" s="34"/>
      <c r="G64" s="35"/>
      <c r="H64" s="35"/>
      <c r="I64" s="56"/>
      <c r="J64" s="35"/>
      <c r="K64" s="35"/>
      <c r="L64" s="37"/>
      <c r="M64" s="38" t="str">
        <f t="shared" si="5"/>
        <v/>
      </c>
      <c r="N64" s="38"/>
      <c r="O64" s="39" t="str">
        <f t="shared" si="6"/>
        <v/>
      </c>
      <c r="P64" s="40"/>
      <c r="Q64" s="41"/>
      <c r="R64" s="42"/>
      <c r="S64" s="81"/>
      <c r="T64" s="44"/>
      <c r="U64" s="67"/>
      <c r="V64" s="66"/>
      <c r="W64" s="47"/>
      <c r="X64" s="60"/>
      <c r="Y64" s="49"/>
      <c r="Z64" s="50"/>
      <c r="AA64" s="51"/>
    </row>
    <row r="65">
      <c r="A65" s="30"/>
      <c r="B65" s="52"/>
      <c r="C65" s="30"/>
      <c r="D65" s="53"/>
      <c r="E65" s="73"/>
      <c r="F65" s="34"/>
      <c r="G65" s="35"/>
      <c r="H65" s="35"/>
      <c r="I65" s="61"/>
      <c r="J65" s="68"/>
      <c r="K65" s="68"/>
      <c r="L65" s="37"/>
      <c r="M65" s="38" t="str">
        <f t="shared" si="5"/>
        <v/>
      </c>
      <c r="N65" s="38"/>
      <c r="O65" s="39" t="str">
        <f t="shared" si="6"/>
        <v/>
      </c>
      <c r="P65" s="64"/>
      <c r="Q65" s="41"/>
      <c r="R65" s="42"/>
      <c r="S65" s="81"/>
      <c r="T65" s="44"/>
      <c r="U65" s="67"/>
      <c r="V65" s="66"/>
      <c r="W65" s="47"/>
      <c r="X65" s="63"/>
      <c r="Y65" s="49"/>
      <c r="Z65" s="50"/>
      <c r="AA65" s="51"/>
    </row>
    <row r="66">
      <c r="A66" s="30"/>
      <c r="B66" s="52"/>
      <c r="C66" s="30"/>
      <c r="D66" s="53"/>
      <c r="E66" s="73"/>
      <c r="F66" s="34"/>
      <c r="G66" s="68"/>
      <c r="H66" s="68"/>
      <c r="I66" s="56"/>
      <c r="J66" s="35"/>
      <c r="K66" s="35"/>
      <c r="L66" s="37"/>
      <c r="M66" s="38" t="str">
        <f t="shared" si="5"/>
        <v/>
      </c>
      <c r="N66" s="38"/>
      <c r="O66" s="39" t="str">
        <f t="shared" si="6"/>
        <v/>
      </c>
      <c r="P66" s="64"/>
      <c r="Q66" s="41"/>
      <c r="R66" s="42"/>
      <c r="S66" s="81"/>
      <c r="T66" s="44"/>
      <c r="U66" s="67"/>
      <c r="V66" s="66"/>
      <c r="W66" s="47"/>
      <c r="X66" s="60"/>
      <c r="Y66" s="49"/>
      <c r="Z66" s="50"/>
      <c r="AA66" s="51"/>
    </row>
    <row r="67">
      <c r="A67" s="30"/>
      <c r="B67" s="52"/>
      <c r="C67" s="30"/>
      <c r="D67" s="53"/>
      <c r="E67" s="73"/>
      <c r="F67" s="34"/>
      <c r="G67" s="68"/>
      <c r="H67" s="68"/>
      <c r="I67" s="56"/>
      <c r="J67" s="35"/>
      <c r="K67" s="35"/>
      <c r="L67" s="37"/>
      <c r="M67" s="38" t="str">
        <f t="shared" si="5"/>
        <v/>
      </c>
      <c r="N67" s="38"/>
      <c r="O67" s="39" t="str">
        <f t="shared" si="6"/>
        <v/>
      </c>
      <c r="P67" s="64"/>
      <c r="Q67" s="41"/>
      <c r="R67" s="42"/>
      <c r="S67" s="81"/>
      <c r="T67" s="44"/>
      <c r="U67" s="67"/>
      <c r="V67" s="66"/>
      <c r="W67" s="47"/>
      <c r="X67" s="63"/>
      <c r="Y67" s="49"/>
      <c r="Z67" s="50"/>
      <c r="AA67" s="51"/>
    </row>
    <row r="68">
      <c r="A68" s="30"/>
      <c r="B68" s="52"/>
      <c r="C68" s="30"/>
      <c r="D68" s="53"/>
      <c r="E68" s="73"/>
      <c r="F68" s="34"/>
      <c r="G68" s="68"/>
      <c r="H68" s="68"/>
      <c r="I68" s="56"/>
      <c r="J68" s="35"/>
      <c r="K68" s="35"/>
      <c r="L68" s="37"/>
      <c r="M68" s="38" t="str">
        <f t="shared" si="5"/>
        <v/>
      </c>
      <c r="N68" s="38"/>
      <c r="O68" s="39" t="str">
        <f t="shared" si="6"/>
        <v/>
      </c>
      <c r="P68" s="64"/>
      <c r="Q68" s="41"/>
      <c r="R68" s="42"/>
      <c r="S68" s="81"/>
      <c r="T68" s="44"/>
      <c r="U68" s="67"/>
      <c r="V68" s="66"/>
      <c r="W68" s="47"/>
      <c r="X68" s="60"/>
      <c r="Y68" s="49"/>
      <c r="Z68" s="50"/>
      <c r="AA68" s="51"/>
    </row>
    <row r="69">
      <c r="A69" s="30"/>
      <c r="B69" s="52"/>
      <c r="C69" s="30"/>
      <c r="D69" s="53"/>
      <c r="E69" s="73"/>
      <c r="F69" s="34"/>
      <c r="G69" s="68"/>
      <c r="H69" s="68"/>
      <c r="I69" s="56"/>
      <c r="J69" s="35"/>
      <c r="K69" s="35"/>
      <c r="L69" s="62"/>
      <c r="M69" s="38" t="str">
        <f t="shared" si="5"/>
        <v/>
      </c>
      <c r="N69" s="38"/>
      <c r="O69" s="39" t="str">
        <f t="shared" si="6"/>
        <v/>
      </c>
      <c r="P69" s="64"/>
      <c r="Q69" s="41"/>
      <c r="R69" s="42"/>
      <c r="S69" s="81"/>
      <c r="T69" s="44"/>
      <c r="U69" s="67"/>
      <c r="V69" s="66"/>
      <c r="W69" s="47"/>
      <c r="X69" s="63"/>
      <c r="Y69" s="49"/>
      <c r="Z69" s="50"/>
      <c r="AA69" s="51"/>
    </row>
    <row r="70">
      <c r="A70" s="30"/>
      <c r="B70" s="52"/>
      <c r="C70" s="30"/>
      <c r="D70" s="53"/>
      <c r="E70" s="73"/>
      <c r="F70" s="34"/>
      <c r="G70" s="35"/>
      <c r="H70" s="35"/>
      <c r="I70" s="56"/>
      <c r="J70" s="35"/>
      <c r="K70" s="35"/>
      <c r="L70" s="37"/>
      <c r="M70" s="38" t="str">
        <f t="shared" si="5"/>
        <v/>
      </c>
      <c r="N70" s="38"/>
      <c r="O70" s="39" t="str">
        <f t="shared" si="6"/>
        <v/>
      </c>
      <c r="P70" s="40"/>
      <c r="Q70" s="41"/>
      <c r="R70" s="42"/>
      <c r="S70" s="81"/>
      <c r="T70" s="44"/>
      <c r="U70" s="67"/>
      <c r="V70" s="66"/>
      <c r="W70" s="47"/>
      <c r="X70" s="60"/>
      <c r="Y70" s="49"/>
      <c r="Z70" s="50"/>
      <c r="AA70" s="51"/>
    </row>
    <row r="71">
      <c r="A71" s="30"/>
      <c r="B71" s="52"/>
      <c r="C71" s="30"/>
      <c r="D71" s="53"/>
      <c r="E71" s="73"/>
      <c r="F71" s="84"/>
      <c r="G71" s="68"/>
      <c r="H71" s="68"/>
      <c r="I71" s="61"/>
      <c r="J71" s="68"/>
      <c r="K71" s="68"/>
      <c r="L71" s="37"/>
      <c r="M71" s="38" t="str">
        <f t="shared" si="5"/>
        <v/>
      </c>
      <c r="N71" s="38"/>
      <c r="O71" s="39" t="str">
        <f t="shared" si="6"/>
        <v/>
      </c>
      <c r="P71" s="64"/>
      <c r="Q71" s="41"/>
      <c r="R71" s="42"/>
      <c r="S71" s="81"/>
      <c r="T71" s="44"/>
      <c r="U71" s="67"/>
      <c r="V71" s="66"/>
      <c r="W71" s="47"/>
      <c r="X71" s="63"/>
      <c r="Y71" s="49"/>
      <c r="Z71" s="50"/>
      <c r="AA71" s="51"/>
    </row>
    <row r="72">
      <c r="A72" s="30"/>
      <c r="B72" s="52"/>
      <c r="C72" s="30"/>
      <c r="D72" s="53"/>
      <c r="E72" s="73"/>
      <c r="F72" s="34"/>
      <c r="G72" s="35"/>
      <c r="H72" s="68"/>
      <c r="I72" s="56"/>
      <c r="J72" s="35"/>
      <c r="K72" s="35"/>
      <c r="L72" s="37"/>
      <c r="M72" s="38" t="str">
        <f t="shared" si="5"/>
        <v/>
      </c>
      <c r="N72" s="38"/>
      <c r="O72" s="39" t="str">
        <f t="shared" si="6"/>
        <v/>
      </c>
      <c r="P72" s="64"/>
      <c r="Q72" s="41"/>
      <c r="R72" s="42"/>
      <c r="S72" s="81"/>
      <c r="T72" s="44"/>
      <c r="U72" s="67"/>
      <c r="V72" s="66"/>
      <c r="W72" s="47"/>
      <c r="X72" s="60"/>
      <c r="Y72" s="49"/>
      <c r="Z72" s="50"/>
      <c r="AA72" s="51"/>
    </row>
    <row r="73">
      <c r="A73" s="30"/>
      <c r="B73" s="52"/>
      <c r="C73" s="30"/>
      <c r="D73" s="53"/>
      <c r="E73" s="73"/>
      <c r="F73" s="34"/>
      <c r="G73" s="68"/>
      <c r="H73" s="68"/>
      <c r="I73" s="56"/>
      <c r="J73" s="68"/>
      <c r="K73" s="68"/>
      <c r="L73" s="37"/>
      <c r="M73" s="38" t="str">
        <f t="shared" si="5"/>
        <v/>
      </c>
      <c r="N73" s="38"/>
      <c r="O73" s="39" t="str">
        <f t="shared" si="6"/>
        <v/>
      </c>
      <c r="P73" s="64"/>
      <c r="Q73" s="41"/>
      <c r="R73" s="42"/>
      <c r="S73" s="81"/>
      <c r="T73" s="44"/>
      <c r="U73" s="67"/>
      <c r="V73" s="66"/>
      <c r="W73" s="47"/>
      <c r="X73" s="63"/>
      <c r="Y73" s="49"/>
      <c r="Z73" s="50"/>
      <c r="AA73" s="51"/>
    </row>
    <row r="74">
      <c r="A74" s="30"/>
      <c r="B74" s="52"/>
      <c r="C74" s="30"/>
      <c r="D74" s="53"/>
      <c r="E74" s="73"/>
      <c r="F74" s="34"/>
      <c r="G74" s="68"/>
      <c r="H74" s="68"/>
      <c r="I74" s="61"/>
      <c r="J74" s="68"/>
      <c r="K74" s="35"/>
      <c r="L74" s="62"/>
      <c r="M74" s="38" t="str">
        <f t="shared" si="5"/>
        <v/>
      </c>
      <c r="N74" s="38"/>
      <c r="O74" s="39" t="str">
        <f t="shared" si="6"/>
        <v/>
      </c>
      <c r="P74" s="64"/>
      <c r="Q74" s="41"/>
      <c r="R74" s="42"/>
      <c r="S74" s="81"/>
      <c r="T74" s="44"/>
      <c r="U74" s="67"/>
      <c r="V74" s="66"/>
      <c r="W74" s="47"/>
      <c r="X74" s="60"/>
      <c r="Y74" s="49"/>
      <c r="Z74" s="50"/>
      <c r="AA74" s="51"/>
    </row>
    <row r="75">
      <c r="A75" s="30"/>
      <c r="B75" s="52"/>
      <c r="C75" s="30"/>
      <c r="D75" s="53"/>
      <c r="E75" s="73"/>
      <c r="F75" s="34"/>
      <c r="G75" s="68"/>
      <c r="H75" s="35"/>
      <c r="I75" s="56"/>
      <c r="J75" s="35"/>
      <c r="K75" s="35"/>
      <c r="L75" s="37"/>
      <c r="M75" s="38" t="str">
        <f t="shared" si="5"/>
        <v/>
      </c>
      <c r="N75" s="38"/>
      <c r="O75" s="39" t="str">
        <f t="shared" si="6"/>
        <v/>
      </c>
      <c r="P75" s="64"/>
      <c r="Q75" s="41"/>
      <c r="R75" s="42"/>
      <c r="S75" s="81"/>
      <c r="T75" s="44"/>
      <c r="U75" s="67"/>
      <c r="V75" s="66"/>
      <c r="W75" s="47"/>
      <c r="X75" s="63"/>
      <c r="Y75" s="49"/>
      <c r="Z75" s="50"/>
      <c r="AA75" s="51"/>
    </row>
    <row r="76">
      <c r="A76" s="30"/>
      <c r="B76" s="52"/>
      <c r="C76" s="30"/>
      <c r="D76" s="53"/>
      <c r="E76" s="73"/>
      <c r="F76" s="34"/>
      <c r="G76" s="35"/>
      <c r="H76" s="35"/>
      <c r="I76" s="61"/>
      <c r="J76" s="68"/>
      <c r="K76" s="68"/>
      <c r="L76" s="37"/>
      <c r="M76" s="38" t="str">
        <f t="shared" si="5"/>
        <v/>
      </c>
      <c r="N76" s="38"/>
      <c r="O76" s="39" t="str">
        <f t="shared" si="6"/>
        <v/>
      </c>
      <c r="P76" s="64"/>
      <c r="Q76" s="41"/>
      <c r="R76" s="42"/>
      <c r="S76" s="81"/>
      <c r="T76" s="44"/>
      <c r="U76" s="67"/>
      <c r="V76" s="66"/>
      <c r="W76" s="47"/>
      <c r="X76" s="60"/>
      <c r="Y76" s="49"/>
      <c r="Z76" s="50"/>
      <c r="AA76" s="51"/>
    </row>
    <row r="77">
      <c r="A77" s="30"/>
      <c r="B77" s="52"/>
      <c r="C77" s="30"/>
      <c r="D77" s="53"/>
      <c r="E77" s="73"/>
      <c r="F77" s="34"/>
      <c r="G77" s="68"/>
      <c r="H77" s="68"/>
      <c r="I77" s="56"/>
      <c r="J77" s="35"/>
      <c r="K77" s="35"/>
      <c r="L77" s="37"/>
      <c r="M77" s="38" t="str">
        <f t="shared" si="5"/>
        <v/>
      </c>
      <c r="N77" s="38"/>
      <c r="O77" s="39" t="str">
        <f t="shared" si="6"/>
        <v/>
      </c>
      <c r="P77" s="64"/>
      <c r="Q77" s="41"/>
      <c r="R77" s="42"/>
      <c r="S77" s="81"/>
      <c r="T77" s="44"/>
      <c r="U77" s="67"/>
      <c r="V77" s="66"/>
      <c r="W77" s="47"/>
      <c r="X77" s="63"/>
      <c r="Y77" s="49"/>
      <c r="Z77" s="50"/>
      <c r="AA77" s="51"/>
    </row>
    <row r="78">
      <c r="A78" s="30"/>
      <c r="B78" s="52"/>
      <c r="C78" s="30"/>
      <c r="D78" s="53"/>
      <c r="E78" s="73"/>
      <c r="F78" s="34"/>
      <c r="G78" s="68"/>
      <c r="H78" s="68"/>
      <c r="I78" s="56"/>
      <c r="J78" s="35"/>
      <c r="K78" s="35"/>
      <c r="L78" s="37"/>
      <c r="M78" s="38" t="str">
        <f t="shared" si="5"/>
        <v/>
      </c>
      <c r="N78" s="38"/>
      <c r="O78" s="39" t="str">
        <f t="shared" si="6"/>
        <v/>
      </c>
      <c r="P78" s="64"/>
      <c r="Q78" s="41"/>
      <c r="R78" s="42"/>
      <c r="S78" s="81"/>
      <c r="T78" s="44"/>
      <c r="U78" s="67"/>
      <c r="V78" s="66"/>
      <c r="W78" s="47"/>
      <c r="X78" s="60"/>
      <c r="Y78" s="49"/>
      <c r="Z78" s="50"/>
      <c r="AA78" s="51"/>
    </row>
    <row r="79">
      <c r="A79" s="30"/>
      <c r="B79" s="52"/>
      <c r="C79" s="30"/>
      <c r="D79" s="53"/>
      <c r="E79" s="73"/>
      <c r="F79" s="34"/>
      <c r="G79" s="35"/>
      <c r="H79" s="35"/>
      <c r="I79" s="56"/>
      <c r="J79" s="68"/>
      <c r="K79" s="68"/>
      <c r="L79" s="37"/>
      <c r="M79" s="38" t="str">
        <f t="shared" si="5"/>
        <v/>
      </c>
      <c r="N79" s="38"/>
      <c r="O79" s="39" t="str">
        <f t="shared" si="6"/>
        <v/>
      </c>
      <c r="P79" s="64"/>
      <c r="Q79" s="41"/>
      <c r="R79" s="42"/>
      <c r="S79" s="81"/>
      <c r="T79" s="44"/>
      <c r="U79" s="67"/>
      <c r="V79" s="66"/>
      <c r="W79" s="47"/>
      <c r="X79" s="63"/>
      <c r="Y79" s="49"/>
      <c r="Z79" s="50"/>
      <c r="AA79" s="51"/>
    </row>
    <row r="80">
      <c r="A80" s="30"/>
      <c r="B80" s="31"/>
      <c r="C80" s="77"/>
      <c r="D80" s="32"/>
      <c r="E80" s="52"/>
      <c r="F80" s="34"/>
      <c r="G80" s="35"/>
      <c r="H80" s="68"/>
      <c r="I80" s="61"/>
      <c r="J80" s="68"/>
      <c r="K80" s="35"/>
      <c r="L80" s="62"/>
      <c r="M80" s="38" t="str">
        <f t="shared" si="5"/>
        <v/>
      </c>
      <c r="N80" s="38"/>
      <c r="O80" s="39" t="str">
        <f t="shared" si="6"/>
        <v/>
      </c>
      <c r="P80" s="64"/>
      <c r="Q80" s="41"/>
      <c r="R80" s="42"/>
      <c r="S80" s="81"/>
      <c r="T80" s="44"/>
      <c r="U80" s="67"/>
      <c r="V80" s="66"/>
      <c r="W80" s="47"/>
      <c r="X80" s="60"/>
      <c r="Y80" s="49"/>
      <c r="Z80" s="50"/>
      <c r="AA80" s="51"/>
    </row>
    <row r="81">
      <c r="A81" s="30"/>
      <c r="B81" s="52"/>
      <c r="C81" s="30"/>
      <c r="D81" s="53"/>
      <c r="E81" s="73"/>
      <c r="F81" s="34"/>
      <c r="G81" s="35"/>
      <c r="H81" s="68"/>
      <c r="I81" s="61"/>
      <c r="J81" s="35"/>
      <c r="K81" s="35"/>
      <c r="L81" s="37"/>
      <c r="M81" s="38" t="str">
        <f t="shared" si="5"/>
        <v/>
      </c>
      <c r="N81" s="38"/>
      <c r="O81" s="39" t="str">
        <f t="shared" si="6"/>
        <v/>
      </c>
      <c r="P81" s="64"/>
      <c r="Q81" s="41"/>
      <c r="R81" s="42"/>
      <c r="S81" s="81"/>
      <c r="T81" s="44"/>
      <c r="U81" s="67"/>
      <c r="V81" s="66"/>
      <c r="W81" s="47"/>
      <c r="X81" s="63"/>
      <c r="Y81" s="49"/>
      <c r="Z81" s="50"/>
      <c r="AA81" s="51"/>
    </row>
    <row r="82">
      <c r="A82" s="30"/>
      <c r="B82" s="52"/>
      <c r="C82" s="85"/>
      <c r="D82" s="53"/>
      <c r="E82" s="73"/>
      <c r="F82" s="34"/>
      <c r="G82" s="35"/>
      <c r="H82" s="68"/>
      <c r="I82" s="61"/>
      <c r="J82" s="35"/>
      <c r="K82" s="35"/>
      <c r="L82" s="37"/>
      <c r="M82" s="38" t="str">
        <f t="shared" si="5"/>
        <v/>
      </c>
      <c r="N82" s="38"/>
      <c r="O82" s="39" t="str">
        <f t="shared" si="6"/>
        <v/>
      </c>
      <c r="P82" s="76"/>
      <c r="Q82" s="41"/>
      <c r="R82" s="42"/>
      <c r="S82" s="82"/>
      <c r="T82" s="83"/>
      <c r="U82" s="67"/>
      <c r="V82" s="66"/>
      <c r="W82" s="47"/>
      <c r="X82" s="86"/>
      <c r="Y82" s="87"/>
      <c r="Z82" s="50"/>
      <c r="AA82" s="51"/>
    </row>
    <row r="83">
      <c r="A83" s="30"/>
      <c r="B83" s="52"/>
      <c r="C83" s="85"/>
      <c r="D83" s="53"/>
      <c r="E83" s="73"/>
      <c r="F83" s="34"/>
      <c r="G83" s="35"/>
      <c r="H83" s="68"/>
      <c r="I83" s="61"/>
      <c r="J83" s="35"/>
      <c r="K83" s="35"/>
      <c r="L83" s="37"/>
      <c r="M83" s="38" t="str">
        <f t="shared" si="5"/>
        <v/>
      </c>
      <c r="N83" s="38"/>
      <c r="O83" s="39" t="str">
        <f t="shared" si="6"/>
        <v/>
      </c>
      <c r="P83" s="76"/>
      <c r="Q83" s="41"/>
      <c r="R83" s="42"/>
      <c r="S83" s="82"/>
      <c r="T83" s="44"/>
      <c r="U83" s="67"/>
      <c r="V83" s="66"/>
      <c r="W83" s="47"/>
      <c r="X83" s="88"/>
      <c r="Y83" s="87"/>
      <c r="Z83" s="50"/>
      <c r="AA83" s="51"/>
    </row>
    <row r="84">
      <c r="A84" s="30"/>
      <c r="B84" s="52"/>
      <c r="C84" s="85"/>
      <c r="D84" s="53"/>
      <c r="E84" s="73"/>
      <c r="F84" s="34"/>
      <c r="G84" s="35"/>
      <c r="H84" s="68"/>
      <c r="I84" s="61"/>
      <c r="J84" s="35"/>
      <c r="K84" s="35"/>
      <c r="L84" s="37"/>
      <c r="M84" s="38" t="str">
        <f t="shared" si="5"/>
        <v/>
      </c>
      <c r="N84" s="38"/>
      <c r="O84" s="39" t="str">
        <f t="shared" si="6"/>
        <v/>
      </c>
      <c r="P84" s="40"/>
      <c r="Q84" s="41"/>
      <c r="R84" s="42"/>
      <c r="S84" s="43"/>
      <c r="T84" s="44"/>
      <c r="U84" s="67"/>
      <c r="V84" s="66"/>
      <c r="W84" s="47"/>
      <c r="X84" s="88"/>
      <c r="Y84" s="87"/>
      <c r="Z84" s="50"/>
      <c r="AA84" s="51"/>
    </row>
    <row r="85">
      <c r="A85" s="30"/>
      <c r="B85" s="52"/>
      <c r="C85" s="85"/>
      <c r="D85" s="53"/>
      <c r="E85" s="73"/>
      <c r="F85" s="34"/>
      <c r="G85" s="35"/>
      <c r="H85" s="68"/>
      <c r="I85" s="61"/>
      <c r="J85" s="35"/>
      <c r="K85" s="35"/>
      <c r="L85" s="37"/>
      <c r="M85" s="38" t="str">
        <f t="shared" si="5"/>
        <v/>
      </c>
      <c r="N85" s="38"/>
      <c r="O85" s="39" t="str">
        <f t="shared" si="6"/>
        <v/>
      </c>
      <c r="P85" s="40"/>
      <c r="Q85" s="41"/>
      <c r="R85" s="42"/>
      <c r="S85" s="43"/>
      <c r="T85" s="44"/>
      <c r="U85" s="67"/>
      <c r="V85" s="66"/>
      <c r="W85" s="47"/>
      <c r="X85" s="88"/>
      <c r="Y85" s="87"/>
      <c r="Z85" s="50"/>
      <c r="AA85" s="51"/>
    </row>
    <row r="86">
      <c r="A86" s="30"/>
      <c r="B86" s="52"/>
      <c r="C86" s="85"/>
      <c r="D86" s="53"/>
      <c r="E86" s="73"/>
      <c r="F86" s="34"/>
      <c r="G86" s="35"/>
      <c r="H86" s="68"/>
      <c r="I86" s="61"/>
      <c r="J86" s="35"/>
      <c r="K86" s="35"/>
      <c r="L86" s="37"/>
      <c r="M86" s="38" t="str">
        <f t="shared" si="5"/>
        <v/>
      </c>
      <c r="N86" s="38"/>
      <c r="O86" s="39" t="str">
        <f t="shared" si="6"/>
        <v/>
      </c>
      <c r="P86" s="76"/>
      <c r="Q86" s="41"/>
      <c r="R86" s="42"/>
      <c r="S86" s="43"/>
      <c r="T86" s="80"/>
      <c r="U86" s="67"/>
      <c r="V86" s="66"/>
      <c r="W86" s="47"/>
      <c r="X86" s="88"/>
      <c r="Y86" s="87"/>
      <c r="Z86" s="50"/>
      <c r="AA86" s="51"/>
    </row>
    <row r="87">
      <c r="A87" s="30"/>
      <c r="B87" s="52"/>
      <c r="C87" s="85"/>
      <c r="D87" s="53"/>
      <c r="E87" s="73"/>
      <c r="F87" s="34"/>
      <c r="G87" s="35"/>
      <c r="H87" s="68"/>
      <c r="I87" s="61"/>
      <c r="J87" s="35"/>
      <c r="K87" s="35"/>
      <c r="L87" s="37"/>
      <c r="M87" s="38" t="str">
        <f t="shared" si="5"/>
        <v/>
      </c>
      <c r="N87" s="38"/>
      <c r="O87" s="39" t="str">
        <f t="shared" si="6"/>
        <v/>
      </c>
      <c r="P87" s="40"/>
      <c r="Q87" s="89"/>
      <c r="R87" s="90"/>
      <c r="S87" s="43"/>
      <c r="T87" s="44"/>
      <c r="U87" s="91"/>
      <c r="V87" s="92"/>
      <c r="W87" s="93"/>
      <c r="X87" s="86"/>
      <c r="Y87" s="87"/>
      <c r="Z87" s="50"/>
      <c r="AA87" s="51"/>
    </row>
    <row r="88">
      <c r="A88" s="30"/>
      <c r="B88" s="52"/>
      <c r="C88" s="85"/>
      <c r="D88" s="53"/>
      <c r="E88" s="73"/>
      <c r="F88" s="34"/>
      <c r="G88" s="35"/>
      <c r="H88" s="68"/>
      <c r="I88" s="61"/>
      <c r="J88" s="35"/>
      <c r="K88" s="35"/>
      <c r="L88" s="37"/>
      <c r="M88" s="38" t="str">
        <f t="shared" si="5"/>
        <v/>
      </c>
      <c r="N88" s="38"/>
      <c r="O88" s="39" t="str">
        <f t="shared" si="6"/>
        <v/>
      </c>
      <c r="P88" s="40"/>
      <c r="Q88" s="41"/>
      <c r="R88" s="42"/>
      <c r="S88" s="43"/>
      <c r="T88" s="44"/>
      <c r="U88" s="67"/>
      <c r="V88" s="66"/>
      <c r="W88" s="47"/>
      <c r="X88" s="88"/>
      <c r="Y88" s="87"/>
      <c r="Z88" s="50"/>
      <c r="AA88" s="51"/>
    </row>
    <row r="89">
      <c r="A89" s="30"/>
      <c r="B89" s="52"/>
      <c r="C89" s="85"/>
      <c r="D89" s="53"/>
      <c r="E89" s="73"/>
      <c r="F89" s="34"/>
      <c r="G89" s="35"/>
      <c r="H89" s="68"/>
      <c r="I89" s="61"/>
      <c r="J89" s="35"/>
      <c r="K89" s="35"/>
      <c r="L89" s="37"/>
      <c r="M89" s="38" t="str">
        <f t="shared" si="5"/>
        <v/>
      </c>
      <c r="N89" s="38"/>
      <c r="O89" s="39" t="str">
        <f t="shared" si="6"/>
        <v/>
      </c>
      <c r="P89" s="40"/>
      <c r="Q89" s="41"/>
      <c r="R89" s="42"/>
      <c r="S89" s="43"/>
      <c r="T89" s="44"/>
      <c r="U89" s="67"/>
      <c r="V89" s="66"/>
      <c r="W89" s="47"/>
      <c r="X89" s="94"/>
      <c r="Y89" s="87"/>
      <c r="Z89" s="50"/>
      <c r="AA89" s="51"/>
    </row>
    <row r="90">
      <c r="A90" s="30"/>
      <c r="B90" s="52"/>
      <c r="C90" s="85"/>
      <c r="D90" s="53"/>
      <c r="E90" s="73"/>
      <c r="F90" s="34"/>
      <c r="G90" s="35"/>
      <c r="H90" s="68"/>
      <c r="I90" s="61"/>
      <c r="J90" s="35"/>
      <c r="K90" s="35"/>
      <c r="L90" s="37"/>
      <c r="M90" s="38" t="str">
        <f t="shared" si="5"/>
        <v/>
      </c>
      <c r="N90" s="38"/>
      <c r="O90" s="39" t="str">
        <f t="shared" si="6"/>
        <v/>
      </c>
      <c r="P90" s="40"/>
      <c r="Q90" s="41"/>
      <c r="R90" s="42"/>
      <c r="S90" s="43"/>
      <c r="T90" s="44"/>
      <c r="U90" s="67"/>
      <c r="V90" s="66"/>
      <c r="W90" s="47"/>
      <c r="X90" s="88"/>
      <c r="Y90" s="87"/>
      <c r="Z90" s="50"/>
      <c r="AA90" s="51"/>
    </row>
    <row r="91">
      <c r="A91" s="30"/>
      <c r="B91" s="52"/>
      <c r="C91" s="85"/>
      <c r="D91" s="53"/>
      <c r="E91" s="73"/>
      <c r="F91" s="34"/>
      <c r="G91" s="35"/>
      <c r="H91" s="68"/>
      <c r="I91" s="61"/>
      <c r="J91" s="35"/>
      <c r="K91" s="35"/>
      <c r="L91" s="37"/>
      <c r="M91" s="38" t="str">
        <f t="shared" si="5"/>
        <v/>
      </c>
      <c r="N91" s="38"/>
      <c r="O91" s="39" t="str">
        <f t="shared" si="6"/>
        <v/>
      </c>
      <c r="P91" s="40"/>
      <c r="Q91" s="41"/>
      <c r="R91" s="42"/>
      <c r="S91" s="43"/>
      <c r="T91" s="44"/>
      <c r="U91" s="67"/>
      <c r="V91" s="66"/>
      <c r="W91" s="47"/>
      <c r="X91" s="88"/>
      <c r="Y91" s="87"/>
      <c r="Z91" s="50"/>
      <c r="AA91" s="51"/>
    </row>
    <row r="92">
      <c r="A92" s="30"/>
      <c r="B92" s="52"/>
      <c r="C92" s="85"/>
      <c r="D92" s="53"/>
      <c r="E92" s="73"/>
      <c r="F92" s="34"/>
      <c r="G92" s="35"/>
      <c r="H92" s="68"/>
      <c r="I92" s="61"/>
      <c r="J92" s="35"/>
      <c r="K92" s="35"/>
      <c r="L92" s="37"/>
      <c r="M92" s="38" t="str">
        <f t="shared" si="5"/>
        <v/>
      </c>
      <c r="N92" s="38"/>
      <c r="O92" s="39" t="str">
        <f t="shared" si="6"/>
        <v/>
      </c>
      <c r="P92" s="40"/>
      <c r="Q92" s="41"/>
      <c r="R92" s="42"/>
      <c r="S92" s="43"/>
      <c r="T92" s="44"/>
      <c r="U92" s="67"/>
      <c r="V92" s="66"/>
      <c r="W92" s="47"/>
      <c r="X92" s="86"/>
      <c r="Y92" s="87"/>
      <c r="Z92" s="50"/>
      <c r="AA92" s="51"/>
    </row>
    <row r="93">
      <c r="A93" s="30"/>
      <c r="B93" s="52"/>
      <c r="C93" s="85"/>
      <c r="D93" s="53"/>
      <c r="E93" s="73"/>
      <c r="F93" s="34"/>
      <c r="G93" s="35"/>
      <c r="H93" s="68"/>
      <c r="I93" s="61"/>
      <c r="J93" s="35"/>
      <c r="K93" s="35"/>
      <c r="L93" s="37"/>
      <c r="M93" s="38" t="str">
        <f t="shared" si="5"/>
        <v/>
      </c>
      <c r="N93" s="38"/>
      <c r="O93" s="39" t="str">
        <f t="shared" si="6"/>
        <v/>
      </c>
      <c r="P93" s="40"/>
      <c r="Q93" s="41"/>
      <c r="R93" s="42"/>
      <c r="S93" s="43"/>
      <c r="T93" s="44"/>
      <c r="U93" s="67"/>
      <c r="V93" s="66"/>
      <c r="W93" s="47"/>
      <c r="X93" s="88"/>
      <c r="Y93" s="87"/>
      <c r="Z93" s="50"/>
      <c r="AA93" s="51"/>
    </row>
    <row r="94">
      <c r="A94" s="30"/>
      <c r="B94" s="52"/>
      <c r="C94" s="85"/>
      <c r="D94" s="53"/>
      <c r="E94" s="73"/>
      <c r="F94" s="34"/>
      <c r="G94" s="35"/>
      <c r="H94" s="68"/>
      <c r="I94" s="61"/>
      <c r="J94" s="35"/>
      <c r="K94" s="35"/>
      <c r="L94" s="37"/>
      <c r="M94" s="38" t="str">
        <f t="shared" si="5"/>
        <v/>
      </c>
      <c r="N94" s="38"/>
      <c r="O94" s="39" t="str">
        <f t="shared" si="6"/>
        <v/>
      </c>
      <c r="P94" s="40"/>
      <c r="Q94" s="41"/>
      <c r="R94" s="42"/>
      <c r="S94" s="43"/>
      <c r="T94" s="44"/>
      <c r="U94" s="67"/>
      <c r="V94" s="66"/>
      <c r="W94" s="47"/>
      <c r="X94" s="88"/>
      <c r="Y94" s="87"/>
      <c r="Z94" s="50"/>
      <c r="AA94" s="51"/>
    </row>
    <row r="95">
      <c r="A95" s="30"/>
      <c r="B95" s="52"/>
      <c r="C95" s="85"/>
      <c r="D95" s="53"/>
      <c r="E95" s="73"/>
      <c r="F95" s="34"/>
      <c r="G95" s="35"/>
      <c r="H95" s="68"/>
      <c r="I95" s="61"/>
      <c r="J95" s="35"/>
      <c r="K95" s="35"/>
      <c r="L95" s="37"/>
      <c r="M95" s="38" t="str">
        <f t="shared" si="5"/>
        <v/>
      </c>
      <c r="N95" s="38"/>
      <c r="O95" s="39" t="str">
        <f t="shared" si="6"/>
        <v/>
      </c>
      <c r="P95" s="40"/>
      <c r="Q95" s="41"/>
      <c r="R95" s="42"/>
      <c r="S95" s="43"/>
      <c r="T95" s="80"/>
      <c r="U95" s="67"/>
      <c r="V95" s="66"/>
      <c r="W95" s="47"/>
      <c r="X95" s="88"/>
      <c r="Y95" s="87"/>
      <c r="Z95" s="50"/>
      <c r="AA95" s="51"/>
    </row>
    <row r="96">
      <c r="A96" s="30"/>
      <c r="B96" s="52"/>
      <c r="C96" s="85"/>
      <c r="D96" s="53"/>
      <c r="E96" s="73"/>
      <c r="F96" s="34"/>
      <c r="G96" s="35"/>
      <c r="H96" s="68"/>
      <c r="I96" s="61"/>
      <c r="J96" s="35"/>
      <c r="K96" s="35"/>
      <c r="L96" s="37"/>
      <c r="M96" s="38" t="str">
        <f t="shared" si="5"/>
        <v/>
      </c>
      <c r="N96" s="38"/>
      <c r="O96" s="39" t="str">
        <f t="shared" si="6"/>
        <v/>
      </c>
      <c r="P96" s="40"/>
      <c r="Q96" s="41"/>
      <c r="R96" s="42"/>
      <c r="S96" s="43"/>
      <c r="T96" s="44"/>
      <c r="U96" s="67"/>
      <c r="V96" s="66"/>
      <c r="W96" s="47"/>
      <c r="X96" s="88"/>
      <c r="Y96" s="87"/>
      <c r="Z96" s="50"/>
      <c r="AA96" s="51"/>
    </row>
    <row r="97">
      <c r="A97" s="30"/>
      <c r="B97" s="52"/>
      <c r="C97" s="85"/>
      <c r="D97" s="53"/>
      <c r="E97" s="73"/>
      <c r="F97" s="34"/>
      <c r="G97" s="35"/>
      <c r="H97" s="68"/>
      <c r="I97" s="61"/>
      <c r="J97" s="35"/>
      <c r="K97" s="35"/>
      <c r="L97" s="37"/>
      <c r="M97" s="38" t="str">
        <f t="shared" si="5"/>
        <v/>
      </c>
      <c r="N97" s="38"/>
      <c r="O97" s="39" t="str">
        <f t="shared" si="6"/>
        <v/>
      </c>
      <c r="P97" s="40"/>
      <c r="Q97" s="41"/>
      <c r="R97" s="42"/>
      <c r="S97" s="43"/>
      <c r="T97" s="44"/>
      <c r="U97" s="67"/>
      <c r="V97" s="66"/>
      <c r="W97" s="47"/>
      <c r="X97" s="95"/>
      <c r="Y97" s="87"/>
      <c r="Z97" s="50"/>
      <c r="AA97" s="51"/>
    </row>
    <row r="98">
      <c r="A98" s="30"/>
      <c r="B98" s="52"/>
      <c r="C98" s="85"/>
      <c r="D98" s="53"/>
      <c r="E98" s="73"/>
      <c r="F98" s="34"/>
      <c r="G98" s="35"/>
      <c r="H98" s="68"/>
      <c r="I98" s="61"/>
      <c r="J98" s="35"/>
      <c r="K98" s="35"/>
      <c r="L98" s="37"/>
      <c r="M98" s="38" t="str">
        <f t="shared" si="5"/>
        <v/>
      </c>
      <c r="N98" s="38"/>
      <c r="O98" s="39" t="str">
        <f t="shared" si="6"/>
        <v/>
      </c>
      <c r="P98" s="40"/>
      <c r="Q98" s="89"/>
      <c r="R98" s="90"/>
      <c r="S98" s="96"/>
      <c r="T98" s="97"/>
      <c r="U98" s="91"/>
      <c r="V98" s="92"/>
      <c r="W98" s="93"/>
      <c r="X98" s="86"/>
      <c r="Y98" s="87"/>
      <c r="Z98" s="50"/>
      <c r="AA98" s="51"/>
    </row>
    <row r="99">
      <c r="A99" s="30"/>
      <c r="B99" s="52"/>
      <c r="C99" s="85"/>
      <c r="D99" s="53"/>
      <c r="E99" s="73"/>
      <c r="F99" s="34"/>
      <c r="G99" s="35"/>
      <c r="H99" s="68"/>
      <c r="I99" s="61"/>
      <c r="J99" s="35"/>
      <c r="K99" s="35"/>
      <c r="L99" s="37"/>
      <c r="M99" s="38" t="str">
        <f t="shared" si="5"/>
        <v/>
      </c>
      <c r="N99" s="38"/>
      <c r="O99" s="39" t="str">
        <f t="shared" si="6"/>
        <v/>
      </c>
      <c r="P99" s="40"/>
      <c r="Q99" s="41"/>
      <c r="R99" s="42"/>
      <c r="S99" s="81"/>
      <c r="T99" s="44"/>
      <c r="U99" s="67"/>
      <c r="V99" s="66"/>
      <c r="W99" s="47"/>
      <c r="X99" s="88"/>
      <c r="Y99" s="87"/>
      <c r="Z99" s="50"/>
      <c r="AA99" s="51"/>
    </row>
    <row r="100">
      <c r="A100" s="30"/>
      <c r="B100" s="52"/>
      <c r="C100" s="85"/>
      <c r="D100" s="53"/>
      <c r="E100" s="73"/>
      <c r="F100" s="34"/>
      <c r="G100" s="35"/>
      <c r="H100" s="68"/>
      <c r="I100" s="61"/>
      <c r="J100" s="35"/>
      <c r="K100" s="35"/>
      <c r="L100" s="37"/>
      <c r="M100" s="38" t="str">
        <f t="shared" si="5"/>
        <v/>
      </c>
      <c r="N100" s="38"/>
      <c r="O100" s="39" t="str">
        <f t="shared" si="6"/>
        <v/>
      </c>
      <c r="P100" s="40"/>
      <c r="Q100" s="41"/>
      <c r="R100" s="42"/>
      <c r="S100" s="81"/>
      <c r="T100" s="44"/>
      <c r="U100" s="67"/>
      <c r="V100" s="66"/>
      <c r="W100" s="47"/>
      <c r="X100" s="88"/>
      <c r="Y100" s="49"/>
      <c r="Z100" s="50"/>
      <c r="AA100" s="51"/>
    </row>
    <row r="101">
      <c r="A101" s="30"/>
      <c r="B101" s="52"/>
      <c r="C101" s="85"/>
      <c r="D101" s="53"/>
      <c r="E101" s="73"/>
      <c r="F101" s="34"/>
      <c r="G101" s="35"/>
      <c r="H101" s="68"/>
      <c r="I101" s="61"/>
      <c r="J101" s="35"/>
      <c r="K101" s="35"/>
      <c r="L101" s="37"/>
      <c r="M101" s="38" t="str">
        <f t="shared" si="5"/>
        <v/>
      </c>
      <c r="N101" s="38"/>
      <c r="O101" s="39" t="str">
        <f t="shared" si="6"/>
        <v/>
      </c>
      <c r="P101" s="40"/>
      <c r="Q101" s="41"/>
      <c r="R101" s="42"/>
      <c r="S101" s="81"/>
      <c r="T101" s="44"/>
      <c r="U101" s="67"/>
      <c r="V101" s="66"/>
      <c r="W101" s="47"/>
      <c r="X101" s="86"/>
      <c r="Y101" s="87"/>
      <c r="Z101" s="50"/>
      <c r="AA101" s="51"/>
    </row>
    <row r="102">
      <c r="A102" s="30"/>
      <c r="B102" s="52"/>
      <c r="C102" s="85"/>
      <c r="D102" s="53"/>
      <c r="E102" s="73"/>
      <c r="F102" s="34"/>
      <c r="G102" s="35"/>
      <c r="H102" s="68"/>
      <c r="I102" s="61"/>
      <c r="J102" s="35"/>
      <c r="K102" s="35"/>
      <c r="L102" s="37"/>
      <c r="M102" s="38" t="str">
        <f t="shared" si="5"/>
        <v/>
      </c>
      <c r="N102" s="38"/>
      <c r="O102" s="39" t="str">
        <f t="shared" si="6"/>
        <v/>
      </c>
      <c r="P102" s="40"/>
      <c r="Q102" s="41"/>
      <c r="R102" s="42"/>
      <c r="S102" s="81"/>
      <c r="T102" s="44"/>
      <c r="U102" s="67"/>
      <c r="V102" s="66"/>
      <c r="W102" s="47"/>
      <c r="X102" s="94"/>
      <c r="Y102" s="87"/>
      <c r="Z102" s="50"/>
      <c r="AA102" s="51"/>
    </row>
    <row r="103">
      <c r="A103" s="30"/>
      <c r="B103" s="52"/>
      <c r="C103" s="85"/>
      <c r="D103" s="53"/>
      <c r="E103" s="73"/>
      <c r="F103" s="34"/>
      <c r="G103" s="35"/>
      <c r="H103" s="68"/>
      <c r="I103" s="61"/>
      <c r="J103" s="35"/>
      <c r="K103" s="35"/>
      <c r="L103" s="37"/>
      <c r="M103" s="38" t="str">
        <f t="shared" si="5"/>
        <v/>
      </c>
      <c r="N103" s="38"/>
      <c r="O103" s="39" t="str">
        <f t="shared" si="6"/>
        <v/>
      </c>
      <c r="P103" s="40"/>
      <c r="Q103" s="41"/>
      <c r="R103" s="42"/>
      <c r="S103" s="81"/>
      <c r="T103" s="44"/>
      <c r="U103" s="67"/>
      <c r="V103" s="66"/>
      <c r="W103" s="47"/>
      <c r="X103" s="88"/>
      <c r="Y103" s="87"/>
      <c r="Z103" s="50"/>
      <c r="AA103" s="51"/>
    </row>
    <row r="104">
      <c r="A104" s="30"/>
      <c r="B104" s="52"/>
      <c r="C104" s="85"/>
      <c r="D104" s="53"/>
      <c r="E104" s="73"/>
      <c r="F104" s="34"/>
      <c r="G104" s="35"/>
      <c r="H104" s="68"/>
      <c r="I104" s="61"/>
      <c r="J104" s="35"/>
      <c r="K104" s="35"/>
      <c r="L104" s="37"/>
      <c r="M104" s="38" t="str">
        <f t="shared" si="5"/>
        <v/>
      </c>
      <c r="N104" s="38"/>
      <c r="O104" s="39" t="str">
        <f t="shared" si="6"/>
        <v/>
      </c>
      <c r="P104" s="40"/>
      <c r="Q104" s="41"/>
      <c r="R104" s="42"/>
      <c r="S104" s="81"/>
      <c r="T104" s="44"/>
      <c r="U104" s="67"/>
      <c r="V104" s="66"/>
      <c r="W104" s="47"/>
      <c r="X104" s="88"/>
      <c r="Y104" s="87"/>
      <c r="Z104" s="50"/>
      <c r="AA104" s="51"/>
    </row>
    <row r="105">
      <c r="A105" s="30"/>
      <c r="B105" s="52"/>
      <c r="C105" s="85"/>
      <c r="D105" s="53"/>
      <c r="E105" s="73"/>
      <c r="F105" s="34"/>
      <c r="G105" s="35"/>
      <c r="H105" s="68"/>
      <c r="I105" s="61"/>
      <c r="J105" s="35"/>
      <c r="K105" s="35"/>
      <c r="L105" s="37"/>
      <c r="M105" s="38" t="str">
        <f t="shared" si="5"/>
        <v/>
      </c>
      <c r="N105" s="38"/>
      <c r="O105" s="39" t="str">
        <f t="shared" si="6"/>
        <v/>
      </c>
      <c r="P105" s="40"/>
      <c r="Q105" s="41"/>
      <c r="R105" s="42"/>
      <c r="S105" s="81"/>
      <c r="T105" s="44"/>
      <c r="U105" s="67"/>
      <c r="V105" s="66"/>
      <c r="W105" s="47"/>
      <c r="X105" s="88"/>
      <c r="Y105" s="49"/>
      <c r="Z105" s="50"/>
      <c r="AA105" s="51"/>
    </row>
    <row r="106">
      <c r="A106" s="30"/>
      <c r="B106" s="52"/>
      <c r="C106" s="85"/>
      <c r="D106" s="53"/>
      <c r="E106" s="73"/>
      <c r="F106" s="34"/>
      <c r="G106" s="35"/>
      <c r="H106" s="68"/>
      <c r="I106" s="61"/>
      <c r="J106" s="35"/>
      <c r="K106" s="35"/>
      <c r="L106" s="37"/>
      <c r="M106" s="38" t="str">
        <f t="shared" si="5"/>
        <v/>
      </c>
      <c r="N106" s="38"/>
      <c r="O106" s="39" t="str">
        <f t="shared" si="6"/>
        <v/>
      </c>
      <c r="P106" s="64"/>
      <c r="Q106" s="41"/>
      <c r="R106" s="42"/>
      <c r="S106" s="81"/>
      <c r="T106" s="44"/>
      <c r="U106" s="67"/>
      <c r="V106" s="66"/>
      <c r="W106" s="47"/>
      <c r="X106" s="88"/>
      <c r="Y106" s="49"/>
      <c r="Z106" s="50"/>
      <c r="AA106" s="51"/>
    </row>
    <row r="107">
      <c r="A107" s="30"/>
      <c r="B107" s="52"/>
      <c r="C107" s="85"/>
      <c r="D107" s="53"/>
      <c r="E107" s="73"/>
      <c r="F107" s="34"/>
      <c r="G107" s="35"/>
      <c r="H107" s="68"/>
      <c r="I107" s="61"/>
      <c r="J107" s="35"/>
      <c r="K107" s="35"/>
      <c r="L107" s="37"/>
      <c r="M107" s="38" t="str">
        <f t="shared" si="5"/>
        <v/>
      </c>
      <c r="N107" s="38"/>
      <c r="O107" s="39" t="str">
        <f t="shared" si="6"/>
        <v/>
      </c>
      <c r="P107" s="64"/>
      <c r="Q107" s="89"/>
      <c r="R107" s="90"/>
      <c r="S107" s="96"/>
      <c r="T107" s="97"/>
      <c r="U107" s="91"/>
      <c r="V107" s="92"/>
      <c r="W107" s="93"/>
      <c r="X107" s="86"/>
      <c r="Y107" s="87"/>
      <c r="Z107" s="50"/>
      <c r="AA107" s="51"/>
    </row>
    <row r="108">
      <c r="A108" s="98"/>
      <c r="B108" s="99"/>
      <c r="C108" s="100"/>
      <c r="D108" s="101"/>
      <c r="E108" s="102"/>
      <c r="F108" s="34"/>
      <c r="G108" s="35"/>
      <c r="H108" s="68"/>
      <c r="I108" s="61"/>
      <c r="J108" s="35"/>
      <c r="K108" s="35"/>
      <c r="L108" s="37"/>
      <c r="M108" s="38" t="str">
        <f t="shared" si="5"/>
        <v/>
      </c>
      <c r="N108" s="38"/>
      <c r="O108" s="39" t="str">
        <f t="shared" si="6"/>
        <v/>
      </c>
      <c r="P108" s="40"/>
      <c r="Q108" s="89"/>
      <c r="R108" s="90"/>
      <c r="S108" s="96"/>
      <c r="T108" s="97"/>
      <c r="U108" s="91"/>
      <c r="V108" s="92"/>
      <c r="W108" s="93"/>
      <c r="X108" s="86"/>
      <c r="Y108" s="87"/>
      <c r="Z108" s="50"/>
      <c r="AA108" s="51"/>
    </row>
    <row r="109">
      <c r="A109" s="98"/>
      <c r="B109" s="99"/>
      <c r="C109" s="100"/>
      <c r="D109" s="101"/>
      <c r="E109" s="102"/>
      <c r="F109" s="34"/>
      <c r="G109" s="35"/>
      <c r="H109" s="68"/>
      <c r="I109" s="61"/>
      <c r="J109" s="35"/>
      <c r="K109" s="35"/>
      <c r="L109" s="37"/>
      <c r="M109" s="38" t="str">
        <f t="shared" si="5"/>
        <v/>
      </c>
      <c r="N109" s="38"/>
      <c r="O109" s="39" t="str">
        <f t="shared" si="6"/>
        <v/>
      </c>
      <c r="P109" s="40"/>
      <c r="Q109" s="89"/>
      <c r="R109" s="90"/>
      <c r="S109" s="96"/>
      <c r="T109" s="97"/>
      <c r="U109" s="91"/>
      <c r="V109" s="92"/>
      <c r="W109" s="93"/>
      <c r="X109" s="86"/>
      <c r="Y109" s="87"/>
      <c r="Z109" s="50"/>
      <c r="AA109" s="51"/>
    </row>
    <row r="110">
      <c r="A110" s="98"/>
      <c r="B110" s="99"/>
      <c r="C110" s="100"/>
      <c r="D110" s="101"/>
      <c r="E110" s="102"/>
      <c r="F110" s="34"/>
      <c r="G110" s="35"/>
      <c r="H110" s="68"/>
      <c r="I110" s="61"/>
      <c r="J110" s="35"/>
      <c r="K110" s="35"/>
      <c r="L110" s="37"/>
      <c r="M110" s="38" t="str">
        <f t="shared" si="5"/>
        <v/>
      </c>
      <c r="N110" s="38"/>
      <c r="O110" s="39" t="str">
        <f t="shared" si="6"/>
        <v/>
      </c>
      <c r="P110" s="40"/>
      <c r="Q110" s="89"/>
      <c r="R110" s="90"/>
      <c r="S110" s="96"/>
      <c r="T110" s="97"/>
      <c r="U110" s="91"/>
      <c r="V110" s="92"/>
      <c r="W110" s="93"/>
      <c r="X110" s="95"/>
      <c r="Y110" s="87"/>
      <c r="Z110" s="50"/>
      <c r="AA110" s="51"/>
    </row>
    <row r="111">
      <c r="A111" s="98"/>
      <c r="B111" s="103"/>
      <c r="C111" s="100"/>
      <c r="D111" s="101"/>
      <c r="E111" s="102"/>
      <c r="F111" s="34"/>
      <c r="G111" s="35"/>
      <c r="H111" s="68"/>
      <c r="I111" s="61"/>
      <c r="J111" s="35"/>
      <c r="K111" s="35"/>
      <c r="L111" s="37"/>
      <c r="M111" s="38" t="str">
        <f t="shared" si="5"/>
        <v/>
      </c>
      <c r="N111" s="38"/>
      <c r="O111" s="39" t="str">
        <f t="shared" si="6"/>
        <v/>
      </c>
      <c r="P111" s="40"/>
      <c r="Q111" s="89"/>
      <c r="R111" s="90"/>
      <c r="S111" s="96"/>
      <c r="T111" s="97"/>
      <c r="U111" s="91"/>
      <c r="V111" s="92"/>
      <c r="W111" s="93"/>
      <c r="X111" s="86"/>
      <c r="Y111" s="87"/>
      <c r="Z111" s="50"/>
      <c r="AA111" s="51"/>
    </row>
    <row r="112">
      <c r="A112" s="98"/>
      <c r="B112" s="103"/>
      <c r="C112" s="100"/>
      <c r="D112" s="101"/>
      <c r="E112" s="102"/>
      <c r="F112" s="34"/>
      <c r="G112" s="35"/>
      <c r="H112" s="68"/>
      <c r="I112" s="61"/>
      <c r="J112" s="35"/>
      <c r="K112" s="35"/>
      <c r="L112" s="37"/>
      <c r="M112" s="38" t="str">
        <f t="shared" si="5"/>
        <v/>
      </c>
      <c r="N112" s="38"/>
      <c r="O112" s="39" t="str">
        <f t="shared" si="6"/>
        <v/>
      </c>
      <c r="P112" s="40"/>
      <c r="Q112" s="41"/>
      <c r="R112" s="42"/>
      <c r="S112" s="81"/>
      <c r="T112" s="44"/>
      <c r="U112" s="67"/>
      <c r="V112" s="66"/>
      <c r="W112" s="47"/>
      <c r="X112" s="86"/>
      <c r="Y112" s="87"/>
      <c r="Z112" s="50"/>
      <c r="AA112" s="51"/>
    </row>
    <row r="113">
      <c r="A113" s="98"/>
      <c r="B113" s="99"/>
      <c r="C113" s="100"/>
      <c r="D113" s="101"/>
      <c r="E113" s="102"/>
      <c r="F113" s="34"/>
      <c r="G113" s="35"/>
      <c r="H113" s="68"/>
      <c r="I113" s="61"/>
      <c r="J113" s="35"/>
      <c r="K113" s="35"/>
      <c r="L113" s="37"/>
      <c r="M113" s="38" t="str">
        <f t="shared" si="5"/>
        <v/>
      </c>
      <c r="N113" s="38"/>
      <c r="O113" s="39" t="str">
        <f t="shared" si="6"/>
        <v/>
      </c>
      <c r="P113" s="40"/>
      <c r="Q113" s="89"/>
      <c r="R113" s="90"/>
      <c r="S113" s="96"/>
      <c r="T113" s="97"/>
      <c r="U113" s="91"/>
      <c r="V113" s="92"/>
      <c r="W113" s="93"/>
      <c r="X113" s="86"/>
      <c r="Y113" s="87"/>
      <c r="Z113" s="50"/>
      <c r="AA113" s="51"/>
    </row>
    <row r="114">
      <c r="A114" s="98"/>
      <c r="B114" s="103"/>
      <c r="C114" s="100"/>
      <c r="D114" s="101"/>
      <c r="E114" s="102"/>
      <c r="F114" s="34"/>
      <c r="G114" s="35"/>
      <c r="H114" s="68"/>
      <c r="I114" s="61"/>
      <c r="J114" s="35"/>
      <c r="K114" s="35"/>
      <c r="L114" s="37"/>
      <c r="M114" s="38" t="str">
        <f t="shared" si="5"/>
        <v/>
      </c>
      <c r="N114" s="38"/>
      <c r="O114" s="39" t="str">
        <f t="shared" si="6"/>
        <v/>
      </c>
      <c r="P114" s="40"/>
      <c r="Q114" s="89"/>
      <c r="R114" s="90"/>
      <c r="S114" s="96"/>
      <c r="T114" s="97"/>
      <c r="U114" s="91"/>
      <c r="V114" s="92"/>
      <c r="W114" s="93"/>
      <c r="X114" s="86"/>
      <c r="Y114" s="87"/>
      <c r="Z114" s="50"/>
      <c r="AA114" s="51"/>
    </row>
    <row r="115">
      <c r="A115" s="98"/>
      <c r="B115" s="99"/>
      <c r="C115" s="100"/>
      <c r="D115" s="101"/>
      <c r="E115" s="102"/>
      <c r="F115" s="34"/>
      <c r="G115" s="35"/>
      <c r="H115" s="68"/>
      <c r="I115" s="61"/>
      <c r="J115" s="35"/>
      <c r="K115" s="35"/>
      <c r="L115" s="37"/>
      <c r="M115" s="38" t="str">
        <f t="shared" si="5"/>
        <v/>
      </c>
      <c r="N115" s="38"/>
      <c r="O115" s="39" t="str">
        <f t="shared" si="6"/>
        <v/>
      </c>
      <c r="P115" s="40"/>
      <c r="Q115" s="89"/>
      <c r="R115" s="90"/>
      <c r="S115" s="96"/>
      <c r="T115" s="97"/>
      <c r="U115" s="91"/>
      <c r="V115" s="92"/>
      <c r="W115" s="93"/>
      <c r="X115" s="86"/>
      <c r="Y115" s="87"/>
      <c r="Z115" s="50"/>
      <c r="AA115" s="51"/>
    </row>
    <row r="116">
      <c r="A116" s="98"/>
      <c r="B116" s="99"/>
      <c r="C116" s="100"/>
      <c r="D116" s="101"/>
      <c r="E116" s="102"/>
      <c r="F116" s="34"/>
      <c r="G116" s="35"/>
      <c r="H116" s="68"/>
      <c r="I116" s="61"/>
      <c r="J116" s="35"/>
      <c r="K116" s="35"/>
      <c r="L116" s="37"/>
      <c r="M116" s="38" t="str">
        <f t="shared" si="5"/>
        <v/>
      </c>
      <c r="N116" s="38"/>
      <c r="O116" s="39" t="str">
        <f t="shared" si="6"/>
        <v/>
      </c>
      <c r="P116" s="64"/>
      <c r="Q116" s="89"/>
      <c r="R116" s="90"/>
      <c r="S116" s="96"/>
      <c r="T116" s="97"/>
      <c r="U116" s="91"/>
      <c r="V116" s="92"/>
      <c r="W116" s="93"/>
      <c r="X116" s="86"/>
      <c r="Y116" s="87"/>
      <c r="Z116" s="50"/>
      <c r="AA116" s="51"/>
    </row>
    <row r="117">
      <c r="A117" s="104"/>
      <c r="B117" s="105"/>
      <c r="C117" s="106"/>
      <c r="D117" s="107"/>
      <c r="E117" s="108"/>
      <c r="F117" s="84"/>
      <c r="G117" s="68"/>
      <c r="H117" s="68"/>
      <c r="I117" s="61"/>
      <c r="J117" s="68"/>
      <c r="K117" s="68"/>
      <c r="L117" s="37"/>
      <c r="M117" s="38" t="str">
        <f t="shared" si="5"/>
        <v/>
      </c>
      <c r="N117" s="38"/>
      <c r="O117" s="39" t="str">
        <f t="shared" si="6"/>
        <v/>
      </c>
      <c r="P117" s="64"/>
      <c r="Q117" s="89"/>
      <c r="R117" s="90"/>
      <c r="S117" s="96"/>
      <c r="T117" s="97"/>
      <c r="U117" s="91"/>
      <c r="V117" s="92"/>
      <c r="W117" s="93"/>
      <c r="X117" s="109"/>
      <c r="Y117" s="87"/>
      <c r="Z117" s="50"/>
      <c r="AA117" s="51"/>
    </row>
    <row r="118">
      <c r="A118" s="104"/>
      <c r="B118" s="105"/>
      <c r="C118" s="106"/>
      <c r="D118" s="107"/>
      <c r="E118" s="108"/>
      <c r="F118" s="84"/>
      <c r="G118" s="68"/>
      <c r="H118" s="68"/>
      <c r="I118" s="61"/>
      <c r="J118" s="68"/>
      <c r="K118" s="68"/>
      <c r="L118" s="37"/>
      <c r="M118" s="38" t="str">
        <f t="shared" si="5"/>
        <v/>
      </c>
      <c r="N118" s="38"/>
      <c r="O118" s="39" t="str">
        <f t="shared" si="6"/>
        <v/>
      </c>
      <c r="P118" s="64"/>
      <c r="Q118" s="89"/>
      <c r="R118" s="90"/>
      <c r="S118" s="96"/>
      <c r="T118" s="97"/>
      <c r="U118" s="91"/>
      <c r="V118" s="92"/>
      <c r="W118" s="93"/>
      <c r="X118" s="110"/>
      <c r="Y118" s="87"/>
      <c r="Z118" s="50"/>
      <c r="AA118" s="51"/>
    </row>
    <row r="119">
      <c r="A119" s="104"/>
      <c r="B119" s="105"/>
      <c r="C119" s="106"/>
      <c r="D119" s="107"/>
      <c r="E119" s="108"/>
      <c r="F119" s="84"/>
      <c r="G119" s="68"/>
      <c r="H119" s="68"/>
      <c r="I119" s="61"/>
      <c r="J119" s="68"/>
      <c r="K119" s="68"/>
      <c r="L119" s="37"/>
      <c r="M119" s="38" t="str">
        <f t="shared" si="5"/>
        <v/>
      </c>
      <c r="N119" s="38"/>
      <c r="O119" s="39" t="str">
        <f t="shared" si="6"/>
        <v/>
      </c>
      <c r="P119" s="64"/>
      <c r="Q119" s="89"/>
      <c r="R119" s="90"/>
      <c r="S119" s="96"/>
      <c r="T119" s="97"/>
      <c r="U119" s="91"/>
      <c r="V119" s="92"/>
      <c r="W119" s="93"/>
      <c r="X119" s="110"/>
      <c r="Y119" s="87"/>
      <c r="Z119" s="50"/>
      <c r="AA119" s="51"/>
    </row>
    <row r="120">
      <c r="A120" s="104"/>
      <c r="B120" s="105"/>
      <c r="C120" s="106"/>
      <c r="D120" s="107"/>
      <c r="E120" s="108"/>
      <c r="F120" s="84"/>
      <c r="G120" s="68"/>
      <c r="H120" s="68"/>
      <c r="I120" s="61"/>
      <c r="J120" s="68"/>
      <c r="K120" s="68"/>
      <c r="L120" s="37"/>
      <c r="M120" s="38" t="str">
        <f t="shared" si="5"/>
        <v/>
      </c>
      <c r="N120" s="38"/>
      <c r="O120" s="39" t="str">
        <f t="shared" si="6"/>
        <v/>
      </c>
      <c r="P120" s="64"/>
      <c r="Q120" s="89"/>
      <c r="R120" s="90"/>
      <c r="S120" s="96"/>
      <c r="T120" s="97"/>
      <c r="U120" s="91"/>
      <c r="V120" s="92"/>
      <c r="W120" s="93"/>
      <c r="X120" s="109"/>
      <c r="Y120" s="87"/>
      <c r="Z120" s="50"/>
      <c r="AA120" s="51"/>
    </row>
    <row r="121">
      <c r="A121" s="104"/>
      <c r="B121" s="105"/>
      <c r="C121" s="106"/>
      <c r="D121" s="107"/>
      <c r="E121" s="108"/>
      <c r="F121" s="84"/>
      <c r="G121" s="68"/>
      <c r="H121" s="68"/>
      <c r="I121" s="61"/>
      <c r="J121" s="68"/>
      <c r="K121" s="68"/>
      <c r="L121" s="37"/>
      <c r="M121" s="38" t="str">
        <f t="shared" si="5"/>
        <v/>
      </c>
      <c r="N121" s="38"/>
      <c r="O121" s="39" t="str">
        <f t="shared" si="6"/>
        <v/>
      </c>
      <c r="P121" s="64"/>
      <c r="Q121" s="89"/>
      <c r="R121" s="90"/>
      <c r="S121" s="96"/>
      <c r="T121" s="97"/>
      <c r="U121" s="91"/>
      <c r="V121" s="92"/>
      <c r="W121" s="93"/>
      <c r="X121" s="110"/>
      <c r="Y121" s="87"/>
      <c r="Z121" s="50"/>
      <c r="AA121" s="51"/>
    </row>
    <row r="122">
      <c r="A122" s="104"/>
      <c r="B122" s="105"/>
      <c r="C122" s="106"/>
      <c r="D122" s="107"/>
      <c r="E122" s="108"/>
      <c r="F122" s="84"/>
      <c r="G122" s="68"/>
      <c r="H122" s="68"/>
      <c r="I122" s="61"/>
      <c r="J122" s="68"/>
      <c r="K122" s="68"/>
      <c r="L122" s="37"/>
      <c r="M122" s="38" t="str">
        <f t="shared" si="5"/>
        <v/>
      </c>
      <c r="N122" s="38"/>
      <c r="O122" s="39" t="str">
        <f t="shared" si="6"/>
        <v/>
      </c>
      <c r="P122" s="64"/>
      <c r="Q122" s="89"/>
      <c r="R122" s="90"/>
      <c r="S122" s="96"/>
      <c r="T122" s="97"/>
      <c r="U122" s="91"/>
      <c r="V122" s="92"/>
      <c r="W122" s="93"/>
      <c r="X122" s="109"/>
      <c r="Y122" s="87"/>
      <c r="Z122" s="50"/>
      <c r="AA122" s="51"/>
    </row>
    <row r="123">
      <c r="A123" s="104"/>
      <c r="B123" s="105"/>
      <c r="C123" s="106"/>
      <c r="D123" s="107"/>
      <c r="E123" s="108"/>
      <c r="F123" s="84"/>
      <c r="G123" s="68"/>
      <c r="H123" s="68"/>
      <c r="I123" s="61"/>
      <c r="J123" s="68"/>
      <c r="K123" s="68"/>
      <c r="L123" s="37"/>
      <c r="M123" s="38" t="str">
        <f t="shared" si="5"/>
        <v/>
      </c>
      <c r="N123" s="38"/>
      <c r="O123" s="39" t="str">
        <f t="shared" si="6"/>
        <v/>
      </c>
      <c r="P123" s="64"/>
      <c r="Q123" s="89"/>
      <c r="R123" s="90"/>
      <c r="S123" s="96"/>
      <c r="T123" s="97"/>
      <c r="U123" s="91"/>
      <c r="V123" s="92"/>
      <c r="W123" s="93"/>
      <c r="X123" s="110"/>
      <c r="Y123" s="87"/>
      <c r="Z123" s="50"/>
      <c r="AA123" s="51"/>
    </row>
    <row r="124">
      <c r="A124" s="104"/>
      <c r="B124" s="105"/>
      <c r="C124" s="106"/>
      <c r="D124" s="107"/>
      <c r="E124" s="108"/>
      <c r="F124" s="84"/>
      <c r="G124" s="68"/>
      <c r="H124" s="68"/>
      <c r="I124" s="61"/>
      <c r="J124" s="68"/>
      <c r="K124" s="68"/>
      <c r="L124" s="37"/>
      <c r="M124" s="38" t="str">
        <f t="shared" si="5"/>
        <v/>
      </c>
      <c r="N124" s="38"/>
      <c r="O124" s="39" t="str">
        <f t="shared" si="6"/>
        <v/>
      </c>
      <c r="P124" s="64"/>
      <c r="Q124" s="89"/>
      <c r="R124" s="90"/>
      <c r="S124" s="96"/>
      <c r="T124" s="97"/>
      <c r="U124" s="91"/>
      <c r="V124" s="92"/>
      <c r="W124" s="93"/>
      <c r="X124" s="109"/>
      <c r="Y124" s="87"/>
      <c r="Z124" s="50"/>
      <c r="AA124" s="51"/>
    </row>
    <row r="125">
      <c r="A125" s="104"/>
      <c r="B125" s="105"/>
      <c r="C125" s="106"/>
      <c r="D125" s="107"/>
      <c r="E125" s="108"/>
      <c r="F125" s="84"/>
      <c r="G125" s="68"/>
      <c r="H125" s="68"/>
      <c r="I125" s="61"/>
      <c r="J125" s="68"/>
      <c r="K125" s="68"/>
      <c r="L125" s="37"/>
      <c r="M125" s="38" t="str">
        <f t="shared" si="5"/>
        <v/>
      </c>
      <c r="N125" s="38"/>
      <c r="O125" s="39" t="str">
        <f t="shared" si="6"/>
        <v/>
      </c>
      <c r="P125" s="64"/>
      <c r="Q125" s="89"/>
      <c r="R125" s="90"/>
      <c r="S125" s="96"/>
      <c r="T125" s="97"/>
      <c r="U125" s="91"/>
      <c r="V125" s="92"/>
      <c r="W125" s="93"/>
      <c r="X125" s="110"/>
      <c r="Y125" s="87"/>
      <c r="Z125" s="50"/>
      <c r="AA125" s="51"/>
    </row>
    <row r="126">
      <c r="A126" s="104"/>
      <c r="B126" s="105"/>
      <c r="C126" s="106"/>
      <c r="D126" s="107"/>
      <c r="E126" s="108"/>
      <c r="F126" s="84"/>
      <c r="G126" s="68"/>
      <c r="H126" s="68"/>
      <c r="I126" s="61"/>
      <c r="J126" s="68"/>
      <c r="K126" s="68"/>
      <c r="L126" s="37"/>
      <c r="M126" s="38" t="str">
        <f t="shared" si="5"/>
        <v/>
      </c>
      <c r="N126" s="38"/>
      <c r="O126" s="39" t="str">
        <f t="shared" si="6"/>
        <v/>
      </c>
      <c r="P126" s="64"/>
      <c r="Q126" s="89"/>
      <c r="R126" s="90"/>
      <c r="S126" s="96"/>
      <c r="T126" s="97"/>
      <c r="U126" s="91"/>
      <c r="V126" s="92"/>
      <c r="W126" s="93"/>
      <c r="X126" s="109"/>
      <c r="Y126" s="87"/>
      <c r="Z126" s="50"/>
      <c r="AA126" s="51"/>
    </row>
    <row r="127">
      <c r="A127" s="104"/>
      <c r="B127" s="105"/>
      <c r="C127" s="106"/>
      <c r="D127" s="107"/>
      <c r="E127" s="108"/>
      <c r="F127" s="84"/>
      <c r="G127" s="68"/>
      <c r="H127" s="68"/>
      <c r="I127" s="61"/>
      <c r="J127" s="68"/>
      <c r="K127" s="68"/>
      <c r="L127" s="37"/>
      <c r="M127" s="38" t="str">
        <f t="shared" si="5"/>
        <v/>
      </c>
      <c r="N127" s="38"/>
      <c r="O127" s="39" t="str">
        <f t="shared" si="6"/>
        <v/>
      </c>
      <c r="P127" s="64"/>
      <c r="Q127" s="89"/>
      <c r="R127" s="90"/>
      <c r="S127" s="96"/>
      <c r="T127" s="97"/>
      <c r="U127" s="91"/>
      <c r="V127" s="92"/>
      <c r="W127" s="93"/>
      <c r="X127" s="110"/>
      <c r="Y127" s="87"/>
      <c r="Z127" s="50"/>
      <c r="AA127" s="51"/>
    </row>
    <row r="128">
      <c r="A128" s="104"/>
      <c r="B128" s="105"/>
      <c r="C128" s="106"/>
      <c r="D128" s="107"/>
      <c r="E128" s="108"/>
      <c r="F128" s="84"/>
      <c r="G128" s="68"/>
      <c r="H128" s="68"/>
      <c r="I128" s="61"/>
      <c r="J128" s="68"/>
      <c r="K128" s="68"/>
      <c r="L128" s="37"/>
      <c r="M128" s="38" t="str">
        <f t="shared" si="5"/>
        <v/>
      </c>
      <c r="N128" s="38"/>
      <c r="O128" s="39" t="str">
        <f t="shared" si="6"/>
        <v/>
      </c>
      <c r="P128" s="64"/>
      <c r="Q128" s="89"/>
      <c r="R128" s="90"/>
      <c r="S128" s="96"/>
      <c r="T128" s="97"/>
      <c r="U128" s="91"/>
      <c r="V128" s="92"/>
      <c r="W128" s="93"/>
      <c r="X128" s="109"/>
      <c r="Y128" s="87"/>
      <c r="Z128" s="50"/>
      <c r="AA128" s="51"/>
    </row>
    <row r="129">
      <c r="A129" s="104"/>
      <c r="B129" s="105"/>
      <c r="C129" s="106"/>
      <c r="D129" s="107"/>
      <c r="E129" s="108"/>
      <c r="F129" s="84"/>
      <c r="G129" s="68"/>
      <c r="H129" s="68"/>
      <c r="I129" s="61"/>
      <c r="J129" s="68"/>
      <c r="K129" s="68"/>
      <c r="L129" s="37"/>
      <c r="M129" s="38" t="str">
        <f t="shared" si="5"/>
        <v/>
      </c>
      <c r="N129" s="38"/>
      <c r="O129" s="39" t="str">
        <f t="shared" si="6"/>
        <v/>
      </c>
      <c r="P129" s="64"/>
      <c r="Q129" s="89"/>
      <c r="R129" s="90"/>
      <c r="S129" s="96"/>
      <c r="T129" s="97"/>
      <c r="U129" s="91"/>
      <c r="V129" s="92"/>
      <c r="W129" s="93"/>
      <c r="X129" s="110"/>
      <c r="Y129" s="87"/>
      <c r="Z129" s="50"/>
      <c r="AA129" s="51"/>
    </row>
    <row r="130">
      <c r="A130" s="104"/>
      <c r="B130" s="105"/>
      <c r="C130" s="106"/>
      <c r="D130" s="107"/>
      <c r="E130" s="108"/>
      <c r="F130" s="84"/>
      <c r="G130" s="68"/>
      <c r="H130" s="68"/>
      <c r="I130" s="61"/>
      <c r="J130" s="68"/>
      <c r="K130" s="68"/>
      <c r="L130" s="37"/>
      <c r="M130" s="38" t="str">
        <f t="shared" si="5"/>
        <v/>
      </c>
      <c r="N130" s="38"/>
      <c r="O130" s="39" t="str">
        <f t="shared" si="6"/>
        <v/>
      </c>
      <c r="P130" s="64"/>
      <c r="Q130" s="89"/>
      <c r="R130" s="90"/>
      <c r="S130" s="96"/>
      <c r="T130" s="97"/>
      <c r="U130" s="91"/>
      <c r="V130" s="92"/>
      <c r="W130" s="93"/>
      <c r="X130" s="109"/>
      <c r="Y130" s="87"/>
      <c r="Z130" s="50"/>
      <c r="AA130" s="51"/>
    </row>
    <row r="131">
      <c r="A131" s="104"/>
      <c r="B131" s="105"/>
      <c r="C131" s="106"/>
      <c r="D131" s="107"/>
      <c r="E131" s="108"/>
      <c r="F131" s="84"/>
      <c r="G131" s="68"/>
      <c r="H131" s="68"/>
      <c r="I131" s="61"/>
      <c r="J131" s="68"/>
      <c r="K131" s="68"/>
      <c r="L131" s="37"/>
      <c r="M131" s="38" t="str">
        <f t="shared" si="5"/>
        <v/>
      </c>
      <c r="N131" s="38"/>
      <c r="O131" s="39" t="str">
        <f t="shared" si="6"/>
        <v/>
      </c>
      <c r="P131" s="64"/>
      <c r="Q131" s="89"/>
      <c r="R131" s="90"/>
      <c r="S131" s="96"/>
      <c r="T131" s="97"/>
      <c r="U131" s="91"/>
      <c r="V131" s="92"/>
      <c r="W131" s="93"/>
      <c r="X131" s="110"/>
      <c r="Y131" s="87"/>
      <c r="Z131" s="50"/>
      <c r="AA131" s="51"/>
    </row>
    <row r="132">
      <c r="A132" s="104"/>
      <c r="B132" s="105"/>
      <c r="C132" s="106"/>
      <c r="D132" s="107"/>
      <c r="E132" s="108"/>
      <c r="F132" s="84"/>
      <c r="G132" s="68"/>
      <c r="H132" s="68"/>
      <c r="I132" s="61"/>
      <c r="J132" s="68"/>
      <c r="K132" s="68"/>
      <c r="L132" s="37"/>
      <c r="M132" s="38" t="str">
        <f t="shared" si="5"/>
        <v/>
      </c>
      <c r="N132" s="38"/>
      <c r="O132" s="39" t="str">
        <f t="shared" si="6"/>
        <v/>
      </c>
      <c r="P132" s="64"/>
      <c r="Q132" s="89"/>
      <c r="R132" s="90"/>
      <c r="S132" s="96"/>
      <c r="T132" s="97"/>
      <c r="U132" s="91"/>
      <c r="V132" s="92"/>
      <c r="W132" s="93"/>
      <c r="X132" s="109"/>
      <c r="Y132" s="87"/>
      <c r="Z132" s="50"/>
      <c r="AA132" s="51"/>
    </row>
    <row r="133">
      <c r="A133" s="104"/>
      <c r="B133" s="105"/>
      <c r="C133" s="106"/>
      <c r="D133" s="107"/>
      <c r="E133" s="108"/>
      <c r="F133" s="84"/>
      <c r="G133" s="68"/>
      <c r="H133" s="68"/>
      <c r="I133" s="61"/>
      <c r="J133" s="68"/>
      <c r="K133" s="68"/>
      <c r="L133" s="37"/>
      <c r="M133" s="38" t="str">
        <f t="shared" si="5"/>
        <v/>
      </c>
      <c r="N133" s="38"/>
      <c r="O133" s="39" t="str">
        <f t="shared" si="6"/>
        <v/>
      </c>
      <c r="P133" s="64"/>
      <c r="Q133" s="89"/>
      <c r="R133" s="90"/>
      <c r="S133" s="96"/>
      <c r="T133" s="97"/>
      <c r="U133" s="91"/>
      <c r="V133" s="92"/>
      <c r="W133" s="93"/>
      <c r="X133" s="110"/>
      <c r="Y133" s="87"/>
      <c r="Z133" s="50"/>
      <c r="AA133" s="51"/>
    </row>
    <row r="134">
      <c r="A134" s="104"/>
      <c r="B134" s="105"/>
      <c r="C134" s="106"/>
      <c r="D134" s="107"/>
      <c r="E134" s="108"/>
      <c r="F134" s="84"/>
      <c r="G134" s="68"/>
      <c r="H134" s="68"/>
      <c r="I134" s="61"/>
      <c r="J134" s="68"/>
      <c r="K134" s="68"/>
      <c r="L134" s="37"/>
      <c r="M134" s="38" t="str">
        <f t="shared" si="5"/>
        <v/>
      </c>
      <c r="N134" s="38"/>
      <c r="O134" s="39" t="str">
        <f t="shared" si="6"/>
        <v/>
      </c>
      <c r="P134" s="64"/>
      <c r="Q134" s="89"/>
      <c r="R134" s="90"/>
      <c r="S134" s="96"/>
      <c r="T134" s="97"/>
      <c r="U134" s="91"/>
      <c r="V134" s="92"/>
      <c r="W134" s="93"/>
      <c r="X134" s="109"/>
      <c r="Y134" s="87"/>
      <c r="Z134" s="50"/>
      <c r="AA134" s="51"/>
    </row>
    <row r="135">
      <c r="A135" s="104"/>
      <c r="B135" s="105"/>
      <c r="C135" s="106"/>
      <c r="D135" s="107"/>
      <c r="E135" s="108"/>
      <c r="F135" s="84"/>
      <c r="G135" s="68"/>
      <c r="H135" s="68"/>
      <c r="I135" s="61"/>
      <c r="J135" s="68"/>
      <c r="K135" s="68"/>
      <c r="L135" s="37"/>
      <c r="M135" s="38" t="str">
        <f t="shared" si="5"/>
        <v/>
      </c>
      <c r="N135" s="38"/>
      <c r="O135" s="39" t="str">
        <f t="shared" si="6"/>
        <v/>
      </c>
      <c r="P135" s="64"/>
      <c r="Q135" s="89"/>
      <c r="R135" s="90"/>
      <c r="S135" s="96"/>
      <c r="T135" s="97"/>
      <c r="U135" s="91"/>
      <c r="V135" s="92"/>
      <c r="W135" s="93"/>
      <c r="X135" s="110"/>
      <c r="Y135" s="87"/>
      <c r="Z135" s="50"/>
      <c r="AA135" s="51"/>
    </row>
    <row r="136">
      <c r="A136" s="104"/>
      <c r="B136" s="105"/>
      <c r="C136" s="106"/>
      <c r="D136" s="107"/>
      <c r="E136" s="108"/>
      <c r="F136" s="84"/>
      <c r="G136" s="68"/>
      <c r="H136" s="68"/>
      <c r="I136" s="61"/>
      <c r="J136" s="68"/>
      <c r="K136" s="68"/>
      <c r="L136" s="37"/>
      <c r="M136" s="38" t="str">
        <f t="shared" si="5"/>
        <v/>
      </c>
      <c r="N136" s="38"/>
      <c r="O136" s="39" t="str">
        <f t="shared" si="6"/>
        <v/>
      </c>
      <c r="P136" s="64"/>
      <c r="Q136" s="89"/>
      <c r="R136" s="90"/>
      <c r="S136" s="96"/>
      <c r="T136" s="97"/>
      <c r="U136" s="91"/>
      <c r="V136" s="92"/>
      <c r="W136" s="93"/>
      <c r="X136" s="109"/>
      <c r="Y136" s="87"/>
      <c r="Z136" s="50"/>
      <c r="AA136" s="51"/>
    </row>
    <row r="137">
      <c r="A137" s="104"/>
      <c r="B137" s="105"/>
      <c r="C137" s="106"/>
      <c r="D137" s="107"/>
      <c r="E137" s="108"/>
      <c r="F137" s="84"/>
      <c r="G137" s="68"/>
      <c r="H137" s="68"/>
      <c r="I137" s="61"/>
      <c r="J137" s="68"/>
      <c r="K137" s="68"/>
      <c r="L137" s="37"/>
      <c r="M137" s="38" t="str">
        <f t="shared" si="5"/>
        <v/>
      </c>
      <c r="N137" s="38"/>
      <c r="O137" s="39" t="str">
        <f t="shared" si="6"/>
        <v/>
      </c>
      <c r="P137" s="64"/>
      <c r="Q137" s="89"/>
      <c r="R137" s="90"/>
      <c r="S137" s="96"/>
      <c r="T137" s="97"/>
      <c r="U137" s="91"/>
      <c r="V137" s="92"/>
      <c r="W137" s="93"/>
      <c r="X137" s="110"/>
      <c r="Y137" s="87"/>
      <c r="Z137" s="50"/>
      <c r="AA137" s="51"/>
    </row>
    <row r="138">
      <c r="A138" s="104"/>
      <c r="B138" s="105"/>
      <c r="C138" s="106"/>
      <c r="D138" s="107"/>
      <c r="E138" s="108"/>
      <c r="F138" s="84"/>
      <c r="G138" s="68"/>
      <c r="H138" s="68"/>
      <c r="I138" s="61"/>
      <c r="J138" s="68"/>
      <c r="K138" s="68"/>
      <c r="L138" s="37"/>
      <c r="M138" s="38" t="str">
        <f t="shared" si="5"/>
        <v/>
      </c>
      <c r="N138" s="38"/>
      <c r="O138" s="39" t="str">
        <f t="shared" si="6"/>
        <v/>
      </c>
      <c r="P138" s="64"/>
      <c r="Q138" s="89"/>
      <c r="R138" s="90"/>
      <c r="S138" s="96"/>
      <c r="T138" s="97"/>
      <c r="U138" s="91"/>
      <c r="V138" s="92"/>
      <c r="W138" s="93"/>
      <c r="X138" s="109"/>
      <c r="Y138" s="87"/>
      <c r="Z138" s="50"/>
      <c r="AA138" s="51"/>
    </row>
    <row r="139">
      <c r="A139" s="104"/>
      <c r="B139" s="105"/>
      <c r="C139" s="106"/>
      <c r="D139" s="107"/>
      <c r="E139" s="108"/>
      <c r="F139" s="84"/>
      <c r="G139" s="68"/>
      <c r="H139" s="68"/>
      <c r="I139" s="61"/>
      <c r="J139" s="68"/>
      <c r="K139" s="68"/>
      <c r="L139" s="37"/>
      <c r="M139" s="38" t="str">
        <f t="shared" si="5"/>
        <v/>
      </c>
      <c r="N139" s="38"/>
      <c r="O139" s="39" t="str">
        <f t="shared" si="6"/>
        <v/>
      </c>
      <c r="P139" s="64"/>
      <c r="Q139" s="89"/>
      <c r="R139" s="90"/>
      <c r="S139" s="96"/>
      <c r="T139" s="97"/>
      <c r="U139" s="91"/>
      <c r="V139" s="92"/>
      <c r="W139" s="93"/>
      <c r="X139" s="110"/>
      <c r="Y139" s="87"/>
      <c r="Z139" s="50"/>
      <c r="AA139" s="51"/>
    </row>
    <row r="140">
      <c r="A140" s="104"/>
      <c r="B140" s="105"/>
      <c r="C140" s="106"/>
      <c r="D140" s="107"/>
      <c r="E140" s="108"/>
      <c r="F140" s="84"/>
      <c r="G140" s="68"/>
      <c r="H140" s="68"/>
      <c r="I140" s="61"/>
      <c r="J140" s="68"/>
      <c r="K140" s="68"/>
      <c r="L140" s="37"/>
      <c r="M140" s="38" t="str">
        <f t="shared" si="5"/>
        <v/>
      </c>
      <c r="N140" s="38"/>
      <c r="O140" s="39" t="str">
        <f t="shared" si="6"/>
        <v/>
      </c>
      <c r="P140" s="64"/>
      <c r="Q140" s="89"/>
      <c r="R140" s="90"/>
      <c r="S140" s="96"/>
      <c r="T140" s="97"/>
      <c r="U140" s="91"/>
      <c r="V140" s="92"/>
      <c r="W140" s="93"/>
      <c r="X140" s="109"/>
      <c r="Y140" s="87"/>
      <c r="Z140" s="50"/>
      <c r="AA140" s="51"/>
    </row>
    <row r="141">
      <c r="A141" s="104"/>
      <c r="B141" s="105"/>
      <c r="C141" s="106"/>
      <c r="D141" s="107"/>
      <c r="E141" s="108"/>
      <c r="F141" s="84"/>
      <c r="G141" s="68"/>
      <c r="H141" s="68"/>
      <c r="I141" s="61"/>
      <c r="J141" s="68"/>
      <c r="K141" s="68"/>
      <c r="L141" s="37"/>
      <c r="M141" s="38" t="str">
        <f t="shared" si="5"/>
        <v/>
      </c>
      <c r="N141" s="38"/>
      <c r="O141" s="39" t="str">
        <f t="shared" si="6"/>
        <v/>
      </c>
      <c r="P141" s="64"/>
      <c r="Q141" s="89"/>
      <c r="R141" s="90"/>
      <c r="S141" s="96"/>
      <c r="T141" s="97"/>
      <c r="U141" s="91"/>
      <c r="V141" s="92"/>
      <c r="W141" s="93"/>
      <c r="X141" s="110"/>
      <c r="Y141" s="87"/>
      <c r="Z141" s="50"/>
      <c r="AA141" s="51"/>
    </row>
    <row r="142">
      <c r="A142" s="104"/>
      <c r="B142" s="105"/>
      <c r="C142" s="106"/>
      <c r="D142" s="107"/>
      <c r="E142" s="108"/>
      <c r="F142" s="84"/>
      <c r="G142" s="68"/>
      <c r="H142" s="68"/>
      <c r="I142" s="61"/>
      <c r="J142" s="68"/>
      <c r="K142" s="68"/>
      <c r="L142" s="37"/>
      <c r="M142" s="38" t="str">
        <f t="shared" si="5"/>
        <v/>
      </c>
      <c r="N142" s="38"/>
      <c r="O142" s="39" t="str">
        <f t="shared" si="6"/>
        <v/>
      </c>
      <c r="P142" s="64"/>
      <c r="Q142" s="89"/>
      <c r="R142" s="90"/>
      <c r="S142" s="96"/>
      <c r="T142" s="97"/>
      <c r="U142" s="91"/>
      <c r="V142" s="92"/>
      <c r="W142" s="93"/>
      <c r="X142" s="109"/>
      <c r="Y142" s="87"/>
      <c r="Z142" s="50"/>
      <c r="AA142" s="51"/>
    </row>
    <row r="143">
      <c r="A143" s="104"/>
      <c r="B143" s="105"/>
      <c r="C143" s="106"/>
      <c r="D143" s="107"/>
      <c r="E143" s="108"/>
      <c r="F143" s="84"/>
      <c r="G143" s="68"/>
      <c r="H143" s="68"/>
      <c r="I143" s="61"/>
      <c r="J143" s="68"/>
      <c r="K143" s="68"/>
      <c r="L143" s="37"/>
      <c r="M143" s="38" t="str">
        <f t="shared" si="5"/>
        <v/>
      </c>
      <c r="N143" s="38"/>
      <c r="O143" s="39" t="str">
        <f t="shared" si="6"/>
        <v/>
      </c>
      <c r="P143" s="64"/>
      <c r="Q143" s="89"/>
      <c r="R143" s="90"/>
      <c r="S143" s="96"/>
      <c r="T143" s="97"/>
      <c r="U143" s="91"/>
      <c r="V143" s="92"/>
      <c r="W143" s="93"/>
      <c r="X143" s="110"/>
      <c r="Y143" s="87"/>
      <c r="Z143" s="50"/>
      <c r="AA143" s="51"/>
    </row>
    <row r="144">
      <c r="A144" s="104"/>
      <c r="B144" s="105"/>
      <c r="C144" s="106"/>
      <c r="D144" s="107"/>
      <c r="E144" s="108"/>
      <c r="F144" s="84"/>
      <c r="G144" s="68"/>
      <c r="H144" s="68"/>
      <c r="I144" s="61"/>
      <c r="J144" s="68"/>
      <c r="K144" s="68"/>
      <c r="L144" s="37"/>
      <c r="M144" s="38" t="str">
        <f t="shared" si="5"/>
        <v/>
      </c>
      <c r="N144" s="38"/>
      <c r="O144" s="39" t="str">
        <f t="shared" si="6"/>
        <v/>
      </c>
      <c r="P144" s="64"/>
      <c r="Q144" s="89"/>
      <c r="R144" s="90"/>
      <c r="S144" s="96"/>
      <c r="T144" s="97"/>
      <c r="U144" s="91"/>
      <c r="V144" s="92"/>
      <c r="W144" s="93"/>
      <c r="X144" s="109"/>
      <c r="Y144" s="87"/>
      <c r="Z144" s="50"/>
      <c r="AA144" s="51"/>
    </row>
    <row r="145">
      <c r="A145" s="104"/>
      <c r="B145" s="105"/>
      <c r="C145" s="106"/>
      <c r="D145" s="107"/>
      <c r="E145" s="108"/>
      <c r="F145" s="84"/>
      <c r="G145" s="68"/>
      <c r="H145" s="68"/>
      <c r="I145" s="61"/>
      <c r="J145" s="68"/>
      <c r="K145" s="68"/>
      <c r="L145" s="37"/>
      <c r="M145" s="38" t="str">
        <f t="shared" si="5"/>
        <v/>
      </c>
      <c r="N145" s="38"/>
      <c r="O145" s="39" t="str">
        <f t="shared" si="6"/>
        <v/>
      </c>
      <c r="P145" s="64"/>
      <c r="Q145" s="89"/>
      <c r="R145" s="90"/>
      <c r="S145" s="96"/>
      <c r="T145" s="97"/>
      <c r="U145" s="91"/>
      <c r="V145" s="92"/>
      <c r="W145" s="93"/>
      <c r="X145" s="110"/>
      <c r="Y145" s="87"/>
      <c r="Z145" s="50"/>
      <c r="AA145" s="51"/>
    </row>
    <row r="146">
      <c r="A146" s="104"/>
      <c r="B146" s="105"/>
      <c r="C146" s="106"/>
      <c r="D146" s="107"/>
      <c r="E146" s="108"/>
      <c r="F146" s="84"/>
      <c r="G146" s="68"/>
      <c r="H146" s="68"/>
      <c r="I146" s="61"/>
      <c r="J146" s="68"/>
      <c r="K146" s="68"/>
      <c r="L146" s="37"/>
      <c r="M146" s="38" t="str">
        <f t="shared" si="5"/>
        <v/>
      </c>
      <c r="N146" s="38"/>
      <c r="O146" s="39" t="str">
        <f t="shared" si="6"/>
        <v/>
      </c>
      <c r="P146" s="64"/>
      <c r="Q146" s="89"/>
      <c r="R146" s="90"/>
      <c r="S146" s="96"/>
      <c r="T146" s="97"/>
      <c r="U146" s="91"/>
      <c r="V146" s="92"/>
      <c r="W146" s="93"/>
      <c r="X146" s="109"/>
      <c r="Y146" s="87"/>
      <c r="Z146" s="50"/>
      <c r="AA146" s="51"/>
    </row>
    <row r="147">
      <c r="A147" s="104"/>
      <c r="B147" s="105"/>
      <c r="C147" s="106"/>
      <c r="D147" s="107"/>
      <c r="E147" s="108"/>
      <c r="F147" s="84"/>
      <c r="G147" s="68"/>
      <c r="H147" s="68"/>
      <c r="I147" s="61"/>
      <c r="J147" s="68"/>
      <c r="K147" s="68"/>
      <c r="L147" s="37"/>
      <c r="M147" s="38" t="str">
        <f t="shared" si="5"/>
        <v/>
      </c>
      <c r="N147" s="38"/>
      <c r="O147" s="39" t="str">
        <f t="shared" si="6"/>
        <v/>
      </c>
      <c r="P147" s="64"/>
      <c r="Q147" s="89"/>
      <c r="R147" s="90"/>
      <c r="S147" s="96"/>
      <c r="T147" s="97"/>
      <c r="U147" s="91"/>
      <c r="V147" s="92"/>
      <c r="W147" s="93"/>
      <c r="X147" s="110"/>
      <c r="Y147" s="87"/>
      <c r="Z147" s="50"/>
      <c r="AA147" s="51"/>
    </row>
    <row r="148">
      <c r="A148" s="104"/>
      <c r="B148" s="105"/>
      <c r="C148" s="106"/>
      <c r="D148" s="107"/>
      <c r="E148" s="108"/>
      <c r="F148" s="84"/>
      <c r="G148" s="68"/>
      <c r="H148" s="68"/>
      <c r="I148" s="61"/>
      <c r="J148" s="68"/>
      <c r="K148" s="68"/>
      <c r="L148" s="37"/>
      <c r="M148" s="38" t="str">
        <f t="shared" si="5"/>
        <v/>
      </c>
      <c r="N148" s="38"/>
      <c r="O148" s="39" t="str">
        <f t="shared" si="6"/>
        <v/>
      </c>
      <c r="P148" s="64"/>
      <c r="Q148" s="89"/>
      <c r="R148" s="90"/>
      <c r="S148" s="96"/>
      <c r="T148" s="97"/>
      <c r="U148" s="91"/>
      <c r="V148" s="92"/>
      <c r="W148" s="93"/>
      <c r="X148" s="109"/>
      <c r="Y148" s="87"/>
      <c r="Z148" s="50"/>
      <c r="AA148" s="51"/>
    </row>
    <row r="149">
      <c r="A149" s="104"/>
      <c r="B149" s="105"/>
      <c r="C149" s="106"/>
      <c r="D149" s="107"/>
      <c r="E149" s="108"/>
      <c r="F149" s="84"/>
      <c r="G149" s="68"/>
      <c r="H149" s="68"/>
      <c r="I149" s="61"/>
      <c r="J149" s="68"/>
      <c r="K149" s="68"/>
      <c r="L149" s="37"/>
      <c r="M149" s="38" t="str">
        <f t="shared" si="5"/>
        <v/>
      </c>
      <c r="N149" s="38"/>
      <c r="O149" s="39" t="str">
        <f t="shared" si="6"/>
        <v/>
      </c>
      <c r="P149" s="64"/>
      <c r="Q149" s="89"/>
      <c r="R149" s="90"/>
      <c r="S149" s="96"/>
      <c r="T149" s="97"/>
      <c r="U149" s="91"/>
      <c r="V149" s="92"/>
      <c r="W149" s="93"/>
      <c r="X149" s="110"/>
      <c r="Y149" s="87"/>
      <c r="Z149" s="50"/>
      <c r="AA149" s="51"/>
    </row>
    <row r="150">
      <c r="A150" s="104"/>
      <c r="B150" s="105"/>
      <c r="C150" s="106"/>
      <c r="D150" s="107"/>
      <c r="E150" s="108"/>
      <c r="F150" s="84"/>
      <c r="G150" s="68"/>
      <c r="H150" s="68"/>
      <c r="I150" s="61"/>
      <c r="J150" s="68"/>
      <c r="K150" s="68"/>
      <c r="L150" s="37"/>
      <c r="M150" s="38" t="str">
        <f t="shared" si="5"/>
        <v/>
      </c>
      <c r="N150" s="38"/>
      <c r="O150" s="39" t="str">
        <f t="shared" si="6"/>
        <v/>
      </c>
      <c r="P150" s="64"/>
      <c r="Q150" s="89"/>
      <c r="R150" s="90"/>
      <c r="S150" s="96"/>
      <c r="T150" s="97"/>
      <c r="U150" s="91"/>
      <c r="V150" s="92"/>
      <c r="W150" s="93"/>
      <c r="X150" s="109"/>
      <c r="Y150" s="87"/>
      <c r="Z150" s="50"/>
      <c r="AA150" s="51"/>
    </row>
    <row r="151">
      <c r="A151" s="104"/>
      <c r="B151" s="105"/>
      <c r="C151" s="106"/>
      <c r="D151" s="107"/>
      <c r="E151" s="108"/>
      <c r="F151" s="84"/>
      <c r="G151" s="68"/>
      <c r="H151" s="68"/>
      <c r="I151" s="61"/>
      <c r="J151" s="68"/>
      <c r="K151" s="68"/>
      <c r="L151" s="37"/>
      <c r="M151" s="38" t="str">
        <f t="shared" si="5"/>
        <v/>
      </c>
      <c r="N151" s="38"/>
      <c r="O151" s="39" t="str">
        <f t="shared" si="6"/>
        <v/>
      </c>
      <c r="P151" s="64"/>
      <c r="Q151" s="89"/>
      <c r="R151" s="90"/>
      <c r="S151" s="96"/>
      <c r="T151" s="97"/>
      <c r="U151" s="91"/>
      <c r="V151" s="92"/>
      <c r="W151" s="93"/>
      <c r="X151" s="110"/>
      <c r="Y151" s="87"/>
      <c r="Z151" s="50"/>
      <c r="AA151" s="51"/>
    </row>
    <row r="152">
      <c r="A152" s="104"/>
      <c r="B152" s="105"/>
      <c r="C152" s="106"/>
      <c r="D152" s="107"/>
      <c r="E152" s="108"/>
      <c r="F152" s="84"/>
      <c r="G152" s="68"/>
      <c r="H152" s="68"/>
      <c r="I152" s="61"/>
      <c r="J152" s="68"/>
      <c r="K152" s="68"/>
      <c r="L152" s="37"/>
      <c r="M152" s="38" t="str">
        <f t="shared" si="5"/>
        <v/>
      </c>
      <c r="N152" s="38"/>
      <c r="O152" s="39" t="str">
        <f t="shared" si="6"/>
        <v/>
      </c>
      <c r="P152" s="64"/>
      <c r="Q152" s="89"/>
      <c r="R152" s="90"/>
      <c r="S152" s="96"/>
      <c r="T152" s="97"/>
      <c r="U152" s="91"/>
      <c r="V152" s="92"/>
      <c r="W152" s="93"/>
      <c r="X152" s="109"/>
      <c r="Y152" s="87"/>
      <c r="Z152" s="50"/>
      <c r="AA152" s="51"/>
    </row>
    <row r="153">
      <c r="A153" s="104"/>
      <c r="B153" s="105"/>
      <c r="C153" s="106"/>
      <c r="D153" s="107"/>
      <c r="E153" s="108"/>
      <c r="F153" s="84"/>
      <c r="G153" s="68"/>
      <c r="H153" s="68"/>
      <c r="I153" s="61"/>
      <c r="J153" s="68"/>
      <c r="K153" s="68"/>
      <c r="L153" s="37"/>
      <c r="M153" s="38" t="str">
        <f t="shared" si="5"/>
        <v/>
      </c>
      <c r="N153" s="38"/>
      <c r="O153" s="39" t="str">
        <f t="shared" si="6"/>
        <v/>
      </c>
      <c r="P153" s="64"/>
      <c r="Q153" s="89"/>
      <c r="R153" s="90"/>
      <c r="S153" s="96"/>
      <c r="T153" s="97"/>
      <c r="U153" s="91"/>
      <c r="V153" s="92"/>
      <c r="W153" s="93"/>
      <c r="X153" s="110"/>
      <c r="Y153" s="87"/>
      <c r="Z153" s="50"/>
      <c r="AA153" s="51"/>
    </row>
    <row r="154">
      <c r="A154" s="104"/>
      <c r="B154" s="105"/>
      <c r="C154" s="106"/>
      <c r="D154" s="107"/>
      <c r="E154" s="108"/>
      <c r="F154" s="84"/>
      <c r="G154" s="68"/>
      <c r="H154" s="68"/>
      <c r="I154" s="61"/>
      <c r="J154" s="68"/>
      <c r="K154" s="68"/>
      <c r="L154" s="37"/>
      <c r="M154" s="38" t="str">
        <f t="shared" si="5"/>
        <v/>
      </c>
      <c r="N154" s="38"/>
      <c r="O154" s="39" t="str">
        <f t="shared" si="6"/>
        <v/>
      </c>
      <c r="P154" s="64"/>
      <c r="Q154" s="89"/>
      <c r="R154" s="90"/>
      <c r="S154" s="96"/>
      <c r="T154" s="97"/>
      <c r="U154" s="91"/>
      <c r="V154" s="92"/>
      <c r="W154" s="93"/>
      <c r="X154" s="109"/>
      <c r="Y154" s="87"/>
      <c r="Z154" s="50"/>
      <c r="AA154" s="51"/>
    </row>
    <row r="155">
      <c r="A155" s="104"/>
      <c r="B155" s="105"/>
      <c r="C155" s="106"/>
      <c r="D155" s="107"/>
      <c r="E155" s="108"/>
      <c r="F155" s="84"/>
      <c r="G155" s="68"/>
      <c r="H155" s="68"/>
      <c r="I155" s="61"/>
      <c r="J155" s="68"/>
      <c r="K155" s="68"/>
      <c r="L155" s="37"/>
      <c r="M155" s="38" t="str">
        <f t="shared" si="5"/>
        <v/>
      </c>
      <c r="N155" s="38"/>
      <c r="O155" s="39" t="str">
        <f t="shared" si="6"/>
        <v/>
      </c>
      <c r="P155" s="64"/>
      <c r="Q155" s="89"/>
      <c r="R155" s="90"/>
      <c r="S155" s="96"/>
      <c r="T155" s="97"/>
      <c r="U155" s="91"/>
      <c r="V155" s="92"/>
      <c r="W155" s="93"/>
      <c r="X155" s="110"/>
      <c r="Y155" s="87"/>
      <c r="Z155" s="50"/>
      <c r="AA155" s="51"/>
    </row>
    <row r="156">
      <c r="A156" s="104"/>
      <c r="B156" s="105"/>
      <c r="C156" s="106"/>
      <c r="D156" s="107"/>
      <c r="E156" s="108"/>
      <c r="F156" s="84"/>
      <c r="G156" s="68"/>
      <c r="H156" s="68"/>
      <c r="I156" s="61"/>
      <c r="J156" s="68"/>
      <c r="K156" s="68"/>
      <c r="L156" s="37"/>
      <c r="M156" s="38" t="str">
        <f t="shared" si="5"/>
        <v/>
      </c>
      <c r="N156" s="38"/>
      <c r="O156" s="39" t="str">
        <f t="shared" si="6"/>
        <v/>
      </c>
      <c r="P156" s="64"/>
      <c r="Q156" s="89"/>
      <c r="R156" s="90"/>
      <c r="S156" s="96"/>
      <c r="T156" s="97"/>
      <c r="U156" s="91"/>
      <c r="V156" s="92"/>
      <c r="W156" s="93"/>
      <c r="X156" s="109"/>
      <c r="Y156" s="87"/>
      <c r="Z156" s="50"/>
      <c r="AA156" s="51"/>
    </row>
    <row r="157">
      <c r="A157" s="104"/>
      <c r="B157" s="105"/>
      <c r="C157" s="106"/>
      <c r="D157" s="107"/>
      <c r="E157" s="108"/>
      <c r="F157" s="84"/>
      <c r="G157" s="68"/>
      <c r="H157" s="68"/>
      <c r="I157" s="61"/>
      <c r="J157" s="68"/>
      <c r="K157" s="68"/>
      <c r="L157" s="37"/>
      <c r="M157" s="38" t="str">
        <f t="shared" si="5"/>
        <v/>
      </c>
      <c r="N157" s="38"/>
      <c r="O157" s="39" t="str">
        <f t="shared" si="6"/>
        <v/>
      </c>
      <c r="P157" s="64"/>
      <c r="Q157" s="89"/>
      <c r="R157" s="90"/>
      <c r="S157" s="96"/>
      <c r="T157" s="97"/>
      <c r="U157" s="91"/>
      <c r="V157" s="92"/>
      <c r="W157" s="93"/>
      <c r="X157" s="110"/>
      <c r="Y157" s="87"/>
      <c r="Z157" s="50"/>
      <c r="AA157" s="51"/>
    </row>
    <row r="158">
      <c r="A158" s="104"/>
      <c r="B158" s="105"/>
      <c r="C158" s="106"/>
      <c r="D158" s="107"/>
      <c r="E158" s="108"/>
      <c r="F158" s="84"/>
      <c r="G158" s="68"/>
      <c r="H158" s="68"/>
      <c r="I158" s="61"/>
      <c r="J158" s="68"/>
      <c r="K158" s="68"/>
      <c r="L158" s="37"/>
      <c r="M158" s="38" t="str">
        <f t="shared" si="5"/>
        <v/>
      </c>
      <c r="N158" s="38"/>
      <c r="O158" s="39" t="str">
        <f t="shared" si="6"/>
        <v/>
      </c>
      <c r="P158" s="64"/>
      <c r="Q158" s="89"/>
      <c r="R158" s="90"/>
      <c r="S158" s="96"/>
      <c r="T158" s="97"/>
      <c r="U158" s="91"/>
      <c r="V158" s="92"/>
      <c r="W158" s="93"/>
      <c r="X158" s="109"/>
      <c r="Y158" s="87"/>
      <c r="Z158" s="50"/>
      <c r="AA158" s="51"/>
    </row>
    <row r="159">
      <c r="A159" s="104"/>
      <c r="B159" s="105"/>
      <c r="C159" s="106"/>
      <c r="D159" s="107"/>
      <c r="E159" s="108"/>
      <c r="F159" s="84"/>
      <c r="G159" s="68"/>
      <c r="H159" s="68"/>
      <c r="I159" s="61"/>
      <c r="J159" s="68"/>
      <c r="K159" s="68"/>
      <c r="L159" s="37"/>
      <c r="M159" s="38" t="str">
        <f t="shared" si="5"/>
        <v/>
      </c>
      <c r="N159" s="38"/>
      <c r="O159" s="39" t="str">
        <f t="shared" si="6"/>
        <v/>
      </c>
      <c r="P159" s="64"/>
      <c r="Q159" s="89"/>
      <c r="R159" s="90"/>
      <c r="S159" s="96"/>
      <c r="T159" s="97"/>
      <c r="U159" s="91"/>
      <c r="V159" s="92"/>
      <c r="W159" s="93"/>
      <c r="X159" s="110"/>
      <c r="Y159" s="87"/>
      <c r="Z159" s="50"/>
      <c r="AA159" s="51"/>
    </row>
    <row r="160">
      <c r="A160" s="104"/>
      <c r="B160" s="105"/>
      <c r="C160" s="106"/>
      <c r="D160" s="107"/>
      <c r="E160" s="108"/>
      <c r="F160" s="84"/>
      <c r="G160" s="68"/>
      <c r="H160" s="68"/>
      <c r="I160" s="61"/>
      <c r="J160" s="68"/>
      <c r="K160" s="68"/>
      <c r="L160" s="37"/>
      <c r="M160" s="38" t="str">
        <f t="shared" si="5"/>
        <v/>
      </c>
      <c r="N160" s="38"/>
      <c r="O160" s="39" t="str">
        <f t="shared" si="6"/>
        <v/>
      </c>
      <c r="P160" s="64"/>
      <c r="Q160" s="89"/>
      <c r="R160" s="90"/>
      <c r="S160" s="96"/>
      <c r="T160" s="97"/>
      <c r="U160" s="91"/>
      <c r="V160" s="92"/>
      <c r="W160" s="93"/>
      <c r="X160" s="109"/>
      <c r="Y160" s="87"/>
      <c r="Z160" s="50"/>
      <c r="AA160" s="51"/>
    </row>
    <row r="161">
      <c r="A161" s="104"/>
      <c r="B161" s="105"/>
      <c r="C161" s="106"/>
      <c r="D161" s="107"/>
      <c r="E161" s="108"/>
      <c r="F161" s="84"/>
      <c r="G161" s="68"/>
      <c r="H161" s="68"/>
      <c r="I161" s="61"/>
      <c r="J161" s="68"/>
      <c r="K161" s="68"/>
      <c r="L161" s="37"/>
      <c r="M161" s="38" t="str">
        <f t="shared" si="5"/>
        <v/>
      </c>
      <c r="N161" s="38"/>
      <c r="O161" s="39" t="str">
        <f t="shared" si="6"/>
        <v/>
      </c>
      <c r="P161" s="64"/>
      <c r="Q161" s="89"/>
      <c r="R161" s="90"/>
      <c r="S161" s="96"/>
      <c r="T161" s="97"/>
      <c r="U161" s="91"/>
      <c r="V161" s="92"/>
      <c r="W161" s="93"/>
      <c r="X161" s="110"/>
      <c r="Y161" s="87"/>
      <c r="Z161" s="50"/>
      <c r="AA161" s="51"/>
    </row>
    <row r="162">
      <c r="A162" s="104"/>
      <c r="B162" s="105"/>
      <c r="C162" s="106"/>
      <c r="D162" s="107"/>
      <c r="E162" s="108"/>
      <c r="F162" s="84"/>
      <c r="G162" s="68"/>
      <c r="H162" s="68"/>
      <c r="I162" s="61"/>
      <c r="J162" s="68"/>
      <c r="K162" s="68"/>
      <c r="L162" s="37"/>
      <c r="M162" s="38" t="str">
        <f t="shared" si="5"/>
        <v/>
      </c>
      <c r="N162" s="38"/>
      <c r="O162" s="39" t="str">
        <f t="shared" si="6"/>
        <v/>
      </c>
      <c r="P162" s="64"/>
      <c r="Q162" s="89"/>
      <c r="R162" s="90"/>
      <c r="S162" s="96"/>
      <c r="T162" s="97"/>
      <c r="U162" s="91"/>
      <c r="V162" s="92"/>
      <c r="W162" s="93"/>
      <c r="X162" s="109"/>
      <c r="Y162" s="87"/>
      <c r="Z162" s="50"/>
      <c r="AA162" s="51"/>
    </row>
    <row r="163">
      <c r="A163" s="104"/>
      <c r="B163" s="105"/>
      <c r="C163" s="106"/>
      <c r="D163" s="107"/>
      <c r="E163" s="108"/>
      <c r="F163" s="84"/>
      <c r="G163" s="68"/>
      <c r="H163" s="68"/>
      <c r="I163" s="61"/>
      <c r="J163" s="68"/>
      <c r="K163" s="68"/>
      <c r="L163" s="37"/>
      <c r="M163" s="38" t="str">
        <f t="shared" si="5"/>
        <v/>
      </c>
      <c r="N163" s="38"/>
      <c r="O163" s="39" t="str">
        <f t="shared" si="6"/>
        <v/>
      </c>
      <c r="P163" s="64"/>
      <c r="Q163" s="89"/>
      <c r="R163" s="90"/>
      <c r="S163" s="96"/>
      <c r="T163" s="97"/>
      <c r="U163" s="91"/>
      <c r="V163" s="92"/>
      <c r="W163" s="93"/>
      <c r="X163" s="110"/>
      <c r="Y163" s="87"/>
      <c r="Z163" s="50"/>
      <c r="AA163" s="51"/>
    </row>
    <row r="164">
      <c r="A164" s="104"/>
      <c r="B164" s="105"/>
      <c r="C164" s="106"/>
      <c r="D164" s="107"/>
      <c r="E164" s="108"/>
      <c r="F164" s="84"/>
      <c r="G164" s="68"/>
      <c r="H164" s="68"/>
      <c r="I164" s="61"/>
      <c r="J164" s="68"/>
      <c r="K164" s="68"/>
      <c r="L164" s="37"/>
      <c r="M164" s="38" t="str">
        <f t="shared" si="5"/>
        <v/>
      </c>
      <c r="N164" s="38"/>
      <c r="O164" s="39" t="str">
        <f t="shared" si="6"/>
        <v/>
      </c>
      <c r="P164" s="64"/>
      <c r="Q164" s="89"/>
      <c r="R164" s="90"/>
      <c r="S164" s="96"/>
      <c r="T164" s="97"/>
      <c r="U164" s="91"/>
      <c r="V164" s="92"/>
      <c r="W164" s="93"/>
      <c r="X164" s="109"/>
      <c r="Y164" s="87"/>
      <c r="Z164" s="50"/>
      <c r="AA164" s="51"/>
    </row>
    <row r="165">
      <c r="A165" s="104"/>
      <c r="B165" s="105"/>
      <c r="C165" s="106"/>
      <c r="D165" s="107"/>
      <c r="E165" s="108"/>
      <c r="F165" s="84"/>
      <c r="G165" s="68"/>
      <c r="H165" s="68"/>
      <c r="I165" s="61"/>
      <c r="J165" s="68"/>
      <c r="K165" s="68"/>
      <c r="L165" s="37"/>
      <c r="M165" s="38" t="str">
        <f t="shared" si="5"/>
        <v/>
      </c>
      <c r="N165" s="38"/>
      <c r="O165" s="39" t="str">
        <f t="shared" si="6"/>
        <v/>
      </c>
      <c r="P165" s="64"/>
      <c r="Q165" s="89"/>
      <c r="R165" s="90"/>
      <c r="S165" s="96"/>
      <c r="T165" s="97"/>
      <c r="U165" s="91"/>
      <c r="V165" s="92"/>
      <c r="W165" s="93"/>
      <c r="X165" s="110"/>
      <c r="Y165" s="87"/>
      <c r="Z165" s="50"/>
      <c r="AA165" s="51"/>
    </row>
    <row r="166">
      <c r="A166" s="104"/>
      <c r="B166" s="105"/>
      <c r="C166" s="106"/>
      <c r="D166" s="107"/>
      <c r="E166" s="108"/>
      <c r="F166" s="84"/>
      <c r="G166" s="68"/>
      <c r="H166" s="68"/>
      <c r="I166" s="61"/>
      <c r="J166" s="68"/>
      <c r="K166" s="68"/>
      <c r="L166" s="37"/>
      <c r="M166" s="38" t="str">
        <f t="shared" si="5"/>
        <v/>
      </c>
      <c r="N166" s="38"/>
      <c r="O166" s="39" t="str">
        <f t="shared" si="6"/>
        <v/>
      </c>
      <c r="P166" s="64"/>
      <c r="Q166" s="89"/>
      <c r="R166" s="90"/>
      <c r="S166" s="96"/>
      <c r="T166" s="97"/>
      <c r="U166" s="91"/>
      <c r="V166" s="92"/>
      <c r="W166" s="93"/>
      <c r="X166" s="109"/>
      <c r="Y166" s="87"/>
      <c r="Z166" s="50"/>
      <c r="AA166" s="51"/>
    </row>
    <row r="167">
      <c r="A167" s="104"/>
      <c r="B167" s="105"/>
      <c r="C167" s="106"/>
      <c r="D167" s="107"/>
      <c r="E167" s="108"/>
      <c r="F167" s="84"/>
      <c r="G167" s="68"/>
      <c r="H167" s="68"/>
      <c r="I167" s="61"/>
      <c r="J167" s="68"/>
      <c r="K167" s="68"/>
      <c r="L167" s="37"/>
      <c r="M167" s="38" t="str">
        <f t="shared" si="5"/>
        <v/>
      </c>
      <c r="N167" s="38"/>
      <c r="O167" s="39" t="str">
        <f t="shared" si="6"/>
        <v/>
      </c>
      <c r="P167" s="64"/>
      <c r="Q167" s="89"/>
      <c r="R167" s="90"/>
      <c r="S167" s="96"/>
      <c r="T167" s="97"/>
      <c r="U167" s="91"/>
      <c r="V167" s="92"/>
      <c r="W167" s="93"/>
      <c r="X167" s="110"/>
      <c r="Y167" s="87"/>
      <c r="Z167" s="50"/>
      <c r="AA167" s="51"/>
    </row>
    <row r="168">
      <c r="A168" s="104"/>
      <c r="B168" s="105"/>
      <c r="C168" s="106"/>
      <c r="D168" s="107"/>
      <c r="E168" s="108"/>
      <c r="F168" s="84"/>
      <c r="G168" s="68"/>
      <c r="H168" s="68"/>
      <c r="I168" s="61"/>
      <c r="J168" s="68"/>
      <c r="K168" s="68"/>
      <c r="L168" s="37"/>
      <c r="M168" s="38" t="str">
        <f t="shared" si="5"/>
        <v/>
      </c>
      <c r="N168" s="38"/>
      <c r="O168" s="39" t="str">
        <f t="shared" si="6"/>
        <v/>
      </c>
      <c r="P168" s="64"/>
      <c r="Q168" s="89"/>
      <c r="R168" s="90"/>
      <c r="S168" s="96"/>
      <c r="T168" s="97"/>
      <c r="U168" s="91"/>
      <c r="V168" s="92"/>
      <c r="W168" s="93"/>
      <c r="X168" s="109"/>
      <c r="Y168" s="87"/>
      <c r="Z168" s="50"/>
      <c r="AA168" s="51"/>
    </row>
    <row r="169">
      <c r="A169" s="104"/>
      <c r="B169" s="105"/>
      <c r="C169" s="106"/>
      <c r="D169" s="107"/>
      <c r="E169" s="108"/>
      <c r="F169" s="84"/>
      <c r="G169" s="68"/>
      <c r="H169" s="68"/>
      <c r="I169" s="61"/>
      <c r="J169" s="68"/>
      <c r="K169" s="68"/>
      <c r="L169" s="37"/>
      <c r="M169" s="38" t="str">
        <f t="shared" si="5"/>
        <v/>
      </c>
      <c r="N169" s="38"/>
      <c r="O169" s="39" t="str">
        <f t="shared" si="6"/>
        <v/>
      </c>
      <c r="P169" s="64"/>
      <c r="Q169" s="89"/>
      <c r="R169" s="90"/>
      <c r="S169" s="96"/>
      <c r="T169" s="97"/>
      <c r="U169" s="91"/>
      <c r="V169" s="92"/>
      <c r="W169" s="93"/>
      <c r="X169" s="110"/>
      <c r="Y169" s="87"/>
      <c r="Z169" s="50"/>
      <c r="AA169" s="51"/>
    </row>
    <row r="170">
      <c r="A170" s="104"/>
      <c r="B170" s="105"/>
      <c r="C170" s="106"/>
      <c r="D170" s="107"/>
      <c r="E170" s="108"/>
      <c r="F170" s="84"/>
      <c r="G170" s="68"/>
      <c r="H170" s="68"/>
      <c r="I170" s="61"/>
      <c r="J170" s="68"/>
      <c r="K170" s="68"/>
      <c r="L170" s="37"/>
      <c r="M170" s="38" t="str">
        <f t="shared" si="5"/>
        <v/>
      </c>
      <c r="N170" s="38"/>
      <c r="O170" s="39" t="str">
        <f t="shared" si="6"/>
        <v/>
      </c>
      <c r="P170" s="64"/>
      <c r="Q170" s="89"/>
      <c r="R170" s="90"/>
      <c r="S170" s="96"/>
      <c r="T170" s="97"/>
      <c r="U170" s="91"/>
      <c r="V170" s="92"/>
      <c r="W170" s="93"/>
      <c r="X170" s="109"/>
      <c r="Y170" s="87"/>
      <c r="Z170" s="50"/>
      <c r="AA170" s="51"/>
    </row>
    <row r="171">
      <c r="A171" s="104"/>
      <c r="B171" s="105"/>
      <c r="C171" s="106"/>
      <c r="D171" s="107"/>
      <c r="E171" s="108"/>
      <c r="F171" s="84"/>
      <c r="G171" s="68"/>
      <c r="H171" s="68"/>
      <c r="I171" s="61"/>
      <c r="J171" s="68"/>
      <c r="K171" s="68"/>
      <c r="L171" s="37"/>
      <c r="M171" s="38" t="str">
        <f t="shared" si="5"/>
        <v/>
      </c>
      <c r="N171" s="38"/>
      <c r="O171" s="39" t="str">
        <f t="shared" si="6"/>
        <v/>
      </c>
      <c r="P171" s="64"/>
      <c r="Q171" s="89"/>
      <c r="R171" s="90"/>
      <c r="S171" s="96"/>
      <c r="T171" s="97"/>
      <c r="U171" s="91"/>
      <c r="V171" s="92"/>
      <c r="W171" s="93"/>
      <c r="X171" s="110"/>
      <c r="Y171" s="87"/>
      <c r="Z171" s="50"/>
      <c r="AA171" s="51"/>
    </row>
    <row r="172">
      <c r="A172" s="104"/>
      <c r="B172" s="105"/>
      <c r="C172" s="106"/>
      <c r="D172" s="107"/>
      <c r="E172" s="108"/>
      <c r="F172" s="84"/>
      <c r="G172" s="68"/>
      <c r="H172" s="68"/>
      <c r="I172" s="61"/>
      <c r="J172" s="68"/>
      <c r="K172" s="68"/>
      <c r="L172" s="37"/>
      <c r="M172" s="38" t="str">
        <f t="shared" si="5"/>
        <v/>
      </c>
      <c r="N172" s="38"/>
      <c r="O172" s="39" t="str">
        <f t="shared" si="6"/>
        <v/>
      </c>
      <c r="P172" s="64"/>
      <c r="Q172" s="89"/>
      <c r="R172" s="90"/>
      <c r="S172" s="96"/>
      <c r="T172" s="97"/>
      <c r="U172" s="91"/>
      <c r="V172" s="92"/>
      <c r="W172" s="93"/>
      <c r="X172" s="109"/>
      <c r="Y172" s="87"/>
      <c r="Z172" s="50"/>
      <c r="AA172" s="51"/>
    </row>
    <row r="173">
      <c r="A173" s="104"/>
      <c r="B173" s="105"/>
      <c r="C173" s="106"/>
      <c r="D173" s="107"/>
      <c r="E173" s="108"/>
      <c r="F173" s="84"/>
      <c r="G173" s="68"/>
      <c r="H173" s="68"/>
      <c r="I173" s="61"/>
      <c r="J173" s="68"/>
      <c r="K173" s="68"/>
      <c r="L173" s="37"/>
      <c r="M173" s="38" t="str">
        <f t="shared" si="5"/>
        <v/>
      </c>
      <c r="N173" s="38"/>
      <c r="O173" s="39" t="str">
        <f t="shared" si="6"/>
        <v/>
      </c>
      <c r="P173" s="64"/>
      <c r="Q173" s="89"/>
      <c r="R173" s="90"/>
      <c r="S173" s="96"/>
      <c r="T173" s="97"/>
      <c r="U173" s="91"/>
      <c r="V173" s="92"/>
      <c r="W173" s="93"/>
      <c r="X173" s="110"/>
      <c r="Y173" s="87"/>
      <c r="Z173" s="50"/>
      <c r="AA173" s="51"/>
    </row>
    <row r="174">
      <c r="A174" s="104"/>
      <c r="B174" s="105"/>
      <c r="C174" s="106"/>
      <c r="D174" s="107"/>
      <c r="E174" s="108"/>
      <c r="F174" s="84"/>
      <c r="G174" s="68"/>
      <c r="H174" s="68"/>
      <c r="I174" s="61"/>
      <c r="J174" s="68"/>
      <c r="K174" s="68"/>
      <c r="L174" s="37"/>
      <c r="M174" s="38" t="str">
        <f t="shared" si="5"/>
        <v/>
      </c>
      <c r="N174" s="38"/>
      <c r="O174" s="39" t="str">
        <f t="shared" si="6"/>
        <v/>
      </c>
      <c r="P174" s="64"/>
      <c r="Q174" s="89"/>
      <c r="R174" s="90"/>
      <c r="S174" s="96"/>
      <c r="T174" s="97"/>
      <c r="U174" s="91"/>
      <c r="V174" s="92"/>
      <c r="W174" s="93"/>
      <c r="X174" s="109"/>
      <c r="Y174" s="87"/>
      <c r="Z174" s="50"/>
      <c r="AA174" s="51"/>
    </row>
    <row r="175">
      <c r="A175" s="104"/>
      <c r="B175" s="105"/>
      <c r="C175" s="106"/>
      <c r="D175" s="107"/>
      <c r="E175" s="108"/>
      <c r="F175" s="84"/>
      <c r="G175" s="68"/>
      <c r="H175" s="68"/>
      <c r="I175" s="61"/>
      <c r="J175" s="68"/>
      <c r="K175" s="68"/>
      <c r="L175" s="37"/>
      <c r="M175" s="38" t="str">
        <f t="shared" si="5"/>
        <v/>
      </c>
      <c r="N175" s="38"/>
      <c r="O175" s="39" t="str">
        <f t="shared" si="6"/>
        <v/>
      </c>
      <c r="P175" s="64"/>
      <c r="Q175" s="89"/>
      <c r="R175" s="90"/>
      <c r="S175" s="96"/>
      <c r="T175" s="97"/>
      <c r="U175" s="91"/>
      <c r="V175" s="92"/>
      <c r="W175" s="93"/>
      <c r="X175" s="110"/>
      <c r="Y175" s="87"/>
      <c r="Z175" s="50"/>
      <c r="AA175" s="51"/>
    </row>
    <row r="176">
      <c r="A176" s="104"/>
      <c r="B176" s="105"/>
      <c r="C176" s="106"/>
      <c r="D176" s="107"/>
      <c r="E176" s="108"/>
      <c r="F176" s="84"/>
      <c r="G176" s="68"/>
      <c r="H176" s="68"/>
      <c r="I176" s="61"/>
      <c r="J176" s="68"/>
      <c r="K176" s="68"/>
      <c r="L176" s="37"/>
      <c r="M176" s="38" t="str">
        <f t="shared" si="5"/>
        <v/>
      </c>
      <c r="N176" s="38"/>
      <c r="O176" s="39" t="str">
        <f t="shared" si="6"/>
        <v/>
      </c>
      <c r="P176" s="64"/>
      <c r="Q176" s="89"/>
      <c r="R176" s="90"/>
      <c r="S176" s="96"/>
      <c r="T176" s="97"/>
      <c r="U176" s="91"/>
      <c r="V176" s="92"/>
      <c r="W176" s="93"/>
      <c r="X176" s="109"/>
      <c r="Y176" s="87"/>
      <c r="Z176" s="50"/>
      <c r="AA176" s="51"/>
    </row>
    <row r="177">
      <c r="A177" s="104"/>
      <c r="B177" s="105"/>
      <c r="C177" s="106"/>
      <c r="D177" s="107"/>
      <c r="E177" s="108"/>
      <c r="F177" s="84"/>
      <c r="G177" s="68"/>
      <c r="H177" s="68"/>
      <c r="I177" s="61"/>
      <c r="J177" s="68"/>
      <c r="K177" s="68"/>
      <c r="L177" s="37"/>
      <c r="M177" s="38" t="str">
        <f t="shared" si="5"/>
        <v/>
      </c>
      <c r="N177" s="38"/>
      <c r="O177" s="39" t="str">
        <f t="shared" si="6"/>
        <v/>
      </c>
      <c r="P177" s="64"/>
      <c r="Q177" s="89"/>
      <c r="R177" s="90"/>
      <c r="S177" s="96"/>
      <c r="T177" s="97"/>
      <c r="U177" s="91"/>
      <c r="V177" s="92"/>
      <c r="W177" s="93"/>
      <c r="X177" s="110"/>
      <c r="Y177" s="87"/>
      <c r="Z177" s="50"/>
      <c r="AA177" s="51"/>
    </row>
    <row r="178">
      <c r="A178" s="104"/>
      <c r="B178" s="105"/>
      <c r="C178" s="106"/>
      <c r="D178" s="107"/>
      <c r="E178" s="108"/>
      <c r="F178" s="84"/>
      <c r="G178" s="68"/>
      <c r="H178" s="68"/>
      <c r="I178" s="61"/>
      <c r="J178" s="68"/>
      <c r="K178" s="68"/>
      <c r="L178" s="37"/>
      <c r="M178" s="38" t="str">
        <f t="shared" si="5"/>
        <v/>
      </c>
      <c r="N178" s="38"/>
      <c r="O178" s="39" t="str">
        <f t="shared" si="6"/>
        <v/>
      </c>
      <c r="P178" s="64"/>
      <c r="Q178" s="89"/>
      <c r="R178" s="90"/>
      <c r="S178" s="96"/>
      <c r="T178" s="97"/>
      <c r="U178" s="91"/>
      <c r="V178" s="92"/>
      <c r="W178" s="93"/>
      <c r="X178" s="109"/>
      <c r="Y178" s="87"/>
      <c r="Z178" s="50"/>
      <c r="AA178" s="51"/>
    </row>
    <row r="179">
      <c r="A179" s="104"/>
      <c r="B179" s="105"/>
      <c r="C179" s="106"/>
      <c r="D179" s="107"/>
      <c r="E179" s="108"/>
      <c r="F179" s="84"/>
      <c r="G179" s="68"/>
      <c r="H179" s="68"/>
      <c r="I179" s="61"/>
      <c r="J179" s="68"/>
      <c r="K179" s="68"/>
      <c r="L179" s="37"/>
      <c r="M179" s="38" t="str">
        <f t="shared" si="5"/>
        <v/>
      </c>
      <c r="N179" s="38"/>
      <c r="O179" s="39" t="str">
        <f t="shared" si="6"/>
        <v/>
      </c>
      <c r="P179" s="64"/>
      <c r="Q179" s="89"/>
      <c r="R179" s="90"/>
      <c r="S179" s="96"/>
      <c r="T179" s="97"/>
      <c r="U179" s="91"/>
      <c r="V179" s="92"/>
      <c r="W179" s="93"/>
      <c r="X179" s="110"/>
      <c r="Y179" s="87"/>
      <c r="Z179" s="50"/>
      <c r="AA179" s="51"/>
    </row>
    <row r="180">
      <c r="A180" s="104"/>
      <c r="B180" s="105"/>
      <c r="C180" s="106"/>
      <c r="D180" s="107"/>
      <c r="E180" s="108"/>
      <c r="F180" s="84"/>
      <c r="G180" s="68"/>
      <c r="H180" s="68"/>
      <c r="I180" s="61"/>
      <c r="J180" s="68"/>
      <c r="K180" s="68"/>
      <c r="L180" s="37"/>
      <c r="M180" s="38" t="str">
        <f t="shared" si="5"/>
        <v/>
      </c>
      <c r="N180" s="38"/>
      <c r="O180" s="39" t="str">
        <f t="shared" si="6"/>
        <v/>
      </c>
      <c r="P180" s="64"/>
      <c r="Q180" s="89"/>
      <c r="R180" s="90"/>
      <c r="S180" s="96"/>
      <c r="T180" s="97"/>
      <c r="U180" s="91"/>
      <c r="V180" s="92"/>
      <c r="W180" s="93"/>
      <c r="X180" s="109"/>
      <c r="Y180" s="87"/>
      <c r="Z180" s="50"/>
      <c r="AA180" s="51"/>
    </row>
    <row r="181">
      <c r="A181" s="104"/>
      <c r="B181" s="105"/>
      <c r="C181" s="106"/>
      <c r="D181" s="107"/>
      <c r="E181" s="108"/>
      <c r="F181" s="84"/>
      <c r="G181" s="68"/>
      <c r="H181" s="68"/>
      <c r="I181" s="61"/>
      <c r="J181" s="68"/>
      <c r="K181" s="68"/>
      <c r="L181" s="37"/>
      <c r="M181" s="38" t="str">
        <f t="shared" si="5"/>
        <v/>
      </c>
      <c r="N181" s="38"/>
      <c r="O181" s="39" t="str">
        <f t="shared" si="6"/>
        <v/>
      </c>
      <c r="P181" s="64"/>
      <c r="Q181" s="89"/>
      <c r="R181" s="90"/>
      <c r="S181" s="96"/>
      <c r="T181" s="97"/>
      <c r="U181" s="91"/>
      <c r="V181" s="92"/>
      <c r="W181" s="93"/>
      <c r="X181" s="110"/>
      <c r="Y181" s="87"/>
      <c r="Z181" s="50"/>
      <c r="AA181" s="51"/>
    </row>
    <row r="182">
      <c r="A182" s="104"/>
      <c r="B182" s="105"/>
      <c r="C182" s="106"/>
      <c r="D182" s="107"/>
      <c r="E182" s="108"/>
      <c r="F182" s="84"/>
      <c r="G182" s="68"/>
      <c r="H182" s="68"/>
      <c r="I182" s="61"/>
      <c r="J182" s="68"/>
      <c r="K182" s="68"/>
      <c r="L182" s="37"/>
      <c r="M182" s="38" t="str">
        <f t="shared" si="5"/>
        <v/>
      </c>
      <c r="N182" s="38"/>
      <c r="O182" s="39" t="str">
        <f t="shared" si="6"/>
        <v/>
      </c>
      <c r="P182" s="64"/>
      <c r="Q182" s="89"/>
      <c r="R182" s="90"/>
      <c r="S182" s="96"/>
      <c r="T182" s="97"/>
      <c r="U182" s="91"/>
      <c r="V182" s="92"/>
      <c r="W182" s="93"/>
      <c r="X182" s="109"/>
      <c r="Y182" s="87"/>
      <c r="Z182" s="50"/>
      <c r="AA182" s="51"/>
    </row>
    <row r="183">
      <c r="A183" s="104"/>
      <c r="B183" s="105"/>
      <c r="C183" s="106"/>
      <c r="D183" s="107"/>
      <c r="E183" s="108"/>
      <c r="F183" s="84"/>
      <c r="G183" s="68"/>
      <c r="H183" s="68"/>
      <c r="I183" s="61"/>
      <c r="J183" s="68"/>
      <c r="K183" s="68"/>
      <c r="L183" s="37"/>
      <c r="M183" s="38" t="str">
        <f t="shared" si="5"/>
        <v/>
      </c>
      <c r="N183" s="38"/>
      <c r="O183" s="39" t="str">
        <f t="shared" si="6"/>
        <v/>
      </c>
      <c r="P183" s="64"/>
      <c r="Q183" s="89"/>
      <c r="R183" s="90"/>
      <c r="S183" s="96"/>
      <c r="T183" s="97"/>
      <c r="U183" s="91"/>
      <c r="V183" s="92"/>
      <c r="W183" s="93"/>
      <c r="X183" s="110"/>
      <c r="Y183" s="87"/>
      <c r="Z183" s="50"/>
      <c r="AA183" s="51"/>
    </row>
    <row r="184">
      <c r="A184" s="104"/>
      <c r="B184" s="105"/>
      <c r="C184" s="106"/>
      <c r="D184" s="107"/>
      <c r="E184" s="108"/>
      <c r="F184" s="84"/>
      <c r="G184" s="68"/>
      <c r="H184" s="68"/>
      <c r="I184" s="61"/>
      <c r="J184" s="68"/>
      <c r="K184" s="68"/>
      <c r="L184" s="37"/>
      <c r="M184" s="38" t="str">
        <f t="shared" si="5"/>
        <v/>
      </c>
      <c r="N184" s="38"/>
      <c r="O184" s="39" t="str">
        <f t="shared" si="6"/>
        <v/>
      </c>
      <c r="P184" s="64"/>
      <c r="Q184" s="89"/>
      <c r="R184" s="90"/>
      <c r="S184" s="96"/>
      <c r="T184" s="97"/>
      <c r="U184" s="91"/>
      <c r="V184" s="92"/>
      <c r="W184" s="93"/>
      <c r="X184" s="109"/>
      <c r="Y184" s="87"/>
      <c r="Z184" s="50"/>
      <c r="AA184" s="51"/>
    </row>
    <row r="185">
      <c r="A185" s="104"/>
      <c r="B185" s="105"/>
      <c r="C185" s="106"/>
      <c r="D185" s="107"/>
      <c r="E185" s="108"/>
      <c r="F185" s="84"/>
      <c r="G185" s="68"/>
      <c r="H185" s="68"/>
      <c r="I185" s="61"/>
      <c r="J185" s="68"/>
      <c r="K185" s="68"/>
      <c r="L185" s="37"/>
      <c r="M185" s="38" t="str">
        <f t="shared" si="5"/>
        <v/>
      </c>
      <c r="N185" s="38"/>
      <c r="O185" s="39" t="str">
        <f t="shared" si="6"/>
        <v/>
      </c>
      <c r="P185" s="64"/>
      <c r="Q185" s="89"/>
      <c r="R185" s="90"/>
      <c r="S185" s="96"/>
      <c r="T185" s="97"/>
      <c r="U185" s="91"/>
      <c r="V185" s="92"/>
      <c r="W185" s="93"/>
      <c r="X185" s="110"/>
      <c r="Y185" s="87"/>
      <c r="Z185" s="50"/>
      <c r="AA185" s="51"/>
    </row>
    <row r="186">
      <c r="A186" s="104"/>
      <c r="B186" s="105"/>
      <c r="C186" s="106"/>
      <c r="D186" s="107"/>
      <c r="E186" s="108"/>
      <c r="F186" s="84"/>
      <c r="G186" s="68"/>
      <c r="H186" s="68"/>
      <c r="I186" s="61"/>
      <c r="J186" s="68"/>
      <c r="K186" s="68"/>
      <c r="L186" s="37"/>
      <c r="M186" s="38" t="str">
        <f t="shared" si="5"/>
        <v/>
      </c>
      <c r="N186" s="38"/>
      <c r="O186" s="39" t="str">
        <f t="shared" si="6"/>
        <v/>
      </c>
      <c r="P186" s="64"/>
      <c r="Q186" s="89"/>
      <c r="R186" s="90"/>
      <c r="S186" s="96"/>
      <c r="T186" s="97"/>
      <c r="U186" s="91"/>
      <c r="V186" s="92"/>
      <c r="W186" s="93"/>
      <c r="X186" s="109"/>
      <c r="Y186" s="87"/>
      <c r="Z186" s="50"/>
      <c r="AA186" s="51"/>
    </row>
    <row r="187">
      <c r="A187" s="104"/>
      <c r="B187" s="105"/>
      <c r="C187" s="106"/>
      <c r="D187" s="107"/>
      <c r="E187" s="108"/>
      <c r="F187" s="84"/>
      <c r="G187" s="68"/>
      <c r="H187" s="68"/>
      <c r="I187" s="61"/>
      <c r="J187" s="68"/>
      <c r="K187" s="68"/>
      <c r="L187" s="37"/>
      <c r="M187" s="38" t="str">
        <f t="shared" si="5"/>
        <v/>
      </c>
      <c r="N187" s="38"/>
      <c r="O187" s="39" t="str">
        <f t="shared" si="6"/>
        <v/>
      </c>
      <c r="P187" s="64"/>
      <c r="Q187" s="89"/>
      <c r="R187" s="90"/>
      <c r="S187" s="96"/>
      <c r="T187" s="97"/>
      <c r="U187" s="91"/>
      <c r="V187" s="92"/>
      <c r="W187" s="93"/>
      <c r="X187" s="110"/>
      <c r="Y187" s="87"/>
      <c r="Z187" s="50"/>
      <c r="AA187" s="51"/>
    </row>
    <row r="188">
      <c r="A188" s="104"/>
      <c r="B188" s="105"/>
      <c r="C188" s="106"/>
      <c r="D188" s="107"/>
      <c r="E188" s="108"/>
      <c r="F188" s="84"/>
      <c r="G188" s="68"/>
      <c r="H188" s="68"/>
      <c r="I188" s="61"/>
      <c r="J188" s="68"/>
      <c r="K188" s="68"/>
      <c r="L188" s="37"/>
      <c r="M188" s="38" t="str">
        <f t="shared" si="5"/>
        <v/>
      </c>
      <c r="N188" s="38"/>
      <c r="O188" s="39" t="str">
        <f t="shared" si="6"/>
        <v/>
      </c>
      <c r="P188" s="64"/>
      <c r="Q188" s="89"/>
      <c r="R188" s="90"/>
      <c r="S188" s="96"/>
      <c r="T188" s="97"/>
      <c r="U188" s="91"/>
      <c r="V188" s="92"/>
      <c r="W188" s="93"/>
      <c r="X188" s="109"/>
      <c r="Y188" s="87"/>
      <c r="Z188" s="50"/>
      <c r="AA188" s="51"/>
    </row>
    <row r="189">
      <c r="A189" s="104"/>
      <c r="B189" s="105"/>
      <c r="C189" s="106"/>
      <c r="D189" s="107"/>
      <c r="E189" s="108"/>
      <c r="F189" s="84"/>
      <c r="G189" s="68"/>
      <c r="H189" s="68"/>
      <c r="I189" s="61"/>
      <c r="J189" s="68"/>
      <c r="K189" s="68"/>
      <c r="L189" s="37"/>
      <c r="M189" s="38" t="str">
        <f t="shared" si="5"/>
        <v/>
      </c>
      <c r="N189" s="38"/>
      <c r="O189" s="39" t="str">
        <f t="shared" si="6"/>
        <v/>
      </c>
      <c r="P189" s="64"/>
      <c r="Q189" s="89"/>
      <c r="R189" s="90"/>
      <c r="S189" s="96"/>
      <c r="T189" s="97"/>
      <c r="U189" s="91"/>
      <c r="V189" s="92"/>
      <c r="W189" s="93"/>
      <c r="X189" s="110"/>
      <c r="Y189" s="87"/>
      <c r="Z189" s="50"/>
      <c r="AA189" s="51"/>
    </row>
    <row r="190">
      <c r="A190" s="104"/>
      <c r="B190" s="105"/>
      <c r="C190" s="106"/>
      <c r="D190" s="107"/>
      <c r="E190" s="108"/>
      <c r="F190" s="84"/>
      <c r="G190" s="68"/>
      <c r="H190" s="68"/>
      <c r="I190" s="61"/>
      <c r="J190" s="68"/>
      <c r="K190" s="68"/>
      <c r="L190" s="37"/>
      <c r="M190" s="38" t="str">
        <f t="shared" si="5"/>
        <v/>
      </c>
      <c r="N190" s="38"/>
      <c r="O190" s="39" t="str">
        <f t="shared" si="6"/>
        <v/>
      </c>
      <c r="P190" s="64"/>
      <c r="Q190" s="89"/>
      <c r="R190" s="90"/>
      <c r="S190" s="96"/>
      <c r="T190" s="97"/>
      <c r="U190" s="91"/>
      <c r="V190" s="92"/>
      <c r="W190" s="93"/>
      <c r="X190" s="109"/>
      <c r="Y190" s="87"/>
      <c r="Z190" s="50"/>
      <c r="AA190" s="51"/>
    </row>
    <row r="191">
      <c r="A191" s="104"/>
      <c r="B191" s="105"/>
      <c r="C191" s="106"/>
      <c r="D191" s="107"/>
      <c r="E191" s="108"/>
      <c r="F191" s="84"/>
      <c r="G191" s="68"/>
      <c r="H191" s="68"/>
      <c r="I191" s="61"/>
      <c r="J191" s="68"/>
      <c r="K191" s="68"/>
      <c r="L191" s="37"/>
      <c r="M191" s="38" t="str">
        <f t="shared" si="5"/>
        <v/>
      </c>
      <c r="N191" s="38"/>
      <c r="O191" s="39" t="str">
        <f t="shared" si="6"/>
        <v/>
      </c>
      <c r="P191" s="64"/>
      <c r="Q191" s="89"/>
      <c r="R191" s="90"/>
      <c r="S191" s="96"/>
      <c r="T191" s="97"/>
      <c r="U191" s="91"/>
      <c r="V191" s="92"/>
      <c r="W191" s="93"/>
      <c r="X191" s="110"/>
      <c r="Y191" s="87"/>
      <c r="Z191" s="50"/>
      <c r="AA191" s="51"/>
    </row>
    <row r="192">
      <c r="A192" s="104"/>
      <c r="B192" s="105"/>
      <c r="C192" s="106"/>
      <c r="D192" s="107"/>
      <c r="E192" s="108"/>
      <c r="F192" s="84"/>
      <c r="G192" s="68"/>
      <c r="H192" s="68"/>
      <c r="I192" s="61"/>
      <c r="J192" s="68"/>
      <c r="K192" s="68"/>
      <c r="L192" s="37"/>
      <c r="M192" s="38" t="str">
        <f t="shared" si="5"/>
        <v/>
      </c>
      <c r="N192" s="38"/>
      <c r="O192" s="39" t="str">
        <f t="shared" si="6"/>
        <v/>
      </c>
      <c r="P192" s="64"/>
      <c r="Q192" s="89"/>
      <c r="R192" s="90"/>
      <c r="S192" s="96"/>
      <c r="T192" s="97"/>
      <c r="U192" s="91"/>
      <c r="V192" s="92"/>
      <c r="W192" s="93"/>
      <c r="X192" s="109"/>
      <c r="Y192" s="87"/>
      <c r="Z192" s="50"/>
      <c r="AA192" s="51"/>
    </row>
    <row r="193">
      <c r="A193" s="104"/>
      <c r="B193" s="105"/>
      <c r="C193" s="106"/>
      <c r="D193" s="107"/>
      <c r="E193" s="108"/>
      <c r="F193" s="84"/>
      <c r="G193" s="68"/>
      <c r="H193" s="68"/>
      <c r="I193" s="61"/>
      <c r="J193" s="68"/>
      <c r="K193" s="68"/>
      <c r="L193" s="37"/>
      <c r="M193" s="38" t="str">
        <f t="shared" si="5"/>
        <v/>
      </c>
      <c r="N193" s="38"/>
      <c r="O193" s="39" t="str">
        <f t="shared" si="6"/>
        <v/>
      </c>
      <c r="P193" s="64"/>
      <c r="Q193" s="89"/>
      <c r="R193" s="90"/>
      <c r="S193" s="96"/>
      <c r="T193" s="97"/>
      <c r="U193" s="91"/>
      <c r="V193" s="92"/>
      <c r="W193" s="93"/>
      <c r="X193" s="110"/>
      <c r="Y193" s="87"/>
      <c r="Z193" s="50"/>
      <c r="AA193" s="51"/>
    </row>
    <row r="194">
      <c r="A194" s="104"/>
      <c r="B194" s="105"/>
      <c r="C194" s="106"/>
      <c r="D194" s="107"/>
      <c r="E194" s="108"/>
      <c r="F194" s="84"/>
      <c r="G194" s="68"/>
      <c r="H194" s="68"/>
      <c r="I194" s="61"/>
      <c r="J194" s="68"/>
      <c r="K194" s="68"/>
      <c r="L194" s="37"/>
      <c r="M194" s="38" t="str">
        <f t="shared" si="5"/>
        <v/>
      </c>
      <c r="N194" s="38"/>
      <c r="O194" s="39" t="str">
        <f t="shared" si="6"/>
        <v/>
      </c>
      <c r="P194" s="64"/>
      <c r="Q194" s="89"/>
      <c r="R194" s="90"/>
      <c r="S194" s="96"/>
      <c r="T194" s="97"/>
      <c r="U194" s="91"/>
      <c r="V194" s="92"/>
      <c r="W194" s="93"/>
      <c r="X194" s="109"/>
      <c r="Y194" s="87"/>
      <c r="Z194" s="50"/>
      <c r="AA194" s="51"/>
    </row>
    <row r="195">
      <c r="A195" s="104"/>
      <c r="B195" s="105"/>
      <c r="C195" s="106"/>
      <c r="D195" s="107"/>
      <c r="E195" s="108"/>
      <c r="F195" s="84"/>
      <c r="G195" s="68"/>
      <c r="H195" s="68"/>
      <c r="I195" s="61"/>
      <c r="J195" s="68"/>
      <c r="K195" s="68"/>
      <c r="L195" s="37"/>
      <c r="M195" s="38" t="str">
        <f t="shared" si="5"/>
        <v/>
      </c>
      <c r="N195" s="38"/>
      <c r="O195" s="39" t="str">
        <f t="shared" si="6"/>
        <v/>
      </c>
      <c r="P195" s="64"/>
      <c r="Q195" s="89"/>
      <c r="R195" s="90"/>
      <c r="S195" s="96"/>
      <c r="T195" s="97"/>
      <c r="U195" s="91"/>
      <c r="V195" s="92"/>
      <c r="W195" s="93"/>
      <c r="X195" s="110"/>
      <c r="Y195" s="87"/>
      <c r="Z195" s="50"/>
      <c r="AA195" s="51"/>
    </row>
    <row r="196">
      <c r="A196" s="104"/>
      <c r="B196" s="105"/>
      <c r="C196" s="106"/>
      <c r="D196" s="107"/>
      <c r="E196" s="108"/>
      <c r="F196" s="84"/>
      <c r="G196" s="68"/>
      <c r="H196" s="68"/>
      <c r="I196" s="61"/>
      <c r="J196" s="68"/>
      <c r="K196" s="68"/>
      <c r="L196" s="37"/>
      <c r="M196" s="38" t="str">
        <f t="shared" si="5"/>
        <v/>
      </c>
      <c r="N196" s="38"/>
      <c r="O196" s="39" t="str">
        <f t="shared" si="6"/>
        <v/>
      </c>
      <c r="P196" s="64"/>
      <c r="Q196" s="89"/>
      <c r="R196" s="90"/>
      <c r="S196" s="96"/>
      <c r="T196" s="97"/>
      <c r="U196" s="91"/>
      <c r="V196" s="92"/>
      <c r="W196" s="93"/>
      <c r="X196" s="109"/>
      <c r="Y196" s="87"/>
      <c r="Z196" s="50"/>
      <c r="AA196" s="51"/>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10"/>
    <hyperlink r:id="rId7" ref="W11"/>
    <hyperlink r:id="rId8" ref="W12"/>
    <hyperlink r:id="rId9" ref="W13"/>
    <hyperlink r:id="rId10" ref="W14"/>
    <hyperlink r:id="rId11" ref="W15"/>
    <hyperlink r:id="rId12" ref="W16"/>
    <hyperlink r:id="rId13" ref="W17"/>
    <hyperlink r:id="rId14" ref="W18"/>
    <hyperlink r:id="rId15" ref="W19"/>
    <hyperlink r:id="rId16" ref="W20"/>
    <hyperlink r:id="rId17" ref="W21"/>
    <hyperlink r:id="rId18" ref="W22"/>
    <hyperlink r:id="rId19" ref="W23"/>
    <hyperlink r:id="rId20" ref="W24"/>
    <hyperlink r:id="rId21" ref="W25"/>
    <hyperlink r:id="rId22" ref="W26"/>
    <hyperlink r:id="rId23" ref="W27"/>
    <hyperlink r:id="rId24" ref="W28"/>
    <hyperlink r:id="rId25" ref="W29"/>
    <hyperlink r:id="rId26" ref="W30"/>
    <hyperlink r:id="rId27" ref="W31"/>
    <hyperlink r:id="rId28" ref="W32"/>
  </hyperlinks>
  <printOptions gridLines="1" horizontalCentered="1"/>
  <pageMargins bottom="0.75" footer="0.0" header="0.0" left="0.25" right="0.25" top="0.75"/>
  <pageSetup fitToWidth="0" paperSize="9" cellComments="atEnd" orientation="portrait" pageOrder="overThenDown"/>
  <drawing r:id="rId29"/>
  <tableParts count="1">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1" t="s">
        <v>5</v>
      </c>
      <c r="B1" s="111" t="str">
        <f>VLOOKUP(A1, Lookup!B:C, 2, FALSE)</f>
        <v>Muntaner</v>
      </c>
      <c r="C1" s="112"/>
      <c r="D1" s="113" t="s">
        <v>174</v>
      </c>
      <c r="E1" s="114" t="str">
        <f>'Закупка'!F1</f>
        <v>внтури пачки штук?</v>
      </c>
      <c r="F1" s="113" t="s">
        <v>175</v>
      </c>
      <c r="G1" s="115" t="s">
        <v>176</v>
      </c>
      <c r="J1" s="113" t="s">
        <v>177</v>
      </c>
      <c r="K1" s="116"/>
      <c r="L1" s="117"/>
      <c r="M1" s="118"/>
    </row>
    <row r="2" ht="23.25" customHeight="1">
      <c r="A2" s="119">
        <f>MATCH(A1, 'Закупка'!G1:K1, 0)</f>
        <v>1</v>
      </c>
      <c r="B2" s="120">
        <f>'Закупка'!B2</f>
        <v>45845</v>
      </c>
      <c r="C2" s="121"/>
      <c r="G2" s="122" t="s">
        <v>178</v>
      </c>
      <c r="H2" s="122" t="s">
        <v>179</v>
      </c>
      <c r="I2" s="122" t="s">
        <v>180</v>
      </c>
      <c r="K2" s="123" t="str">
        <f>'Закупка'!T1</f>
        <v>Holded артикул</v>
      </c>
      <c r="L2" s="124" t="str">
        <f>'Закупка'!U1</f>
        <v>название с holded</v>
      </c>
      <c r="M2" s="125" t="str">
        <f>'Закупка'!V1</f>
        <v>codigo de fabricasion</v>
      </c>
    </row>
    <row r="3" ht="45.0" customHeight="1">
      <c r="A3" s="126" t="str">
        <f>'Закупка'!A3</f>
        <v/>
      </c>
      <c r="B3" s="127" t="str">
        <f>'Закупка'!B3</f>
        <v>Фактура 1</v>
      </c>
      <c r="C3" s="128" t="str">
        <f>'Закупка'!R3</f>
        <v/>
      </c>
      <c r="D3" s="129" t="str">
        <f t="array" ref="D3">INDEX('Закупка'!G3:K3, $A$2)</f>
        <v/>
      </c>
      <c r="E3" s="130" t="str">
        <f>'Закупка'!F3</f>
        <v/>
      </c>
      <c r="F3" s="131" t="str">
        <f t="shared" ref="F3:F199" si="1">IF(D3&lt;&gt;"",D3*E3,)</f>
        <v/>
      </c>
      <c r="G3" s="132"/>
      <c r="H3" s="133"/>
      <c r="I3" s="134"/>
      <c r="J3" s="131"/>
      <c r="K3" s="135" t="str">
        <f>'Закупка'!T3</f>
        <v/>
      </c>
      <c r="L3" s="136" t="str">
        <f>'Закупка'!U3</f>
        <v/>
      </c>
      <c r="M3" s="137" t="str">
        <f>'Закупка'!V3</f>
        <v/>
      </c>
    </row>
    <row r="4" ht="45.0" customHeight="1">
      <c r="A4" s="126" t="str">
        <f>'Закупка'!A4</f>
        <v>1.1</v>
      </c>
      <c r="B4" s="127" t="str">
        <f>'Закупка'!B4</f>
        <v>RANUNCULUS CLOONEY TUAREQ</v>
      </c>
      <c r="C4" s="128" t="str">
        <f>'Закупка'!R4</f>
        <v/>
      </c>
      <c r="D4" s="129" t="str">
        <f t="array" ref="D4">INDEX('Закупка'!G4:K4, $A$2)</f>
        <v/>
      </c>
      <c r="E4" s="130" t="str">
        <f>'Закупка'!F4</f>
        <v>10</v>
      </c>
      <c r="F4" s="131" t="str">
        <f t="shared" si="1"/>
        <v/>
      </c>
      <c r="G4" s="132"/>
      <c r="H4" s="133"/>
      <c r="I4" s="134"/>
      <c r="J4" s="131"/>
      <c r="K4" s="135">
        <f>'Закупка'!T4</f>
        <v>8400518</v>
      </c>
      <c r="L4" s="136" t="str">
        <f>'Закупка'!U4</f>
        <v>RANUNCULUS - Butterfly - flor</v>
      </c>
      <c r="M4" s="137" t="str">
        <f>'Закупка'!V4</f>
        <v> RANUBUBL, RANUBUSA, 174946, 147132, 126830</v>
      </c>
    </row>
    <row r="5" ht="45.0" customHeight="1">
      <c r="A5" s="126" t="str">
        <f>'Закупка'!A5</f>
        <v>1.2</v>
      </c>
      <c r="B5" s="127" t="str">
        <f>'Закупка'!B5</f>
        <v>RANUNCULUS CLOONEY GRAND PASTEL</v>
      </c>
      <c r="C5" s="128" t="str">
        <f>'Закупка'!R5</f>
        <v/>
      </c>
      <c r="D5" s="129" t="str">
        <f t="array" ref="D5">INDEX('Закупка'!G5:K5, $A$2)</f>
        <v/>
      </c>
      <c r="E5" s="130" t="str">
        <f>'Закупка'!F5</f>
        <v>10</v>
      </c>
      <c r="F5" s="131" t="str">
        <f t="shared" si="1"/>
        <v/>
      </c>
      <c r="G5" s="132"/>
      <c r="H5" s="133"/>
      <c r="I5" s="134"/>
      <c r="J5" s="131"/>
      <c r="K5" s="135">
        <f>'Закупка'!T5</f>
        <v>8400518</v>
      </c>
      <c r="L5" s="136" t="str">
        <f>'Закупка'!U5</f>
        <v>RANUNCULUS - Butterfly - flor</v>
      </c>
      <c r="M5" s="137" t="str">
        <f>'Закупка'!V5</f>
        <v> RANUBUBL, RANUBUSA, 174946, 147132, 126830</v>
      </c>
    </row>
    <row r="6" ht="45.0" customHeight="1">
      <c r="A6" s="126" t="str">
        <f>'Закупка'!A6</f>
        <v>1.3</v>
      </c>
      <c r="B6" s="127" t="str">
        <f>'Закупка'!B6</f>
        <v>ALSTROEMERIA SI SOFIENA</v>
      </c>
      <c r="C6" s="128" t="str">
        <f>'Закупка'!R6</f>
        <v/>
      </c>
      <c r="D6" s="129" t="str">
        <f t="array" ref="D6">INDEX('Закупка'!G6:K6, $A$2)</f>
        <v/>
      </c>
      <c r="E6" s="130" t="str">
        <f>'Закупка'!F6</f>
        <v>10</v>
      </c>
      <c r="F6" s="131" t="str">
        <f t="shared" si="1"/>
        <v/>
      </c>
      <c r="G6" s="132"/>
      <c r="H6" s="133"/>
      <c r="I6" s="134"/>
      <c r="J6" s="131"/>
      <c r="K6" s="135">
        <f>'Закупка'!T6</f>
        <v>8400154</v>
      </c>
      <c r="L6" s="136" t="str">
        <f>'Закупка'!U6</f>
        <v>ALSTROEMERIA - flor</v>
      </c>
      <c r="M6" s="137" t="str">
        <f>'Закупка'!V6</f>
        <v>00027, 11920, 146548, 148465, ALS VA, 148462, 148466, 11920, ALS-P, 137896, 137077, 137894, 148289, 148469, ALSTROEMERIES ALSTROEMERIA, ALSP, 11920</v>
      </c>
    </row>
    <row r="7" ht="45.0" customHeight="1">
      <c r="A7" s="126" t="str">
        <f>'Закупка'!A7</f>
        <v>1.4</v>
      </c>
      <c r="B7" s="127" t="str">
        <f>'Закупка'!B7</f>
        <v>ROSA LARGE BELLE ROSE</v>
      </c>
      <c r="C7" s="128" t="str">
        <f>'Закупка'!R7</f>
        <v/>
      </c>
      <c r="D7" s="129" t="str">
        <f t="array" ref="D7">INDEX('Закупка'!G7:K7, $A$2)</f>
        <v/>
      </c>
      <c r="E7" s="130" t="str">
        <f>'Закупка'!F7</f>
        <v>10</v>
      </c>
      <c r="F7" s="131" t="str">
        <f t="shared" si="1"/>
        <v/>
      </c>
      <c r="G7" s="132"/>
      <c r="H7" s="133"/>
      <c r="I7" s="134"/>
      <c r="J7" s="131"/>
      <c r="K7" s="135">
        <f>'Закупка'!T7</f>
        <v>8400731</v>
      </c>
      <c r="L7" s="136" t="str">
        <f>'Закупка'!U7</f>
        <v>RS ROSA LA BELLE LOLOMARIK - flor</v>
      </c>
      <c r="M7" s="137">
        <f>'Закупка'!V7</f>
        <v>181496</v>
      </c>
    </row>
    <row r="8" ht="45.0" customHeight="1">
      <c r="A8" s="126" t="str">
        <f>'Закупка'!A8</f>
        <v>1.5</v>
      </c>
      <c r="B8" s="127" t="str">
        <f>'Закупка'!B8</f>
        <v>ROSA GARDEN PRISCILLA!</v>
      </c>
      <c r="C8" s="128" t="str">
        <f>'Закупка'!R8</f>
        <v/>
      </c>
      <c r="D8" s="129" t="str">
        <f t="array" ref="D8">INDEX('Закупка'!G8:K8, $A$2)</f>
        <v/>
      </c>
      <c r="E8" s="130" t="str">
        <f>'Закупка'!F8</f>
        <v>5</v>
      </c>
      <c r="F8" s="131" t="str">
        <f t="shared" si="1"/>
        <v/>
      </c>
      <c r="G8" s="132"/>
      <c r="H8" s="133"/>
      <c r="I8" s="134"/>
      <c r="J8" s="131"/>
      <c r="K8" s="135">
        <f>'Закупка'!T8</f>
        <v>84001081</v>
      </c>
      <c r="L8" s="136" t="str">
        <f>'Закупка'!U8</f>
        <v>ROSA PRISCILLA - flor</v>
      </c>
      <c r="M8" s="137" t="str">
        <f>'Закупка'!V8</f>
        <v/>
      </c>
    </row>
    <row r="9" ht="45.0" customHeight="1">
      <c r="A9" s="126" t="str">
        <f>'Закупка'!A9</f>
        <v>1.6</v>
      </c>
      <c r="B9" s="127" t="str">
        <f>'Закупка'!B9</f>
        <v>ROSA GARDEN MIX UHURU</v>
      </c>
      <c r="C9" s="128" t="str">
        <f>'Закупка'!R9</f>
        <v/>
      </c>
      <c r="D9" s="129" t="str">
        <f t="array" ref="D9">INDEX('Закупка'!G9:K9, $A$2)</f>
        <v/>
      </c>
      <c r="E9" s="130" t="str">
        <f>'Закупка'!F9</f>
        <v>6</v>
      </c>
      <c r="F9" s="131" t="str">
        <f t="shared" si="1"/>
        <v/>
      </c>
      <c r="G9" s="132"/>
      <c r="H9" s="133"/>
      <c r="I9" s="134"/>
      <c r="J9" s="131"/>
      <c r="K9" s="135">
        <f>'Закупка'!T9</f>
        <v>84001157</v>
      </c>
      <c r="L9" s="136" t="str">
        <f>'Закупка'!U9</f>
        <v>RISA GARDAN MIX - flor/3</v>
      </c>
      <c r="M9" s="137" t="str">
        <f>'Закупка'!V9</f>
        <v/>
      </c>
    </row>
    <row r="10" ht="45.0" customHeight="1">
      <c r="A10" s="126" t="str">
        <f>'Закупка'!A10</f>
        <v>1.7</v>
      </c>
      <c r="B10" s="127" t="str">
        <f>'Закупка'!B10</f>
        <v>ROSA SPRAY CHIMO</v>
      </c>
      <c r="C10" s="128" t="str">
        <f>'Закупка'!R10</f>
        <v/>
      </c>
      <c r="D10" s="129" t="str">
        <f t="array" ref="D10">INDEX('Закупка'!G10:K10, $A$2)</f>
        <v/>
      </c>
      <c r="E10" s="130" t="str">
        <f>'Закупка'!F10</f>
        <v>10</v>
      </c>
      <c r="F10" s="131" t="str">
        <f t="shared" si="1"/>
        <v/>
      </c>
      <c r="G10" s="132"/>
      <c r="H10" s="133"/>
      <c r="I10" s="134"/>
      <c r="J10" s="131"/>
      <c r="K10" s="135">
        <f>'Закупка'!T10</f>
        <v>8400828</v>
      </c>
      <c r="L10" s="136" t="str">
        <f>'Закупка'!U10</f>
        <v>ROSA CHIMO - flor</v>
      </c>
      <c r="M10" s="137">
        <f>'Закупка'!V10</f>
        <v>135409</v>
      </c>
    </row>
    <row r="11" ht="45.0" customHeight="1">
      <c r="A11" s="126" t="str">
        <f>'Закупка'!A11</f>
        <v>1.8</v>
      </c>
      <c r="B11" s="127" t="str">
        <f>'Закупка'!B11</f>
        <v>ROSA SPRAY BIRDS NEST+</v>
      </c>
      <c r="C11" s="128" t="str">
        <f>'Закупка'!R11</f>
        <v/>
      </c>
      <c r="D11" s="129" t="str">
        <f t="array" ref="D11">INDEX('Закупка'!G11:K11, $A$2)</f>
        <v/>
      </c>
      <c r="E11" s="130" t="str">
        <f>'Закупка'!F11</f>
        <v>10</v>
      </c>
      <c r="F11" s="131" t="str">
        <f t="shared" si="1"/>
        <v/>
      </c>
      <c r="G11" s="132"/>
      <c r="H11" s="133"/>
      <c r="I11" s="134"/>
      <c r="J11" s="131"/>
      <c r="K11" s="135">
        <f>'Закупка'!T11</f>
        <v>84001078</v>
      </c>
      <c r="L11" s="136" t="str">
        <f>'Закупка'!U11</f>
        <v>ROSA BIRDS NEST - flor</v>
      </c>
      <c r="M11" s="137" t="str">
        <f>'Закупка'!V11</f>
        <v/>
      </c>
    </row>
    <row r="12" ht="45.0" customHeight="1">
      <c r="A12" s="126" t="str">
        <f>'Закупка'!A12</f>
        <v>1.9</v>
      </c>
      <c r="B12" s="127" t="str">
        <f>'Закупка'!B12</f>
        <v>ROSA LARGE CELEB</v>
      </c>
      <c r="C12" s="128" t="str">
        <f>'Закупка'!R12</f>
        <v/>
      </c>
      <c r="D12" s="129" t="str">
        <f t="array" ref="D12">INDEX('Закупка'!G12:K12, $A$2)</f>
        <v/>
      </c>
      <c r="E12" s="130" t="str">
        <f>'Закупка'!F12</f>
        <v>10</v>
      </c>
      <c r="F12" s="131" t="str">
        <f t="shared" si="1"/>
        <v/>
      </c>
      <c r="G12" s="132"/>
      <c r="H12" s="133"/>
      <c r="I12" s="134"/>
      <c r="J12" s="131"/>
      <c r="K12" s="135">
        <f>'Закупка'!T12</f>
        <v>84001044</v>
      </c>
      <c r="L12" s="136" t="str">
        <f>'Закупка'!U12</f>
        <v>ROSA CELEBRATING HEATHER - flor</v>
      </c>
      <c r="M12" s="137" t="str">
        <f>'Закупка'!V12</f>
        <v/>
      </c>
    </row>
    <row r="13" ht="45.0" customHeight="1">
      <c r="A13" s="126" t="str">
        <f>'Закупка'!A13</f>
        <v>1.10</v>
      </c>
      <c r="B13" s="127" t="str">
        <f>'Закупка'!B13</f>
        <v>ARR CACTUS</v>
      </c>
      <c r="C13" s="128" t="str">
        <f>'Закупка'!R13</f>
        <v/>
      </c>
      <c r="D13" s="129" t="str">
        <f t="array" ref="D13">INDEX('Закупка'!G13:K13, $A$2)</f>
        <v/>
      </c>
      <c r="E13" s="130" t="str">
        <f>'Закупка'!F13</f>
        <v>1</v>
      </c>
      <c r="F13" s="131" t="str">
        <f t="shared" si="1"/>
        <v/>
      </c>
      <c r="G13" s="132"/>
      <c r="H13" s="133"/>
      <c r="I13" s="134"/>
      <c r="J13" s="131"/>
      <c r="K13" s="135">
        <f>'Закупка'!T13</f>
        <v>8400594</v>
      </c>
      <c r="L13" s="136" t="str">
        <f>'Закупка'!U13</f>
        <v>CACTUS - planta/22</v>
      </c>
      <c r="M13" s="137" t="str">
        <f>'Закупка'!V13</f>
        <v>TEST 13 cactus</v>
      </c>
    </row>
    <row r="14" ht="45.0" customHeight="1">
      <c r="A14" s="126" t="str">
        <f>'Закупка'!A14</f>
        <v>1.11</v>
      </c>
      <c r="B14" s="127" t="str">
        <f>'Закупка'!B14</f>
        <v>ALOE ARBO</v>
      </c>
      <c r="C14" s="128" t="str">
        <f>'Закупка'!R14</f>
        <v/>
      </c>
      <c r="D14" s="129" t="str">
        <f t="array" ref="D14">INDEX('Закупка'!G14:K14, $A$2)</f>
        <v/>
      </c>
      <c r="E14" s="130" t="str">
        <f>'Закупка'!F14</f>
        <v>1</v>
      </c>
      <c r="F14" s="131" t="str">
        <f t="shared" si="1"/>
        <v/>
      </c>
      <c r="G14" s="132"/>
      <c r="H14" s="133"/>
      <c r="I14" s="134"/>
      <c r="J14" s="131"/>
      <c r="K14" s="135">
        <f>'Закупка'!T14</f>
        <v>84001156</v>
      </c>
      <c r="L14" s="136" t="str">
        <f>'Закупка'!U14</f>
        <v>ALOE ARBO - planta/67</v>
      </c>
      <c r="M14" s="137" t="str">
        <f>'Закупка'!V14</f>
        <v/>
      </c>
    </row>
    <row r="15" ht="45.0" customHeight="1">
      <c r="A15" s="126" t="str">
        <f>'Закупка'!A15</f>
        <v>1.12</v>
      </c>
      <c r="B15" s="127" t="str">
        <f>'Закупка'!B15</f>
        <v>ALOE ARBO</v>
      </c>
      <c r="C15" s="128" t="str">
        <f>'Закупка'!R15</f>
        <v/>
      </c>
      <c r="D15" s="129" t="str">
        <f t="array" ref="D15">INDEX('Закупка'!G15:K15, $A$2)</f>
        <v/>
      </c>
      <c r="E15" s="130" t="str">
        <f>'Закупка'!F15</f>
        <v>1</v>
      </c>
      <c r="F15" s="131" t="str">
        <f t="shared" si="1"/>
        <v/>
      </c>
      <c r="G15" s="132"/>
      <c r="H15" s="133"/>
      <c r="I15" s="134"/>
      <c r="J15" s="131"/>
      <c r="K15" s="135">
        <f>'Закупка'!T15</f>
        <v>84001155</v>
      </c>
      <c r="L15" s="136" t="str">
        <f>'Закупка'!U15</f>
        <v>ALOE ARBO - planta/47</v>
      </c>
      <c r="M15" s="137" t="str">
        <f>'Закупка'!V15</f>
        <v/>
      </c>
    </row>
    <row r="16" ht="45.0" customHeight="1">
      <c r="A16" s="126" t="str">
        <f>'Закупка'!A16</f>
        <v>1.13</v>
      </c>
      <c r="B16" s="127" t="str">
        <f>'Закупка'!B16</f>
        <v>ARR2 MB GROEN IJZER REK 1 BOL</v>
      </c>
      <c r="C16" s="128" t="str">
        <f>'Закупка'!R16</f>
        <v/>
      </c>
      <c r="D16" s="129" t="str">
        <f t="array" ref="D16">INDEX('Закупка'!G16:K16, $A$2)</f>
        <v/>
      </c>
      <c r="E16" s="130" t="str">
        <f>'Закупка'!F16</f>
        <v>1</v>
      </c>
      <c r="F16" s="131" t="str">
        <f t="shared" si="1"/>
        <v/>
      </c>
      <c r="G16" s="132"/>
      <c r="H16" s="133"/>
      <c r="I16" s="134"/>
      <c r="J16" s="131"/>
      <c r="K16" s="135">
        <f>'Закупка'!T16</f>
        <v>8400410</v>
      </c>
      <c r="L16" s="136" t="str">
        <f>'Закупка'!U16</f>
        <v>SUCCULENTUS T16, T22 - MIX - planta/22</v>
      </c>
      <c r="M16" s="137" t="str">
        <f>'Закупка'!V16</f>
        <v>6CRASA22, 54, CRASS16 </v>
      </c>
    </row>
    <row r="17" ht="45.0" customHeight="1">
      <c r="A17" s="126" t="str">
        <f>'Закупка'!A17</f>
        <v>1.14</v>
      </c>
      <c r="B17" s="127" t="str">
        <f>'Закупка'!B17</f>
        <v>ARR NARCISSUS TETE-A-TETE</v>
      </c>
      <c r="C17" s="128" t="str">
        <f>'Закупка'!R17</f>
        <v/>
      </c>
      <c r="D17" s="129" t="str">
        <f t="array" ref="D17">INDEX('Закупка'!G17:K17, $A$2)</f>
        <v/>
      </c>
      <c r="E17" s="130" t="str">
        <f>'Закупка'!F17</f>
        <v>1</v>
      </c>
      <c r="F17" s="131" t="str">
        <f t="shared" si="1"/>
        <v/>
      </c>
      <c r="G17" s="132"/>
      <c r="H17" s="133"/>
      <c r="I17" s="134"/>
      <c r="J17" s="131"/>
      <c r="K17" s="135">
        <f>'Закупка'!T17</f>
        <v>84001152</v>
      </c>
      <c r="L17" s="136" t="str">
        <f>'Закупка'!U17</f>
        <v>NARCISO TETE-A-TETE - composición/14</v>
      </c>
      <c r="M17" s="137" t="str">
        <f>'Закупка'!V17</f>
        <v/>
      </c>
    </row>
    <row r="18" ht="45.0" customHeight="1">
      <c r="A18" s="126" t="str">
        <f>'Закупка'!A18</f>
        <v>1.15</v>
      </c>
      <c r="B18" s="127" t="str">
        <f>'Закупка'!B18</f>
        <v>ARR NARCISSUS</v>
      </c>
      <c r="C18" s="128" t="str">
        <f>'Закупка'!R18</f>
        <v/>
      </c>
      <c r="D18" s="129" t="str">
        <f t="array" ref="D18">INDEX('Закупка'!G18:K18, $A$2)</f>
        <v/>
      </c>
      <c r="E18" s="130" t="str">
        <f>'Закупка'!F18</f>
        <v>1</v>
      </c>
      <c r="F18" s="131" t="str">
        <f t="shared" si="1"/>
        <v/>
      </c>
      <c r="G18" s="132"/>
      <c r="H18" s="133"/>
      <c r="I18" s="134"/>
      <c r="J18" s="131"/>
      <c r="K18" s="135">
        <f>'Закупка'!T18</f>
        <v>84001038</v>
      </c>
      <c r="L18" s="136" t="str">
        <f>'Закупка'!U18</f>
        <v>NARCIS MASCOTA - planta  /17</v>
      </c>
      <c r="M18" s="137" t="str">
        <f>'Закупка'!V18</f>
        <v/>
      </c>
    </row>
    <row r="19" ht="45.0" customHeight="1">
      <c r="A19" s="126" t="str">
        <f>'Закупка'!A19</f>
        <v>1.16</v>
      </c>
      <c r="B19" s="127" t="str">
        <f>'Закупка'!B19</f>
        <v>ARR2 PL KER BAROK DRACENA</v>
      </c>
      <c r="C19" s="128" t="str">
        <f>'Закупка'!R19</f>
        <v/>
      </c>
      <c r="D19" s="129" t="str">
        <f t="array" ref="D19">INDEX('Закупка'!G19:K19, $A$2)</f>
        <v/>
      </c>
      <c r="E19" s="130" t="str">
        <f>'Закупка'!F19</f>
        <v>1</v>
      </c>
      <c r="F19" s="131" t="str">
        <f t="shared" si="1"/>
        <v/>
      </c>
      <c r="G19" s="132"/>
      <c r="H19" s="133"/>
      <c r="I19" s="134"/>
      <c r="J19" s="131"/>
      <c r="K19" s="135">
        <f>'Закупка'!T19</f>
        <v>84001154</v>
      </c>
      <c r="L19" s="136" t="str">
        <f>'Закупка'!U19</f>
        <v>COMPOSITION DE DRECENA - planta/38</v>
      </c>
      <c r="M19" s="137" t="str">
        <f>'Закупка'!V19</f>
        <v/>
      </c>
    </row>
    <row r="20" ht="45.0" customHeight="1">
      <c r="A20" s="126" t="str">
        <f>'Закупка'!A20</f>
        <v>1.17</v>
      </c>
      <c r="B20" s="127" t="str">
        <f>'Закупка'!B20</f>
        <v>ARR2 PL KER BAROK DRACENA</v>
      </c>
      <c r="C20" s="128" t="str">
        <f>'Закупка'!R20</f>
        <v/>
      </c>
      <c r="D20" s="129" t="str">
        <f t="array" ref="D20">INDEX('Закупка'!G20:K20, $A$2)</f>
        <v/>
      </c>
      <c r="E20" s="130" t="str">
        <f>'Закупка'!F20</f>
        <v>1</v>
      </c>
      <c r="F20" s="131" t="str">
        <f t="shared" si="1"/>
        <v/>
      </c>
      <c r="G20" s="132"/>
      <c r="H20" s="133"/>
      <c r="I20" s="134"/>
      <c r="J20" s="131"/>
      <c r="K20" s="135">
        <f>'Закупка'!T20</f>
        <v>84001154</v>
      </c>
      <c r="L20" s="136" t="str">
        <f>'Закупка'!U20</f>
        <v>COMPOSITION DE DRECENA - planta/38</v>
      </c>
      <c r="M20" s="137" t="str">
        <f>'Закупка'!V20</f>
        <v/>
      </c>
    </row>
    <row r="21" ht="45.0" customHeight="1">
      <c r="A21" s="126" t="str">
        <f>'Закупка'!A21</f>
        <v>1.18</v>
      </c>
      <c r="B21" s="127" t="str">
        <f>'Закупка'!B21</f>
        <v>ARR2 PL GLAS CILINDER PHAL PAARS</v>
      </c>
      <c r="C21" s="128" t="str">
        <f>'Закупка'!R21</f>
        <v/>
      </c>
      <c r="D21" s="129" t="str">
        <f t="array" ref="D21">INDEX('Закупка'!G21:K21, $A$2)</f>
        <v/>
      </c>
      <c r="E21" s="130" t="str">
        <f>'Закупка'!F21</f>
        <v>1</v>
      </c>
      <c r="F21" s="131" t="str">
        <f t="shared" si="1"/>
        <v/>
      </c>
      <c r="G21" s="132"/>
      <c r="H21" s="133"/>
      <c r="I21" s="134"/>
      <c r="J21" s="131"/>
      <c r="K21" s="135">
        <f>'Закупка'!T21</f>
        <v>84001153</v>
      </c>
      <c r="L21" s="136" t="str">
        <f>'Закупка'!U21</f>
        <v>ARRANGEMENT DE PHALAENOPSIS - composición/56</v>
      </c>
      <c r="M21" s="137" t="str">
        <f>'Закупка'!V21</f>
        <v/>
      </c>
    </row>
    <row r="22" ht="45.0" customHeight="1">
      <c r="A22" s="126" t="str">
        <f>'Закупка'!A22</f>
        <v>1.19</v>
      </c>
      <c r="B22" s="127" t="str">
        <f>'Закупка'!B22</f>
        <v>CRASSULA OVATA</v>
      </c>
      <c r="C22" s="128" t="str">
        <f>'Закупка'!R22</f>
        <v/>
      </c>
      <c r="D22" s="129" t="str">
        <f t="array" ref="D22">INDEX('Закупка'!G22:K22, $A$2)</f>
        <v/>
      </c>
      <c r="E22" s="130" t="str">
        <f>'Закупка'!F22</f>
        <v>1</v>
      </c>
      <c r="F22" s="131" t="str">
        <f t="shared" si="1"/>
        <v/>
      </c>
      <c r="G22" s="132"/>
      <c r="H22" s="133"/>
      <c r="I22" s="134"/>
      <c r="J22" s="131"/>
      <c r="K22" s="135">
        <f>'Закупка'!T22</f>
        <v>8400365</v>
      </c>
      <c r="L22" s="136" t="str">
        <f>'Закупка'!U22</f>
        <v>ARBOL DE JADE T25 -planta/120</v>
      </c>
      <c r="M22" s="137" t="str">
        <f>'Закупка'!V22</f>
        <v> ARBOL DE JADE GRANDE  (Crassula Ovata) T-25</v>
      </c>
    </row>
    <row r="23" ht="45.0" customHeight="1">
      <c r="A23" s="126" t="str">
        <f>'Закупка'!A23</f>
        <v>1.20</v>
      </c>
      <c r="B23" s="127" t="str">
        <f>'Закупка'!B23</f>
        <v>CRASSULA OVATA</v>
      </c>
      <c r="C23" s="128" t="str">
        <f>'Закупка'!R23</f>
        <v/>
      </c>
      <c r="D23" s="129" t="str">
        <f t="array" ref="D23">INDEX('Закупка'!G23:K23, $A$2)</f>
        <v/>
      </c>
      <c r="E23" s="130" t="str">
        <f>'Закупка'!F23</f>
        <v>1</v>
      </c>
      <c r="F23" s="131" t="str">
        <f t="shared" si="1"/>
        <v/>
      </c>
      <c r="G23" s="132"/>
      <c r="H23" s="133"/>
      <c r="I23" s="134"/>
      <c r="J23" s="131"/>
      <c r="K23" s="135">
        <f>'Закупка'!T23</f>
        <v>8400365</v>
      </c>
      <c r="L23" s="136" t="str">
        <f>'Закупка'!U23</f>
        <v>ARBOL DE JADE T25 -planta/188</v>
      </c>
      <c r="M23" s="137" t="str">
        <f>'Закупка'!V23</f>
        <v> ARBOL DE JADE GRANDE  (Crassula Ovata) T-25</v>
      </c>
    </row>
    <row r="24" ht="45.0" customHeight="1">
      <c r="A24" s="126" t="str">
        <f>'Закупка'!A24</f>
        <v>1.21</v>
      </c>
      <c r="B24" s="127" t="str">
        <f>'Закупка'!B24</f>
        <v>CODIAEUM VARI MRS ICETON</v>
      </c>
      <c r="C24" s="128" t="str">
        <f>'Закупка'!R24</f>
        <v/>
      </c>
      <c r="D24" s="129" t="str">
        <f t="array" ref="D24">INDEX('Закупка'!G24:K24, $A$2)</f>
        <v/>
      </c>
      <c r="E24" s="130" t="str">
        <f>'Закупка'!F24</f>
        <v>1</v>
      </c>
      <c r="F24" s="131" t="str">
        <f t="shared" si="1"/>
        <v/>
      </c>
      <c r="G24" s="132"/>
      <c r="H24" s="133"/>
      <c r="I24" s="134"/>
      <c r="J24" s="131"/>
      <c r="K24" s="135">
        <f>'Закупка'!T24</f>
        <v>8400558</v>
      </c>
      <c r="L24" s="136" t="str">
        <f>'Закупка'!U24</f>
        <v>CROTON 50cm - Petra - planta/36</v>
      </c>
      <c r="M24" s="137" t="str">
        <f>'Закупка'!V24</f>
        <v>81945, CROMA20</v>
      </c>
    </row>
    <row r="25" ht="45.0" customHeight="1">
      <c r="A25" s="126" t="str">
        <f>'Закупка'!A25</f>
        <v>1.22</v>
      </c>
      <c r="B25" s="127" t="str">
        <f>'Закупка'!B25</f>
        <v>LAVANDULA STOE ANOUK</v>
      </c>
      <c r="C25" s="128" t="str">
        <f>'Закупка'!R25</f>
        <v/>
      </c>
      <c r="D25" s="129" t="str">
        <f t="array" ref="D25">INDEX('Закупка'!G25:K25, $A$2)</f>
        <v/>
      </c>
      <c r="E25" s="130" t="str">
        <f>'Закупка'!F25</f>
        <v>1</v>
      </c>
      <c r="F25" s="131" t="str">
        <f t="shared" si="1"/>
        <v/>
      </c>
      <c r="G25" s="132"/>
      <c r="H25" s="133"/>
      <c r="I25" s="134"/>
      <c r="J25" s="131"/>
      <c r="K25" s="135">
        <f>'Закупка'!T25</f>
        <v>8400357</v>
      </c>
      <c r="L25" s="136" t="str">
        <f>'Закупка'!U25</f>
        <v>LAVANDULA T13 - planta</v>
      </c>
      <c r="M25" s="137" t="str">
        <f>'Закупка'!V25</f>
        <v>LAV13 LAVANDULA T-13, 42454</v>
      </c>
    </row>
    <row r="26" ht="45.0" customHeight="1">
      <c r="A26" s="126" t="str">
        <f>'Закупка'!A26</f>
        <v>1.23</v>
      </c>
      <c r="B26" s="127" t="str">
        <f>'Закупка'!B26</f>
        <v>KALANCHOE LUCKY BELLS</v>
      </c>
      <c r="C26" s="128" t="str">
        <f>'Закупка'!R26</f>
        <v/>
      </c>
      <c r="D26" s="129" t="str">
        <f t="array" ref="D26">INDEX('Закупка'!G26:K26, $A$2)</f>
        <v/>
      </c>
      <c r="E26" s="130" t="str">
        <f>'Закупка'!F26</f>
        <v>1</v>
      </c>
      <c r="F26" s="131" t="str">
        <f t="shared" si="1"/>
        <v/>
      </c>
      <c r="G26" s="132"/>
      <c r="H26" s="133"/>
      <c r="I26" s="134"/>
      <c r="J26" s="131"/>
      <c r="K26" s="135">
        <f>'Закупка'!T26</f>
        <v>8400448</v>
      </c>
      <c r="L26" s="136" t="str">
        <f>'Закупка'!U26</f>
        <v>KALANCHOE T25 - Pumila - planta/18</v>
      </c>
      <c r="M26" s="137" t="str">
        <f>'Закупка'!V26</f>
        <v>KAL-P  KALANCHOE PUMILA T-25 planta, KCALT</v>
      </c>
    </row>
    <row r="27" ht="45.0" customHeight="1">
      <c r="A27" s="126" t="str">
        <f>'Закупка'!A27</f>
        <v>1.24</v>
      </c>
      <c r="B27" s="127" t="str">
        <f>'Закупка'!B27</f>
        <v>EUPHORBIA TRIGONA</v>
      </c>
      <c r="C27" s="128" t="str">
        <f>'Закупка'!R27</f>
        <v/>
      </c>
      <c r="D27" s="129" t="str">
        <f t="array" ref="D27">INDEX('Закупка'!G27:K27, $A$2)</f>
        <v/>
      </c>
      <c r="E27" s="130" t="str">
        <f>'Закупка'!F27</f>
        <v>1</v>
      </c>
      <c r="F27" s="131" t="str">
        <f t="shared" si="1"/>
        <v/>
      </c>
      <c r="G27" s="132"/>
      <c r="H27" s="133"/>
      <c r="I27" s="134"/>
      <c r="J27" s="131"/>
      <c r="K27" s="135">
        <f>'Закупка'!T27</f>
        <v>8400556</v>
      </c>
      <c r="L27" s="136" t="str">
        <f>'Закупка'!U27</f>
        <v>EUPHORBIA 30cm -Milii - planta/22</v>
      </c>
      <c r="M27" s="137" t="str">
        <f>'Закупка'!V27</f>
        <v>174581, EUV</v>
      </c>
    </row>
    <row r="28" ht="45.0" customHeight="1">
      <c r="A28" s="126" t="str">
        <f>'Закупка'!A28</f>
        <v>1.25</v>
      </c>
      <c r="B28" s="127" t="str">
        <f>'Закупка'!B28</f>
        <v>PTPB6537 ARRANGEMENTEN PASEN</v>
      </c>
      <c r="C28" s="128" t="str">
        <f>'Закупка'!R28</f>
        <v/>
      </c>
      <c r="D28" s="129" t="str">
        <f t="array" ref="D28">INDEX('Закупка'!G28:K28, $A$2)</f>
        <v/>
      </c>
      <c r="E28" s="130" t="str">
        <f>'Закупка'!F28</f>
        <v>1</v>
      </c>
      <c r="F28" s="131" t="str">
        <f t="shared" si="1"/>
        <v/>
      </c>
      <c r="G28" s="132"/>
      <c r="H28" s="133"/>
      <c r="I28" s="134"/>
      <c r="J28" s="131"/>
      <c r="K28" s="135">
        <f>'Закупка'!T28</f>
        <v>84001153</v>
      </c>
      <c r="L28" s="136" t="str">
        <f>'Закупка'!U28</f>
        <v>ARRANGEMENT DE PHALAENOPSIS - composición/56</v>
      </c>
      <c r="M28" s="137" t="str">
        <f>'Закупка'!V28</f>
        <v/>
      </c>
    </row>
    <row r="29" ht="45.0" customHeight="1">
      <c r="A29" s="126" t="str">
        <f>'Закупка'!A29</f>
        <v>1.26</v>
      </c>
      <c r="B29" s="127" t="str">
        <f>'Закупка'!B29</f>
        <v>PTPB6525 ARRANGEMENTEN PASEN</v>
      </c>
      <c r="C29" s="128" t="str">
        <f>'Закупка'!R29</f>
        <v/>
      </c>
      <c r="D29" s="129" t="str">
        <f t="array" ref="D29">INDEX('Закупка'!G29:K29, $A$2)</f>
        <v/>
      </c>
      <c r="E29" s="130" t="str">
        <f>'Закупка'!F29</f>
        <v>1</v>
      </c>
      <c r="F29" s="131" t="str">
        <f t="shared" si="1"/>
        <v/>
      </c>
      <c r="G29" s="132"/>
      <c r="H29" s="133"/>
      <c r="I29" s="134"/>
      <c r="J29" s="131"/>
      <c r="K29" s="135">
        <f>'Закупка'!T29</f>
        <v>84001153</v>
      </c>
      <c r="L29" s="136" t="str">
        <f>'Закупка'!U29</f>
        <v>ARRANGEMENT DE PHALAENOPSIS - composición/56</v>
      </c>
      <c r="M29" s="137" t="str">
        <f>'Закупка'!V29</f>
        <v/>
      </c>
    </row>
    <row r="30" ht="45.0" customHeight="1">
      <c r="A30" s="126" t="str">
        <f>'Закупка'!A30</f>
        <v>1.27</v>
      </c>
      <c r="B30" s="127" t="str">
        <f>'Закупка'!B30</f>
        <v>PHALAENOPSIS OTHER YELLOW</v>
      </c>
      <c r="C30" s="128" t="str">
        <f>'Закупка'!R30</f>
        <v/>
      </c>
      <c r="D30" s="129" t="str">
        <f t="array" ref="D30">INDEX('Закупка'!G30:K30, $A$2)</f>
        <v/>
      </c>
      <c r="E30" s="130" t="str">
        <f>'Закупка'!F30</f>
        <v>1</v>
      </c>
      <c r="F30" s="131" t="str">
        <f t="shared" si="1"/>
        <v/>
      </c>
      <c r="G30" s="132"/>
      <c r="H30" s="133"/>
      <c r="I30" s="134"/>
      <c r="J30" s="131"/>
      <c r="K30" s="135">
        <f>'Закупка'!T30</f>
        <v>8400391</v>
      </c>
      <c r="L30" s="136" t="str">
        <f>'Закупка'!U30</f>
        <v>PHALAENOPSIS MIX - planta/28</v>
      </c>
      <c r="M30" s="137" t="str">
        <f>'Закупка'!V30</f>
        <v>161202, 179376, 144102, 179304, 191963, 135419, 182797, 127000, 191284</v>
      </c>
    </row>
    <row r="31" ht="45.0" customHeight="1">
      <c r="A31" s="126" t="str">
        <f>'Закупка'!A31</f>
        <v>1.28</v>
      </c>
      <c r="B31" s="127" t="str">
        <f>'Закупка'!B31</f>
        <v>SUCCULENTEN OTHER</v>
      </c>
      <c r="C31" s="128" t="str">
        <f>'Закупка'!R31</f>
        <v/>
      </c>
      <c r="D31" s="129" t="str">
        <f t="array" ref="D31">INDEX('Закупка'!G31:K31, $A$2)</f>
        <v/>
      </c>
      <c r="E31" s="130" t="str">
        <f>'Закупка'!F31</f>
        <v>1</v>
      </c>
      <c r="F31" s="131" t="str">
        <f t="shared" si="1"/>
        <v/>
      </c>
      <c r="G31" s="132"/>
      <c r="H31" s="133"/>
      <c r="I31" s="134"/>
      <c r="J31" s="131"/>
      <c r="K31" s="135">
        <f>'Закупка'!T31</f>
        <v>8400591</v>
      </c>
      <c r="L31" s="136" t="str">
        <f>'Закупка'!U31</f>
        <v>SUCCULENTUS OTHER - planta/28</v>
      </c>
      <c r="M31" s="137" t="str">
        <f>'Закупка'!V31</f>
        <v>CRASSCI-9, AEON.012</v>
      </c>
    </row>
    <row r="32" ht="45.0" customHeight="1">
      <c r="A32" s="126" t="str">
        <f>'Закупка'!A32</f>
        <v>1.29</v>
      </c>
      <c r="B32" s="127" t="str">
        <f>'Закупка'!B32</f>
        <v>RHIPSALIS MIX</v>
      </c>
      <c r="C32" s="128" t="str">
        <f>'Закупка'!R32</f>
        <v/>
      </c>
      <c r="D32" s="129" t="str">
        <f t="array" ref="D32">INDEX('Закупка'!G32:K32, $A$2)</f>
        <v/>
      </c>
      <c r="E32" s="130" t="str">
        <f>'Закупка'!F32</f>
        <v>1</v>
      </c>
      <c r="F32" s="131" t="str">
        <f t="shared" si="1"/>
        <v/>
      </c>
      <c r="G32" s="132"/>
      <c r="H32" s="133"/>
      <c r="I32" s="134"/>
      <c r="J32" s="131"/>
      <c r="K32" s="135">
        <f>'Закупка'!T32</f>
        <v>8400895</v>
      </c>
      <c r="L32" s="136" t="str">
        <f>'Закупка'!U32</f>
        <v>RHIPSALIS MIX - T17 planta colganta</v>
      </c>
      <c r="M32" s="137">
        <f>'Закупка'!V32</f>
        <v>83612</v>
      </c>
    </row>
    <row r="33" ht="45.0" customHeight="1">
      <c r="A33" s="126" t="str">
        <f>'Закупка'!A33</f>
        <v/>
      </c>
      <c r="B33" s="127" t="str">
        <f>'Закупка'!B33</f>
        <v/>
      </c>
      <c r="C33" s="128" t="str">
        <f>'Закупка'!R33</f>
        <v/>
      </c>
      <c r="D33" s="129" t="str">
        <f t="array" ref="D33">INDEX('Закупка'!G33:K33, $A$2)</f>
        <v/>
      </c>
      <c r="E33" s="130" t="str">
        <f>'Закупка'!F33</f>
        <v/>
      </c>
      <c r="F33" s="131" t="str">
        <f t="shared" si="1"/>
        <v/>
      </c>
      <c r="G33" s="132"/>
      <c r="H33" s="133"/>
      <c r="I33" s="134"/>
      <c r="J33" s="131"/>
      <c r="K33" s="135" t="str">
        <f>'Закупка'!T33</f>
        <v/>
      </c>
      <c r="L33" s="136" t="str">
        <f>'Закупка'!U33</f>
        <v/>
      </c>
      <c r="M33" s="137" t="str">
        <f>'Закупка'!V33</f>
        <v/>
      </c>
    </row>
    <row r="34" ht="45.0" customHeight="1">
      <c r="A34" s="126" t="str">
        <f>'Закупка'!A34</f>
        <v/>
      </c>
      <c r="B34" s="127" t="str">
        <f>'Закупка'!B34</f>
        <v/>
      </c>
      <c r="C34" s="128" t="str">
        <f>'Закупка'!R34</f>
        <v/>
      </c>
      <c r="D34" s="129" t="str">
        <f t="array" ref="D34">INDEX('Закупка'!G34:K34, $A$2)</f>
        <v/>
      </c>
      <c r="E34" s="130" t="str">
        <f>'Закупка'!F34</f>
        <v/>
      </c>
      <c r="F34" s="131" t="str">
        <f t="shared" si="1"/>
        <v/>
      </c>
      <c r="G34" s="132"/>
      <c r="H34" s="133"/>
      <c r="I34" s="134"/>
      <c r="J34" s="131"/>
      <c r="K34" s="135" t="str">
        <f>'Закупка'!T34</f>
        <v/>
      </c>
      <c r="L34" s="136" t="str">
        <f>'Закупка'!U34</f>
        <v/>
      </c>
      <c r="M34" s="137" t="str">
        <f>'Закупка'!V34</f>
        <v/>
      </c>
    </row>
    <row r="35" ht="45.0" customHeight="1">
      <c r="A35" s="126" t="str">
        <f>'Закупка'!A35</f>
        <v/>
      </c>
      <c r="B35" s="127" t="str">
        <f>'Закупка'!B35</f>
        <v/>
      </c>
      <c r="C35" s="128" t="str">
        <f>'Закупка'!R35</f>
        <v/>
      </c>
      <c r="D35" s="129" t="str">
        <f t="array" ref="D35">INDEX('Закупка'!G35:K35, $A$2)</f>
        <v/>
      </c>
      <c r="E35" s="130" t="str">
        <f>'Закупка'!F35</f>
        <v/>
      </c>
      <c r="F35" s="131" t="str">
        <f t="shared" si="1"/>
        <v/>
      </c>
      <c r="G35" s="132"/>
      <c r="H35" s="133"/>
      <c r="I35" s="134"/>
      <c r="J35" s="131"/>
      <c r="K35" s="135" t="str">
        <f>'Закупка'!T35</f>
        <v/>
      </c>
      <c r="L35" s="136" t="str">
        <f>'Закупка'!U35</f>
        <v/>
      </c>
      <c r="M35" s="137" t="str">
        <f>'Закупка'!V35</f>
        <v/>
      </c>
    </row>
    <row r="36" ht="45.0" customHeight="1">
      <c r="A36" s="126" t="str">
        <f>'Закупка'!A36</f>
        <v/>
      </c>
      <c r="B36" s="127" t="str">
        <f>'Закупка'!B36</f>
        <v/>
      </c>
      <c r="C36" s="128" t="str">
        <f>'Закупка'!R36</f>
        <v/>
      </c>
      <c r="D36" s="129" t="str">
        <f t="array" ref="D36">INDEX('Закупка'!G36:K36, $A$2)</f>
        <v/>
      </c>
      <c r="E36" s="130" t="str">
        <f>'Закупка'!F36</f>
        <v/>
      </c>
      <c r="F36" s="131" t="str">
        <f t="shared" si="1"/>
        <v/>
      </c>
      <c r="G36" s="132"/>
      <c r="H36" s="133"/>
      <c r="I36" s="134"/>
      <c r="J36" s="131"/>
      <c r="K36" s="135" t="str">
        <f>'Закупка'!T36</f>
        <v/>
      </c>
      <c r="L36" s="136" t="str">
        <f>'Закупка'!U36</f>
        <v/>
      </c>
      <c r="M36" s="137" t="str">
        <f>'Закупка'!V36</f>
        <v/>
      </c>
    </row>
    <row r="37" ht="45.0" customHeight="1">
      <c r="A37" s="126" t="str">
        <f>'Закупка'!A37</f>
        <v/>
      </c>
      <c r="B37" s="127" t="str">
        <f>'Закупка'!B37</f>
        <v/>
      </c>
      <c r="C37" s="128" t="str">
        <f>'Закупка'!R37</f>
        <v/>
      </c>
      <c r="D37" s="129" t="str">
        <f t="array" ref="D37">INDEX('Закупка'!G37:K37, $A$2)</f>
        <v/>
      </c>
      <c r="E37" s="130" t="str">
        <f>'Закупка'!F37</f>
        <v/>
      </c>
      <c r="F37" s="131" t="str">
        <f t="shared" si="1"/>
        <v/>
      </c>
      <c r="G37" s="132"/>
      <c r="H37" s="133"/>
      <c r="I37" s="134"/>
      <c r="J37" s="131"/>
      <c r="K37" s="135" t="str">
        <f>'Закупка'!T37</f>
        <v/>
      </c>
      <c r="L37" s="136" t="str">
        <f>'Закупка'!U37</f>
        <v/>
      </c>
      <c r="M37" s="137" t="str">
        <f>'Закупка'!V37</f>
        <v/>
      </c>
    </row>
    <row r="38" ht="45.0" customHeight="1">
      <c r="A38" s="126" t="str">
        <f>'Закупка'!A38</f>
        <v/>
      </c>
      <c r="B38" s="127" t="str">
        <f>'Закупка'!B38</f>
        <v/>
      </c>
      <c r="C38" s="128" t="str">
        <f>'Закупка'!R38</f>
        <v/>
      </c>
      <c r="D38" s="129" t="str">
        <f t="array" ref="D38">INDEX('Закупка'!G38:K38, $A$2)</f>
        <v/>
      </c>
      <c r="E38" s="130" t="str">
        <f>'Закупка'!F38</f>
        <v/>
      </c>
      <c r="F38" s="131" t="str">
        <f t="shared" si="1"/>
        <v/>
      </c>
      <c r="G38" s="132"/>
      <c r="H38" s="133"/>
      <c r="I38" s="134"/>
      <c r="J38" s="131"/>
      <c r="K38" s="135" t="str">
        <f>'Закупка'!T38</f>
        <v/>
      </c>
      <c r="L38" s="136" t="str">
        <f>'Закупка'!U38</f>
        <v/>
      </c>
      <c r="M38" s="137" t="str">
        <f>'Закупка'!V38</f>
        <v/>
      </c>
    </row>
    <row r="39" ht="45.0" customHeight="1">
      <c r="A39" s="126" t="str">
        <f>'Закупка'!A39</f>
        <v/>
      </c>
      <c r="B39" s="127" t="str">
        <f>'Закупка'!B39</f>
        <v/>
      </c>
      <c r="C39" s="128" t="str">
        <f>'Закупка'!R39</f>
        <v/>
      </c>
      <c r="D39" s="129" t="str">
        <f t="array" ref="D39">INDEX('Закупка'!G39:K39, $A$2)</f>
        <v/>
      </c>
      <c r="E39" s="130" t="str">
        <f>'Закупка'!F39</f>
        <v/>
      </c>
      <c r="F39" s="131" t="str">
        <f t="shared" si="1"/>
        <v/>
      </c>
      <c r="G39" s="132"/>
      <c r="H39" s="133"/>
      <c r="I39" s="134"/>
      <c r="J39" s="131"/>
      <c r="K39" s="135" t="str">
        <f>'Закупка'!T39</f>
        <v/>
      </c>
      <c r="L39" s="136" t="str">
        <f>'Закупка'!U39</f>
        <v/>
      </c>
      <c r="M39" s="137" t="str">
        <f>'Закупка'!V39</f>
        <v/>
      </c>
    </row>
    <row r="40" ht="45.0" customHeight="1">
      <c r="A40" s="126" t="str">
        <f>'Закупка'!A40</f>
        <v/>
      </c>
      <c r="B40" s="127" t="str">
        <f>'Закупка'!B40</f>
        <v/>
      </c>
      <c r="C40" s="128" t="str">
        <f>'Закупка'!R40</f>
        <v/>
      </c>
      <c r="D40" s="129" t="str">
        <f t="array" ref="D40">INDEX('Закупка'!G40:K40, $A$2)</f>
        <v/>
      </c>
      <c r="E40" s="130" t="str">
        <f>'Закупка'!F40</f>
        <v/>
      </c>
      <c r="F40" s="131" t="str">
        <f t="shared" si="1"/>
        <v/>
      </c>
      <c r="G40" s="132"/>
      <c r="H40" s="133"/>
      <c r="I40" s="134"/>
      <c r="J40" s="131"/>
      <c r="K40" s="135" t="str">
        <f>'Закупка'!T40</f>
        <v/>
      </c>
      <c r="L40" s="136" t="str">
        <f>'Закупка'!U40</f>
        <v/>
      </c>
      <c r="M40" s="137" t="str">
        <f>'Закупка'!V40</f>
        <v/>
      </c>
    </row>
    <row r="41" ht="45.0" customHeight="1">
      <c r="A41" s="126" t="str">
        <f>'Закупка'!A41</f>
        <v/>
      </c>
      <c r="B41" s="127" t="str">
        <f>'Закупка'!B41</f>
        <v/>
      </c>
      <c r="C41" s="128" t="str">
        <f>'Закупка'!R41</f>
        <v/>
      </c>
      <c r="D41" s="129" t="str">
        <f t="array" ref="D41">INDEX('Закупка'!G41:K41, $A$2)</f>
        <v/>
      </c>
      <c r="E41" s="130" t="str">
        <f>'Закупка'!F41</f>
        <v/>
      </c>
      <c r="F41" s="131" t="str">
        <f t="shared" si="1"/>
        <v/>
      </c>
      <c r="G41" s="132"/>
      <c r="H41" s="133"/>
      <c r="I41" s="134"/>
      <c r="J41" s="131"/>
      <c r="K41" s="135" t="str">
        <f>'Закупка'!T41</f>
        <v/>
      </c>
      <c r="L41" s="136" t="str">
        <f>'Закупка'!U41</f>
        <v/>
      </c>
      <c r="M41" s="137" t="str">
        <f>'Закупка'!V41</f>
        <v/>
      </c>
    </row>
    <row r="42" ht="45.0" customHeight="1">
      <c r="A42" s="126" t="str">
        <f>'Закупка'!A42</f>
        <v/>
      </c>
      <c r="B42" s="127" t="str">
        <f>'Закупка'!B42</f>
        <v/>
      </c>
      <c r="C42" s="128" t="str">
        <f>'Закупка'!R42</f>
        <v/>
      </c>
      <c r="D42" s="129" t="str">
        <f t="array" ref="D42">INDEX('Закупка'!G42:K42, $A$2)</f>
        <v/>
      </c>
      <c r="E42" s="130" t="str">
        <f>'Закупка'!F42</f>
        <v/>
      </c>
      <c r="F42" s="131" t="str">
        <f t="shared" si="1"/>
        <v/>
      </c>
      <c r="G42" s="132"/>
      <c r="H42" s="133"/>
      <c r="I42" s="134"/>
      <c r="J42" s="131"/>
      <c r="K42" s="135" t="str">
        <f>'Закупка'!T42</f>
        <v/>
      </c>
      <c r="L42" s="136" t="str">
        <f>'Закупка'!U42</f>
        <v/>
      </c>
      <c r="M42" s="137" t="str">
        <f>'Закупка'!V42</f>
        <v/>
      </c>
    </row>
    <row r="43" ht="45.0" customHeight="1">
      <c r="A43" s="126" t="str">
        <f>'Закупка'!A43</f>
        <v/>
      </c>
      <c r="B43" s="127" t="str">
        <f>'Закупка'!B43</f>
        <v/>
      </c>
      <c r="C43" s="128" t="str">
        <f>'Закупка'!R43</f>
        <v/>
      </c>
      <c r="D43" s="129" t="str">
        <f t="array" ref="D43">INDEX('Закупка'!G43:K43, $A$2)</f>
        <v/>
      </c>
      <c r="E43" s="130" t="str">
        <f>'Закупка'!F43</f>
        <v/>
      </c>
      <c r="F43" s="131" t="str">
        <f t="shared" si="1"/>
        <v/>
      </c>
      <c r="G43" s="132"/>
      <c r="H43" s="133"/>
      <c r="I43" s="134"/>
      <c r="J43" s="131"/>
      <c r="K43" s="135" t="str">
        <f>'Закупка'!T43</f>
        <v/>
      </c>
      <c r="L43" s="136" t="str">
        <f>'Закупка'!U43</f>
        <v/>
      </c>
      <c r="M43" s="137" t="str">
        <f>'Закупка'!V43</f>
        <v/>
      </c>
    </row>
    <row r="44" ht="45.0" customHeight="1">
      <c r="A44" s="126" t="str">
        <f>'Закупка'!A44</f>
        <v/>
      </c>
      <c r="B44" s="127" t="str">
        <f>'Закупка'!B44</f>
        <v/>
      </c>
      <c r="C44" s="128" t="str">
        <f>'Закупка'!R44</f>
        <v/>
      </c>
      <c r="D44" s="129" t="str">
        <f t="array" ref="D44">INDEX('Закупка'!G44:K44, $A$2)</f>
        <v/>
      </c>
      <c r="E44" s="130" t="str">
        <f>'Закупка'!F44</f>
        <v/>
      </c>
      <c r="F44" s="131" t="str">
        <f t="shared" si="1"/>
        <v/>
      </c>
      <c r="G44" s="132"/>
      <c r="H44" s="133"/>
      <c r="I44" s="134"/>
      <c r="J44" s="131"/>
      <c r="K44" s="135" t="str">
        <f>'Закупка'!T44</f>
        <v/>
      </c>
      <c r="L44" s="136" t="str">
        <f>'Закупка'!U44</f>
        <v/>
      </c>
      <c r="M44" s="137" t="str">
        <f>'Закупка'!V44</f>
        <v/>
      </c>
    </row>
    <row r="45" ht="45.0" customHeight="1">
      <c r="A45" s="126" t="str">
        <f>'Закупка'!A45</f>
        <v/>
      </c>
      <c r="B45" s="127" t="str">
        <f>'Закупка'!B45</f>
        <v/>
      </c>
      <c r="C45" s="128" t="str">
        <f>'Закупка'!R45</f>
        <v/>
      </c>
      <c r="D45" s="129" t="str">
        <f t="array" ref="D45">INDEX('Закупка'!G45:K45, $A$2)</f>
        <v/>
      </c>
      <c r="E45" s="130" t="str">
        <f>'Закупка'!F45</f>
        <v/>
      </c>
      <c r="F45" s="131" t="str">
        <f t="shared" si="1"/>
        <v/>
      </c>
      <c r="G45" s="132"/>
      <c r="H45" s="133"/>
      <c r="I45" s="134"/>
      <c r="J45" s="131"/>
      <c r="K45" s="135" t="str">
        <f>'Закупка'!T45</f>
        <v/>
      </c>
      <c r="L45" s="136" t="str">
        <f>'Закупка'!U45</f>
        <v/>
      </c>
      <c r="M45" s="137" t="str">
        <f>'Закупка'!V45</f>
        <v/>
      </c>
    </row>
    <row r="46" ht="45.0" customHeight="1">
      <c r="A46" s="126" t="str">
        <f>'Закупка'!A46</f>
        <v/>
      </c>
      <c r="B46" s="127" t="str">
        <f>'Закупка'!B46</f>
        <v/>
      </c>
      <c r="C46" s="128" t="str">
        <f>'Закупка'!R46</f>
        <v/>
      </c>
      <c r="D46" s="129" t="str">
        <f t="array" ref="D46">INDEX('Закупка'!G46:K46, $A$2)</f>
        <v/>
      </c>
      <c r="E46" s="130" t="str">
        <f>'Закупка'!F46</f>
        <v/>
      </c>
      <c r="F46" s="131" t="str">
        <f t="shared" si="1"/>
        <v/>
      </c>
      <c r="G46" s="132"/>
      <c r="H46" s="133"/>
      <c r="I46" s="134"/>
      <c r="J46" s="131"/>
      <c r="K46" s="135" t="str">
        <f>'Закупка'!T46</f>
        <v/>
      </c>
      <c r="L46" s="136" t="str">
        <f>'Закупка'!U46</f>
        <v/>
      </c>
      <c r="M46" s="137" t="str">
        <f>'Закупка'!V46</f>
        <v/>
      </c>
    </row>
    <row r="47" ht="45.0" customHeight="1">
      <c r="A47" s="126" t="str">
        <f>'Закупка'!A47</f>
        <v/>
      </c>
      <c r="B47" s="127" t="str">
        <f>'Закупка'!B47</f>
        <v/>
      </c>
      <c r="C47" s="128" t="str">
        <f>'Закупка'!R47</f>
        <v/>
      </c>
      <c r="D47" s="129" t="str">
        <f t="array" ref="D47">INDEX('Закупка'!G47:K47, $A$2)</f>
        <v/>
      </c>
      <c r="E47" s="130" t="str">
        <f>'Закупка'!F47</f>
        <v/>
      </c>
      <c r="F47" s="131" t="str">
        <f t="shared" si="1"/>
        <v/>
      </c>
      <c r="G47" s="132"/>
      <c r="H47" s="133"/>
      <c r="I47" s="134"/>
      <c r="J47" s="131"/>
      <c r="K47" s="135" t="str">
        <f>'Закупка'!T47</f>
        <v/>
      </c>
      <c r="L47" s="136" t="str">
        <f>'Закупка'!U47</f>
        <v/>
      </c>
      <c r="M47" s="137" t="str">
        <f>'Закупка'!V47</f>
        <v/>
      </c>
    </row>
    <row r="48" ht="45.0" customHeight="1">
      <c r="A48" s="126" t="str">
        <f>'Закупка'!A48</f>
        <v/>
      </c>
      <c r="B48" s="127" t="str">
        <f>'Закупка'!B48</f>
        <v/>
      </c>
      <c r="C48" s="128" t="str">
        <f>'Закупка'!R48</f>
        <v/>
      </c>
      <c r="D48" s="129" t="str">
        <f t="array" ref="D48">INDEX('Закупка'!G48:K48, $A$2)</f>
        <v/>
      </c>
      <c r="E48" s="130" t="str">
        <f>'Закупка'!F48</f>
        <v/>
      </c>
      <c r="F48" s="131" t="str">
        <f t="shared" si="1"/>
        <v/>
      </c>
      <c r="G48" s="132"/>
      <c r="H48" s="133"/>
      <c r="I48" s="134"/>
      <c r="J48" s="131"/>
      <c r="K48" s="135" t="str">
        <f>'Закупка'!T48</f>
        <v/>
      </c>
      <c r="L48" s="136" t="str">
        <f>'Закупка'!U48</f>
        <v/>
      </c>
      <c r="M48" s="137" t="str">
        <f>'Закупка'!V48</f>
        <v/>
      </c>
    </row>
    <row r="49" ht="45.0" customHeight="1">
      <c r="A49" s="126" t="str">
        <f>'Закупка'!A49</f>
        <v/>
      </c>
      <c r="B49" s="127" t="str">
        <f>'Закупка'!B49</f>
        <v/>
      </c>
      <c r="C49" s="128" t="str">
        <f>'Закупка'!R49</f>
        <v/>
      </c>
      <c r="D49" s="129" t="str">
        <f t="array" ref="D49">INDEX('Закупка'!G49:K49, $A$2)</f>
        <v/>
      </c>
      <c r="E49" s="130" t="str">
        <f>'Закупка'!F49</f>
        <v/>
      </c>
      <c r="F49" s="131" t="str">
        <f t="shared" si="1"/>
        <v/>
      </c>
      <c r="G49" s="132"/>
      <c r="H49" s="133"/>
      <c r="I49" s="134"/>
      <c r="J49" s="131"/>
      <c r="K49" s="135" t="str">
        <f>'Закупка'!T49</f>
        <v/>
      </c>
      <c r="L49" s="136" t="str">
        <f>'Закупка'!U49</f>
        <v/>
      </c>
      <c r="M49" s="137" t="str">
        <f>'Закупка'!V49</f>
        <v/>
      </c>
    </row>
    <row r="50" ht="45.0" customHeight="1">
      <c r="A50" s="126" t="str">
        <f>'Закупка'!A50</f>
        <v/>
      </c>
      <c r="B50" s="127" t="str">
        <f>'Закупка'!B50</f>
        <v/>
      </c>
      <c r="C50" s="128" t="str">
        <f>'Закупка'!R50</f>
        <v/>
      </c>
      <c r="D50" s="129" t="str">
        <f t="array" ref="D50">INDEX('Закупка'!G50:K50, $A$2)</f>
        <v/>
      </c>
      <c r="E50" s="130" t="str">
        <f>'Закупка'!F50</f>
        <v/>
      </c>
      <c r="F50" s="131" t="str">
        <f t="shared" si="1"/>
        <v/>
      </c>
      <c r="G50" s="132"/>
      <c r="H50" s="133"/>
      <c r="I50" s="134"/>
      <c r="J50" s="131"/>
      <c r="K50" s="135" t="str">
        <f>'Закупка'!T50</f>
        <v/>
      </c>
      <c r="L50" s="136" t="str">
        <f>'Закупка'!U50</f>
        <v/>
      </c>
      <c r="M50" s="137" t="str">
        <f>'Закупка'!V50</f>
        <v/>
      </c>
    </row>
    <row r="51" ht="45.0" customHeight="1">
      <c r="A51" s="126" t="str">
        <f>'Закупка'!A51</f>
        <v/>
      </c>
      <c r="B51" s="127" t="str">
        <f>'Закупка'!B51</f>
        <v/>
      </c>
      <c r="C51" s="128" t="str">
        <f>'Закупка'!R51</f>
        <v/>
      </c>
      <c r="D51" s="129" t="str">
        <f t="array" ref="D51">INDEX('Закупка'!G51:K51, $A$2)</f>
        <v/>
      </c>
      <c r="E51" s="130" t="str">
        <f>'Закупка'!F51</f>
        <v/>
      </c>
      <c r="F51" s="131" t="str">
        <f t="shared" si="1"/>
        <v/>
      </c>
      <c r="G51" s="132"/>
      <c r="H51" s="133"/>
      <c r="I51" s="134"/>
      <c r="J51" s="131"/>
      <c r="K51" s="135" t="str">
        <f>'Закупка'!T51</f>
        <v/>
      </c>
      <c r="L51" s="136" t="str">
        <f>'Закупка'!U51</f>
        <v/>
      </c>
      <c r="M51" s="137" t="str">
        <f>'Закупка'!V51</f>
        <v/>
      </c>
    </row>
    <row r="52" ht="45.0" customHeight="1">
      <c r="A52" s="126" t="str">
        <f>'Закупка'!A52</f>
        <v/>
      </c>
      <c r="B52" s="127" t="str">
        <f>'Закупка'!B52</f>
        <v/>
      </c>
      <c r="C52" s="128" t="str">
        <f>'Закупка'!R52</f>
        <v/>
      </c>
      <c r="D52" s="129" t="str">
        <f t="array" ref="D52">INDEX('Закупка'!G52:K52, $A$2)</f>
        <v/>
      </c>
      <c r="E52" s="130" t="str">
        <f>'Закупка'!F52</f>
        <v/>
      </c>
      <c r="F52" s="131" t="str">
        <f t="shared" si="1"/>
        <v/>
      </c>
      <c r="G52" s="132"/>
      <c r="H52" s="133"/>
      <c r="I52" s="134"/>
      <c r="J52" s="131"/>
      <c r="K52" s="135" t="str">
        <f>'Закупка'!T52</f>
        <v/>
      </c>
      <c r="L52" s="136" t="str">
        <f>'Закупка'!U52</f>
        <v/>
      </c>
      <c r="M52" s="137" t="str">
        <f>'Закупка'!V52</f>
        <v/>
      </c>
    </row>
    <row r="53" ht="45.0" customHeight="1">
      <c r="A53" s="126" t="str">
        <f>'Закупка'!A53</f>
        <v/>
      </c>
      <c r="B53" s="127" t="str">
        <f>'Закупка'!B53</f>
        <v/>
      </c>
      <c r="C53" s="128" t="str">
        <f>'Закупка'!R53</f>
        <v/>
      </c>
      <c r="D53" s="129" t="str">
        <f t="array" ref="D53">INDEX('Закупка'!G53:K53, $A$2)</f>
        <v/>
      </c>
      <c r="E53" s="130" t="str">
        <f>'Закупка'!F53</f>
        <v/>
      </c>
      <c r="F53" s="131" t="str">
        <f t="shared" si="1"/>
        <v/>
      </c>
      <c r="G53" s="132"/>
      <c r="H53" s="133"/>
      <c r="I53" s="134"/>
      <c r="J53" s="131"/>
      <c r="K53" s="135" t="str">
        <f>'Закупка'!T53</f>
        <v/>
      </c>
      <c r="L53" s="136" t="str">
        <f>'Закупка'!U53</f>
        <v/>
      </c>
      <c r="M53" s="137" t="str">
        <f>'Закупка'!V53</f>
        <v/>
      </c>
    </row>
    <row r="54" ht="45.0" customHeight="1">
      <c r="A54" s="126" t="str">
        <f>'Закупка'!A54</f>
        <v/>
      </c>
      <c r="B54" s="127" t="str">
        <f>'Закупка'!B54</f>
        <v/>
      </c>
      <c r="C54" s="128" t="str">
        <f>'Закупка'!R54</f>
        <v/>
      </c>
      <c r="D54" s="129" t="str">
        <f t="array" ref="D54">INDEX('Закупка'!G54:K54, $A$2)</f>
        <v/>
      </c>
      <c r="E54" s="130" t="str">
        <f>'Закупка'!F54</f>
        <v/>
      </c>
      <c r="F54" s="131" t="str">
        <f t="shared" si="1"/>
        <v/>
      </c>
      <c r="G54" s="132"/>
      <c r="H54" s="133"/>
      <c r="I54" s="134"/>
      <c r="J54" s="131"/>
      <c r="K54" s="135" t="str">
        <f>'Закупка'!T54</f>
        <v/>
      </c>
      <c r="L54" s="136" t="str">
        <f>'Закупка'!U54</f>
        <v/>
      </c>
      <c r="M54" s="137" t="str">
        <f>'Закупка'!V54</f>
        <v/>
      </c>
    </row>
    <row r="55" ht="45.0" customHeight="1">
      <c r="A55" s="126" t="str">
        <f>'Закупка'!A55</f>
        <v/>
      </c>
      <c r="B55" s="127" t="str">
        <f>'Закупка'!B55</f>
        <v/>
      </c>
      <c r="C55" s="128" t="str">
        <f>'Закупка'!R55</f>
        <v/>
      </c>
      <c r="D55" s="129" t="str">
        <f t="array" ref="D55">INDEX('Закупка'!G55:K55, $A$2)</f>
        <v/>
      </c>
      <c r="E55" s="130" t="str">
        <f>'Закупка'!F55</f>
        <v/>
      </c>
      <c r="F55" s="131" t="str">
        <f t="shared" si="1"/>
        <v/>
      </c>
      <c r="G55" s="132"/>
      <c r="H55" s="133"/>
      <c r="I55" s="134"/>
      <c r="J55" s="131"/>
      <c r="K55" s="135" t="str">
        <f>'Закупка'!T55</f>
        <v/>
      </c>
      <c r="L55" s="136" t="str">
        <f>'Закупка'!U55</f>
        <v/>
      </c>
      <c r="M55" s="137" t="str">
        <f>'Закупка'!V55</f>
        <v/>
      </c>
    </row>
    <row r="56" ht="45.0" customHeight="1">
      <c r="A56" s="126" t="str">
        <f>'Закупка'!A56</f>
        <v/>
      </c>
      <c r="B56" s="127" t="str">
        <f>'Закупка'!B56</f>
        <v/>
      </c>
      <c r="C56" s="128" t="str">
        <f>'Закупка'!R56</f>
        <v/>
      </c>
      <c r="D56" s="129" t="str">
        <f t="array" ref="D56">INDEX('Закупка'!G56:K56, $A$2)</f>
        <v/>
      </c>
      <c r="E56" s="130" t="str">
        <f>'Закупка'!F56</f>
        <v/>
      </c>
      <c r="F56" s="131" t="str">
        <f t="shared" si="1"/>
        <v/>
      </c>
      <c r="G56" s="132"/>
      <c r="H56" s="133"/>
      <c r="I56" s="134"/>
      <c r="J56" s="131"/>
      <c r="K56" s="135" t="str">
        <f>'Закупка'!T56</f>
        <v/>
      </c>
      <c r="L56" s="136" t="str">
        <f>'Закупка'!U56</f>
        <v/>
      </c>
      <c r="M56" s="137" t="str">
        <f>'Закупка'!V56</f>
        <v/>
      </c>
    </row>
    <row r="57" ht="45.0" customHeight="1">
      <c r="A57" s="126" t="str">
        <f>'Закупка'!A57</f>
        <v/>
      </c>
      <c r="B57" s="127" t="str">
        <f>'Закупка'!B57</f>
        <v/>
      </c>
      <c r="C57" s="128" t="str">
        <f>'Закупка'!R57</f>
        <v/>
      </c>
      <c r="D57" s="129" t="str">
        <f t="array" ref="D57">INDEX('Закупка'!G57:K57, $A$2)</f>
        <v/>
      </c>
      <c r="E57" s="130" t="str">
        <f>'Закупка'!F57</f>
        <v/>
      </c>
      <c r="F57" s="131" t="str">
        <f t="shared" si="1"/>
        <v/>
      </c>
      <c r="G57" s="132"/>
      <c r="H57" s="133"/>
      <c r="I57" s="134"/>
      <c r="J57" s="131"/>
      <c r="K57" s="135" t="str">
        <f>'Закупка'!T57</f>
        <v/>
      </c>
      <c r="L57" s="136" t="str">
        <f>'Закупка'!U57</f>
        <v/>
      </c>
      <c r="M57" s="137" t="str">
        <f>'Закупка'!V57</f>
        <v/>
      </c>
    </row>
    <row r="58" ht="45.0" customHeight="1">
      <c r="A58" s="126" t="str">
        <f>'Закупка'!A58</f>
        <v/>
      </c>
      <c r="B58" s="127" t="str">
        <f>'Закупка'!B58</f>
        <v/>
      </c>
      <c r="C58" s="128" t="str">
        <f>'Закупка'!R58</f>
        <v/>
      </c>
      <c r="D58" s="129" t="str">
        <f t="array" ref="D58">INDEX('Закупка'!G58:K58, $A$2)</f>
        <v/>
      </c>
      <c r="E58" s="130" t="str">
        <f>'Закупка'!F58</f>
        <v/>
      </c>
      <c r="F58" s="131" t="str">
        <f t="shared" si="1"/>
        <v/>
      </c>
      <c r="G58" s="132"/>
      <c r="H58" s="133"/>
      <c r="I58" s="134"/>
      <c r="J58" s="131"/>
      <c r="K58" s="135" t="str">
        <f>'Закупка'!T58</f>
        <v/>
      </c>
      <c r="L58" s="136" t="str">
        <f>'Закупка'!U58</f>
        <v/>
      </c>
      <c r="M58" s="137" t="str">
        <f>'Закупка'!V58</f>
        <v/>
      </c>
    </row>
    <row r="59" ht="45.0" customHeight="1">
      <c r="A59" s="126" t="str">
        <f>'Закупка'!A59</f>
        <v/>
      </c>
      <c r="B59" s="127" t="str">
        <f>'Закупка'!B59</f>
        <v/>
      </c>
      <c r="C59" s="128" t="str">
        <f>'Закупка'!R59</f>
        <v/>
      </c>
      <c r="D59" s="129" t="str">
        <f t="array" ref="D59">INDEX('Закупка'!G59:K59, $A$2)</f>
        <v/>
      </c>
      <c r="E59" s="130" t="str">
        <f>'Закупка'!F59</f>
        <v/>
      </c>
      <c r="F59" s="131" t="str">
        <f t="shared" si="1"/>
        <v/>
      </c>
      <c r="G59" s="132"/>
      <c r="H59" s="133"/>
      <c r="I59" s="134"/>
      <c r="J59" s="131"/>
      <c r="K59" s="135" t="str">
        <f>'Закупка'!T59</f>
        <v/>
      </c>
      <c r="L59" s="136" t="str">
        <f>'Закупка'!U59</f>
        <v/>
      </c>
      <c r="M59" s="137" t="str">
        <f>'Закупка'!V59</f>
        <v/>
      </c>
    </row>
    <row r="60" ht="45.0" customHeight="1">
      <c r="A60" s="126" t="str">
        <f>'Закупка'!A60</f>
        <v/>
      </c>
      <c r="B60" s="127" t="str">
        <f>'Закупка'!B60</f>
        <v/>
      </c>
      <c r="C60" s="128" t="str">
        <f>'Закупка'!R60</f>
        <v/>
      </c>
      <c r="D60" s="129" t="str">
        <f t="array" ref="D60">INDEX('Закупка'!G60:K60, $A$2)</f>
        <v/>
      </c>
      <c r="E60" s="130" t="str">
        <f>'Закупка'!F60</f>
        <v/>
      </c>
      <c r="F60" s="131" t="str">
        <f t="shared" si="1"/>
        <v/>
      </c>
      <c r="G60" s="132"/>
      <c r="H60" s="133"/>
      <c r="I60" s="134"/>
      <c r="J60" s="131"/>
      <c r="K60" s="135" t="str">
        <f>'Закупка'!T60</f>
        <v/>
      </c>
      <c r="L60" s="136" t="str">
        <f>'Закупка'!U60</f>
        <v/>
      </c>
      <c r="M60" s="137" t="str">
        <f>'Закупка'!V60</f>
        <v/>
      </c>
    </row>
    <row r="61" ht="45.0" customHeight="1">
      <c r="A61" s="126" t="str">
        <f>'Закупка'!A61</f>
        <v/>
      </c>
      <c r="B61" s="127" t="str">
        <f>'Закупка'!B61</f>
        <v/>
      </c>
      <c r="C61" s="128" t="str">
        <f>'Закупка'!R61</f>
        <v/>
      </c>
      <c r="D61" s="129" t="str">
        <f t="array" ref="D61">INDEX('Закупка'!G61:K61, $A$2)</f>
        <v/>
      </c>
      <c r="E61" s="130" t="str">
        <f>'Закупка'!F61</f>
        <v/>
      </c>
      <c r="F61" s="131" t="str">
        <f t="shared" si="1"/>
        <v/>
      </c>
      <c r="G61" s="132"/>
      <c r="H61" s="133"/>
      <c r="I61" s="134"/>
      <c r="J61" s="131"/>
      <c r="K61" s="135" t="str">
        <f>'Закупка'!T61</f>
        <v/>
      </c>
      <c r="L61" s="136" t="str">
        <f>'Закупка'!U61</f>
        <v/>
      </c>
      <c r="M61" s="137" t="str">
        <f>'Закупка'!V61</f>
        <v/>
      </c>
    </row>
    <row r="62" ht="45.0" customHeight="1">
      <c r="A62" s="126" t="str">
        <f>'Закупка'!A62</f>
        <v/>
      </c>
      <c r="B62" s="127" t="str">
        <f>'Закупка'!B62</f>
        <v/>
      </c>
      <c r="C62" s="128" t="str">
        <f>'Закупка'!R62</f>
        <v/>
      </c>
      <c r="D62" s="129" t="str">
        <f t="array" ref="D62">INDEX('Закупка'!G62:K62, $A$2)</f>
        <v/>
      </c>
      <c r="E62" s="130" t="str">
        <f>'Закупка'!F62</f>
        <v/>
      </c>
      <c r="F62" s="131" t="str">
        <f t="shared" si="1"/>
        <v/>
      </c>
      <c r="G62" s="132"/>
      <c r="H62" s="133"/>
      <c r="I62" s="134"/>
      <c r="J62" s="131"/>
      <c r="K62" s="135" t="str">
        <f>'Закупка'!T62</f>
        <v/>
      </c>
      <c r="L62" s="136" t="str">
        <f>'Закупка'!U62</f>
        <v/>
      </c>
      <c r="M62" s="137" t="str">
        <f>'Закупка'!V62</f>
        <v/>
      </c>
    </row>
    <row r="63" ht="45.0" customHeight="1">
      <c r="A63" s="126" t="str">
        <f>'Закупка'!A63</f>
        <v/>
      </c>
      <c r="B63" s="127" t="str">
        <f>'Закупка'!B63</f>
        <v/>
      </c>
      <c r="C63" s="128" t="str">
        <f>'Закупка'!R63</f>
        <v/>
      </c>
      <c r="D63" s="129" t="str">
        <f t="array" ref="D63">INDEX('Закупка'!G63:K63, $A$2)</f>
        <v/>
      </c>
      <c r="E63" s="130" t="str">
        <f>'Закупка'!F63</f>
        <v/>
      </c>
      <c r="F63" s="131" t="str">
        <f t="shared" si="1"/>
        <v/>
      </c>
      <c r="G63" s="132"/>
      <c r="H63" s="133"/>
      <c r="I63" s="134"/>
      <c r="J63" s="131"/>
      <c r="K63" s="135" t="str">
        <f>'Закупка'!T63</f>
        <v/>
      </c>
      <c r="L63" s="136" t="str">
        <f>'Закупка'!U63</f>
        <v/>
      </c>
      <c r="M63" s="137" t="str">
        <f>'Закупка'!V63</f>
        <v/>
      </c>
    </row>
    <row r="64" ht="45.0" customHeight="1">
      <c r="A64" s="126" t="str">
        <f>'Закупка'!A64</f>
        <v/>
      </c>
      <c r="B64" s="127" t="str">
        <f>'Закупка'!B64</f>
        <v/>
      </c>
      <c r="C64" s="128" t="str">
        <f>'Закупка'!R64</f>
        <v/>
      </c>
      <c r="D64" s="129" t="str">
        <f t="array" ref="D64">INDEX('Закупка'!G64:K64, $A$2)</f>
        <v/>
      </c>
      <c r="E64" s="130" t="str">
        <f>'Закупка'!F64</f>
        <v/>
      </c>
      <c r="F64" s="131" t="str">
        <f t="shared" si="1"/>
        <v/>
      </c>
      <c r="G64" s="132"/>
      <c r="H64" s="133"/>
      <c r="I64" s="134"/>
      <c r="J64" s="131"/>
      <c r="K64" s="135" t="str">
        <f>'Закупка'!T64</f>
        <v/>
      </c>
      <c r="L64" s="136" t="str">
        <f>'Закупка'!U64</f>
        <v/>
      </c>
      <c r="M64" s="137" t="str">
        <f>'Закупка'!V64</f>
        <v/>
      </c>
    </row>
    <row r="65" ht="45.0" customHeight="1">
      <c r="A65" s="126" t="str">
        <f>'Закупка'!A65</f>
        <v/>
      </c>
      <c r="B65" s="127" t="str">
        <f>'Закупка'!B65</f>
        <v/>
      </c>
      <c r="C65" s="128" t="str">
        <f>'Закупка'!R65</f>
        <v/>
      </c>
      <c r="D65" s="129" t="str">
        <f t="array" ref="D65">INDEX('Закупка'!G65:K65, $A$2)</f>
        <v/>
      </c>
      <c r="E65" s="130" t="str">
        <f>'Закупка'!F65</f>
        <v/>
      </c>
      <c r="F65" s="131" t="str">
        <f t="shared" si="1"/>
        <v/>
      </c>
      <c r="G65" s="132"/>
      <c r="H65" s="133"/>
      <c r="I65" s="134"/>
      <c r="J65" s="131"/>
      <c r="K65" s="135" t="str">
        <f>'Закупка'!T65</f>
        <v/>
      </c>
      <c r="L65" s="136" t="str">
        <f>'Закупка'!U65</f>
        <v/>
      </c>
      <c r="M65" s="137" t="str">
        <f>'Закупка'!V65</f>
        <v/>
      </c>
    </row>
    <row r="66" ht="45.0" customHeight="1">
      <c r="A66" s="126" t="str">
        <f>'Закупка'!A66</f>
        <v/>
      </c>
      <c r="B66" s="127" t="str">
        <f>'Закупка'!B66</f>
        <v/>
      </c>
      <c r="C66" s="128" t="str">
        <f>'Закупка'!R66</f>
        <v/>
      </c>
      <c r="D66" s="129" t="str">
        <f t="array" ref="D66">INDEX('Закупка'!G66:K66, $A$2)</f>
        <v/>
      </c>
      <c r="E66" s="130" t="str">
        <f>'Закупка'!F66</f>
        <v/>
      </c>
      <c r="F66" s="131" t="str">
        <f t="shared" si="1"/>
        <v/>
      </c>
      <c r="G66" s="132"/>
      <c r="H66" s="133"/>
      <c r="I66" s="134"/>
      <c r="J66" s="131"/>
      <c r="K66" s="135" t="str">
        <f>'Закупка'!T66</f>
        <v/>
      </c>
      <c r="L66" s="136" t="str">
        <f>'Закупка'!U66</f>
        <v/>
      </c>
      <c r="M66" s="137" t="str">
        <f>'Закупка'!V66</f>
        <v/>
      </c>
    </row>
    <row r="67" ht="45.0" customHeight="1">
      <c r="A67" s="126" t="str">
        <f>'Закупка'!A67</f>
        <v/>
      </c>
      <c r="B67" s="127" t="str">
        <f>'Закупка'!B67</f>
        <v/>
      </c>
      <c r="C67" s="128" t="str">
        <f>'Закупка'!R67</f>
        <v/>
      </c>
      <c r="D67" s="129" t="str">
        <f t="array" ref="D67">INDEX('Закупка'!G67:K67, $A$2)</f>
        <v/>
      </c>
      <c r="E67" s="130" t="str">
        <f>'Закупка'!F67</f>
        <v/>
      </c>
      <c r="F67" s="131" t="str">
        <f t="shared" si="1"/>
        <v/>
      </c>
      <c r="G67" s="132"/>
      <c r="H67" s="133"/>
      <c r="I67" s="134"/>
      <c r="J67" s="131"/>
      <c r="K67" s="135" t="str">
        <f>'Закупка'!T67</f>
        <v/>
      </c>
      <c r="L67" s="136" t="str">
        <f>'Закупка'!U67</f>
        <v/>
      </c>
      <c r="M67" s="137" t="str">
        <f>'Закупка'!V67</f>
        <v/>
      </c>
    </row>
    <row r="68" ht="45.0" customHeight="1">
      <c r="A68" s="126" t="str">
        <f>'Закупка'!A68</f>
        <v/>
      </c>
      <c r="B68" s="127" t="str">
        <f>'Закупка'!B68</f>
        <v/>
      </c>
      <c r="C68" s="128" t="str">
        <f>'Закупка'!R68</f>
        <v/>
      </c>
      <c r="D68" s="129" t="str">
        <f t="array" ref="D68">INDEX('Закупка'!G68:K68, $A$2)</f>
        <v/>
      </c>
      <c r="E68" s="130" t="str">
        <f>'Закупка'!F68</f>
        <v/>
      </c>
      <c r="F68" s="131" t="str">
        <f t="shared" si="1"/>
        <v/>
      </c>
      <c r="G68" s="132"/>
      <c r="H68" s="133"/>
      <c r="I68" s="134"/>
      <c r="J68" s="131"/>
      <c r="K68" s="135" t="str">
        <f>'Закупка'!T68</f>
        <v/>
      </c>
      <c r="L68" s="136" t="str">
        <f>'Закупка'!U68</f>
        <v/>
      </c>
      <c r="M68" s="137" t="str">
        <f>'Закупка'!V68</f>
        <v/>
      </c>
    </row>
    <row r="69" ht="45.0" customHeight="1">
      <c r="A69" s="126" t="str">
        <f>'Закупка'!A69</f>
        <v/>
      </c>
      <c r="B69" s="127" t="str">
        <f>'Закупка'!B69</f>
        <v/>
      </c>
      <c r="C69" s="128" t="str">
        <f>'Закупка'!R69</f>
        <v/>
      </c>
      <c r="D69" s="129" t="str">
        <f t="array" ref="D69">INDEX('Закупка'!G69:K69, $A$2)</f>
        <v/>
      </c>
      <c r="E69" s="130" t="str">
        <f>'Закупка'!F69</f>
        <v/>
      </c>
      <c r="F69" s="131" t="str">
        <f t="shared" si="1"/>
        <v/>
      </c>
      <c r="G69" s="132"/>
      <c r="H69" s="133"/>
      <c r="I69" s="134"/>
      <c r="J69" s="131"/>
      <c r="K69" s="135" t="str">
        <f>'Закупка'!T69</f>
        <v/>
      </c>
      <c r="L69" s="136" t="str">
        <f>'Закупка'!U69</f>
        <v/>
      </c>
      <c r="M69" s="137" t="str">
        <f>'Закупка'!V69</f>
        <v/>
      </c>
    </row>
    <row r="70" ht="45.0" customHeight="1">
      <c r="A70" s="126" t="str">
        <f>'Закупка'!A70</f>
        <v/>
      </c>
      <c r="B70" s="127" t="str">
        <f>'Закупка'!B70</f>
        <v/>
      </c>
      <c r="C70" s="128" t="str">
        <f>'Закупка'!R70</f>
        <v/>
      </c>
      <c r="D70" s="129" t="str">
        <f t="array" ref="D70">INDEX('Закупка'!G70:K70, $A$2)</f>
        <v/>
      </c>
      <c r="E70" s="130" t="str">
        <f>'Закупка'!F70</f>
        <v/>
      </c>
      <c r="F70" s="131" t="str">
        <f t="shared" si="1"/>
        <v/>
      </c>
      <c r="G70" s="132"/>
      <c r="H70" s="133"/>
      <c r="I70" s="134"/>
      <c r="J70" s="131"/>
      <c r="K70" s="135" t="str">
        <f>'Закупка'!T70</f>
        <v/>
      </c>
      <c r="L70" s="136" t="str">
        <f>'Закупка'!U70</f>
        <v/>
      </c>
      <c r="M70" s="137" t="str">
        <f>'Закупка'!V70</f>
        <v/>
      </c>
    </row>
    <row r="71" ht="45.0" customHeight="1">
      <c r="A71" s="126" t="str">
        <f>'Закупка'!A71</f>
        <v/>
      </c>
      <c r="B71" s="127" t="str">
        <f>'Закупка'!B71</f>
        <v/>
      </c>
      <c r="C71" s="128" t="str">
        <f>'Закупка'!R71</f>
        <v/>
      </c>
      <c r="D71" s="129" t="str">
        <f t="array" ref="D71">INDEX('Закупка'!G71:K71, $A$2)</f>
        <v/>
      </c>
      <c r="E71" s="130" t="str">
        <f>'Закупка'!F71</f>
        <v/>
      </c>
      <c r="F71" s="131" t="str">
        <f t="shared" si="1"/>
        <v/>
      </c>
      <c r="G71" s="132"/>
      <c r="H71" s="133"/>
      <c r="I71" s="134"/>
      <c r="J71" s="131"/>
      <c r="K71" s="135" t="str">
        <f>'Закупка'!T71</f>
        <v/>
      </c>
      <c r="L71" s="136" t="str">
        <f>'Закупка'!U71</f>
        <v/>
      </c>
      <c r="M71" s="137" t="str">
        <f>'Закупка'!V71</f>
        <v/>
      </c>
    </row>
    <row r="72" ht="45.0" customHeight="1">
      <c r="A72" s="126" t="str">
        <f>'Закупка'!A72</f>
        <v/>
      </c>
      <c r="B72" s="127" t="str">
        <f>'Закупка'!B72</f>
        <v/>
      </c>
      <c r="C72" s="128" t="str">
        <f>'Закупка'!R72</f>
        <v/>
      </c>
      <c r="D72" s="129" t="str">
        <f t="array" ref="D72">INDEX('Закупка'!G72:K72, $A$2)</f>
        <v/>
      </c>
      <c r="E72" s="130" t="str">
        <f>'Закупка'!F72</f>
        <v/>
      </c>
      <c r="F72" s="131" t="str">
        <f t="shared" si="1"/>
        <v/>
      </c>
      <c r="G72" s="132"/>
      <c r="H72" s="133"/>
      <c r="I72" s="134"/>
      <c r="J72" s="131"/>
      <c r="K72" s="135" t="str">
        <f>'Закупка'!T72</f>
        <v/>
      </c>
      <c r="L72" s="136" t="str">
        <f>'Закупка'!U72</f>
        <v/>
      </c>
      <c r="M72" s="137" t="str">
        <f>'Закупка'!V72</f>
        <v/>
      </c>
    </row>
    <row r="73" ht="45.0" customHeight="1">
      <c r="A73" s="126" t="str">
        <f>'Закупка'!A73</f>
        <v/>
      </c>
      <c r="B73" s="127" t="str">
        <f>'Закупка'!B73</f>
        <v/>
      </c>
      <c r="C73" s="128" t="str">
        <f>'Закупка'!R73</f>
        <v/>
      </c>
      <c r="D73" s="129" t="str">
        <f t="array" ref="D73">INDEX('Закупка'!G73:K73, $A$2)</f>
        <v/>
      </c>
      <c r="E73" s="130" t="str">
        <f>'Закупка'!F73</f>
        <v/>
      </c>
      <c r="F73" s="131" t="str">
        <f t="shared" si="1"/>
        <v/>
      </c>
      <c r="G73" s="132"/>
      <c r="H73" s="133"/>
      <c r="I73" s="134"/>
      <c r="J73" s="131"/>
      <c r="K73" s="135" t="str">
        <f>'Закупка'!T73</f>
        <v/>
      </c>
      <c r="L73" s="136" t="str">
        <f>'Закупка'!U73</f>
        <v/>
      </c>
      <c r="M73" s="137" t="str">
        <f>'Закупка'!V73</f>
        <v/>
      </c>
    </row>
    <row r="74" ht="45.0" customHeight="1">
      <c r="A74" s="126" t="str">
        <f>'Закупка'!A74</f>
        <v/>
      </c>
      <c r="B74" s="127" t="str">
        <f>'Закупка'!B74</f>
        <v/>
      </c>
      <c r="C74" s="128" t="str">
        <f>'Закупка'!R74</f>
        <v/>
      </c>
      <c r="D74" s="129" t="str">
        <f t="array" ref="D74">INDEX('Закупка'!G74:K74, $A$2)</f>
        <v/>
      </c>
      <c r="E74" s="130" t="str">
        <f>'Закупка'!F74</f>
        <v/>
      </c>
      <c r="F74" s="131" t="str">
        <f t="shared" si="1"/>
        <v/>
      </c>
      <c r="G74" s="132"/>
      <c r="H74" s="133"/>
      <c r="I74" s="134"/>
      <c r="J74" s="131"/>
      <c r="K74" s="135" t="str">
        <f>'Закупка'!T74</f>
        <v/>
      </c>
      <c r="L74" s="136" t="str">
        <f>'Закупка'!U74</f>
        <v/>
      </c>
      <c r="M74" s="137" t="str">
        <f>'Закупка'!V74</f>
        <v/>
      </c>
    </row>
    <row r="75" ht="45.0" customHeight="1">
      <c r="A75" s="126" t="str">
        <f>'Закупка'!A75</f>
        <v/>
      </c>
      <c r="B75" s="127" t="str">
        <f>'Закупка'!B75</f>
        <v/>
      </c>
      <c r="C75" s="128" t="str">
        <f>'Закупка'!R75</f>
        <v/>
      </c>
      <c r="D75" s="129" t="str">
        <f t="array" ref="D75">INDEX('Закупка'!G75:K75, $A$2)</f>
        <v/>
      </c>
      <c r="E75" s="130" t="str">
        <f>'Закупка'!F75</f>
        <v/>
      </c>
      <c r="F75" s="131" t="str">
        <f t="shared" si="1"/>
        <v/>
      </c>
      <c r="G75" s="132"/>
      <c r="H75" s="133"/>
      <c r="I75" s="134"/>
      <c r="J75" s="131"/>
      <c r="K75" s="135" t="str">
        <f>'Закупка'!T75</f>
        <v/>
      </c>
      <c r="L75" s="136" t="str">
        <f>'Закупка'!U75</f>
        <v/>
      </c>
      <c r="M75" s="137" t="str">
        <f>'Закупка'!V75</f>
        <v/>
      </c>
    </row>
    <row r="76" ht="45.0" customHeight="1">
      <c r="A76" s="126" t="str">
        <f>'Закупка'!A76</f>
        <v/>
      </c>
      <c r="B76" s="127" t="str">
        <f>'Закупка'!B76</f>
        <v/>
      </c>
      <c r="C76" s="128" t="str">
        <f>'Закупка'!R76</f>
        <v/>
      </c>
      <c r="D76" s="129" t="str">
        <f t="array" ref="D76">INDEX('Закупка'!G76:K76, $A$2)</f>
        <v/>
      </c>
      <c r="E76" s="130" t="str">
        <f>'Закупка'!F76</f>
        <v/>
      </c>
      <c r="F76" s="131" t="str">
        <f t="shared" si="1"/>
        <v/>
      </c>
      <c r="G76" s="132"/>
      <c r="H76" s="133"/>
      <c r="I76" s="134"/>
      <c r="J76" s="131"/>
      <c r="K76" s="135" t="str">
        <f>'Закупка'!T76</f>
        <v/>
      </c>
      <c r="L76" s="136" t="str">
        <f>'Закупка'!U76</f>
        <v/>
      </c>
      <c r="M76" s="137" t="str">
        <f>'Закупка'!V76</f>
        <v/>
      </c>
    </row>
    <row r="77" ht="45.0" customHeight="1">
      <c r="A77" s="126" t="str">
        <f>'Закупка'!A77</f>
        <v/>
      </c>
      <c r="B77" s="127" t="str">
        <f>'Закупка'!B77</f>
        <v/>
      </c>
      <c r="C77" s="128" t="str">
        <f>'Закупка'!R77</f>
        <v/>
      </c>
      <c r="D77" s="129" t="str">
        <f t="array" ref="D77">INDEX('Закупка'!G77:K77, $A$2)</f>
        <v/>
      </c>
      <c r="E77" s="130" t="str">
        <f>'Закупка'!F77</f>
        <v/>
      </c>
      <c r="F77" s="131" t="str">
        <f t="shared" si="1"/>
        <v/>
      </c>
      <c r="G77" s="132"/>
      <c r="H77" s="133"/>
      <c r="I77" s="134"/>
      <c r="J77" s="131"/>
      <c r="K77" s="135" t="str">
        <f>'Закупка'!T77</f>
        <v/>
      </c>
      <c r="L77" s="136" t="str">
        <f>'Закупка'!U77</f>
        <v/>
      </c>
      <c r="M77" s="137" t="str">
        <f>'Закупка'!V77</f>
        <v/>
      </c>
    </row>
    <row r="78" ht="45.0" customHeight="1">
      <c r="A78" s="126" t="str">
        <f>'Закупка'!A78</f>
        <v/>
      </c>
      <c r="B78" s="127" t="str">
        <f>'Закупка'!B78</f>
        <v/>
      </c>
      <c r="C78" s="128" t="str">
        <f>'Закупка'!R78</f>
        <v/>
      </c>
      <c r="D78" s="129" t="str">
        <f t="array" ref="D78">INDEX('Закупка'!G78:K78, $A$2)</f>
        <v/>
      </c>
      <c r="E78" s="130" t="str">
        <f>'Закупка'!F78</f>
        <v/>
      </c>
      <c r="F78" s="131" t="str">
        <f t="shared" si="1"/>
        <v/>
      </c>
      <c r="G78" s="132"/>
      <c r="H78" s="133"/>
      <c r="I78" s="134"/>
      <c r="J78" s="131"/>
      <c r="K78" s="135" t="str">
        <f>'Закупка'!T78</f>
        <v/>
      </c>
      <c r="L78" s="136" t="str">
        <f>'Закупка'!U78</f>
        <v/>
      </c>
      <c r="M78" s="137" t="str">
        <f>'Закупка'!V78</f>
        <v/>
      </c>
    </row>
    <row r="79" ht="45.0" customHeight="1">
      <c r="A79" s="126" t="str">
        <f>'Закупка'!A79</f>
        <v/>
      </c>
      <c r="B79" s="127" t="str">
        <f>'Закупка'!B79</f>
        <v/>
      </c>
      <c r="C79" s="128" t="str">
        <f>'Закупка'!R79</f>
        <v/>
      </c>
      <c r="D79" s="129" t="str">
        <f t="array" ref="D79">INDEX('Закупка'!G79:K79, $A$2)</f>
        <v/>
      </c>
      <c r="E79" s="130" t="str">
        <f>'Закупка'!F79</f>
        <v/>
      </c>
      <c r="F79" s="131" t="str">
        <f t="shared" si="1"/>
        <v/>
      </c>
      <c r="G79" s="132"/>
      <c r="H79" s="133"/>
      <c r="I79" s="134"/>
      <c r="J79" s="131"/>
      <c r="K79" s="135" t="str">
        <f>'Закупка'!T79</f>
        <v/>
      </c>
      <c r="L79" s="136" t="str">
        <f>'Закупка'!U79</f>
        <v/>
      </c>
      <c r="M79" s="137" t="str">
        <f>'Закупка'!V79</f>
        <v/>
      </c>
    </row>
    <row r="80" ht="45.0" customHeight="1">
      <c r="A80" s="126" t="str">
        <f>'Закупка'!A80</f>
        <v/>
      </c>
      <c r="B80" s="127" t="str">
        <f>'Закупка'!B80</f>
        <v/>
      </c>
      <c r="C80" s="128" t="str">
        <f>'Закупка'!R80</f>
        <v/>
      </c>
      <c r="D80" s="129" t="str">
        <f t="array" ref="D80">INDEX('Закупка'!G80:K80, $A$2)</f>
        <v/>
      </c>
      <c r="E80" s="130" t="str">
        <f>'Закупка'!F80</f>
        <v/>
      </c>
      <c r="F80" s="131" t="str">
        <f t="shared" si="1"/>
        <v/>
      </c>
      <c r="G80" s="132"/>
      <c r="H80" s="133"/>
      <c r="I80" s="134"/>
      <c r="J80" s="131"/>
      <c r="K80" s="135" t="str">
        <f>'Закупка'!T80</f>
        <v/>
      </c>
      <c r="L80" s="136" t="str">
        <f>'Закупка'!U80</f>
        <v/>
      </c>
      <c r="M80" s="137" t="str">
        <f>'Закупка'!V80</f>
        <v/>
      </c>
    </row>
    <row r="81" ht="45.0" customHeight="1">
      <c r="A81" s="126" t="str">
        <f>'Закупка'!A81</f>
        <v/>
      </c>
      <c r="B81" s="127" t="str">
        <f>'Закупка'!B81</f>
        <v/>
      </c>
      <c r="C81" s="128" t="str">
        <f>'Закупка'!R81</f>
        <v/>
      </c>
      <c r="D81" s="129" t="str">
        <f t="array" ref="D81">INDEX('Закупка'!G81:K81, $A$2)</f>
        <v/>
      </c>
      <c r="E81" s="130" t="str">
        <f>'Закупка'!F81</f>
        <v/>
      </c>
      <c r="F81" s="131" t="str">
        <f t="shared" si="1"/>
        <v/>
      </c>
      <c r="G81" s="132"/>
      <c r="H81" s="133"/>
      <c r="I81" s="134"/>
      <c r="J81" s="131"/>
      <c r="K81" s="135" t="str">
        <f>'Закупка'!T81</f>
        <v/>
      </c>
      <c r="L81" s="136" t="str">
        <f>'Закупка'!U81</f>
        <v/>
      </c>
      <c r="M81" s="137" t="str">
        <f>'Закупка'!V81</f>
        <v/>
      </c>
    </row>
    <row r="82" ht="45.0" customHeight="1">
      <c r="A82" s="126" t="str">
        <f>'Закупка'!A82</f>
        <v/>
      </c>
      <c r="B82" s="127" t="str">
        <f>'Закупка'!B82</f>
        <v/>
      </c>
      <c r="C82" s="128" t="str">
        <f>'Закупка'!R82</f>
        <v/>
      </c>
      <c r="D82" s="129" t="str">
        <f t="array" ref="D82">INDEX('Закупка'!G82:K82, $A$2)</f>
        <v/>
      </c>
      <c r="E82" s="130" t="str">
        <f>'Закупка'!F82</f>
        <v/>
      </c>
      <c r="F82" s="131" t="str">
        <f t="shared" si="1"/>
        <v/>
      </c>
      <c r="G82" s="132"/>
      <c r="H82" s="133"/>
      <c r="I82" s="134"/>
      <c r="J82" s="131"/>
      <c r="K82" s="135" t="str">
        <f>'Закупка'!T82</f>
        <v/>
      </c>
      <c r="L82" s="136" t="str">
        <f>'Закупка'!U82</f>
        <v/>
      </c>
      <c r="M82" s="137" t="str">
        <f>'Закупка'!V82</f>
        <v/>
      </c>
    </row>
    <row r="83" ht="45.0" customHeight="1">
      <c r="A83" s="126" t="str">
        <f>'Закупка'!A83</f>
        <v/>
      </c>
      <c r="B83" s="127" t="str">
        <f>'Закупка'!B83</f>
        <v/>
      </c>
      <c r="C83" s="128" t="str">
        <f>'Закупка'!R83</f>
        <v/>
      </c>
      <c r="D83" s="129" t="str">
        <f t="array" ref="D83">INDEX('Закупка'!G83:K83, $A$2)</f>
        <v/>
      </c>
      <c r="E83" s="130" t="str">
        <f>'Закупка'!F83</f>
        <v/>
      </c>
      <c r="F83" s="131" t="str">
        <f t="shared" si="1"/>
        <v/>
      </c>
      <c r="G83" s="132"/>
      <c r="H83" s="133"/>
      <c r="I83" s="134"/>
      <c r="J83" s="131"/>
      <c r="K83" s="135" t="str">
        <f>'Закупка'!T83</f>
        <v/>
      </c>
      <c r="L83" s="136" t="str">
        <f>'Закупка'!U83</f>
        <v/>
      </c>
      <c r="M83" s="137" t="str">
        <f>'Закупка'!V83</f>
        <v/>
      </c>
    </row>
    <row r="84" ht="45.0" customHeight="1">
      <c r="A84" s="126" t="str">
        <f>'Закупка'!A84</f>
        <v/>
      </c>
      <c r="B84" s="127" t="str">
        <f>'Закупка'!B84</f>
        <v/>
      </c>
      <c r="C84" s="128" t="str">
        <f>'Закупка'!R84</f>
        <v/>
      </c>
      <c r="D84" s="129" t="str">
        <f t="array" ref="D84">INDEX('Закупка'!G84:K84, $A$2)</f>
        <v/>
      </c>
      <c r="E84" s="130" t="str">
        <f>'Закупка'!F84</f>
        <v/>
      </c>
      <c r="F84" s="131" t="str">
        <f t="shared" si="1"/>
        <v/>
      </c>
      <c r="G84" s="132"/>
      <c r="H84" s="133"/>
      <c r="I84" s="134"/>
      <c r="J84" s="131"/>
      <c r="K84" s="135" t="str">
        <f>'Закупка'!T84</f>
        <v/>
      </c>
      <c r="L84" s="136" t="str">
        <f>'Закупка'!U84</f>
        <v/>
      </c>
      <c r="M84" s="137" t="str">
        <f>'Закупка'!V84</f>
        <v/>
      </c>
    </row>
    <row r="85" ht="45.0" customHeight="1">
      <c r="A85" s="126" t="str">
        <f>'Закупка'!A85</f>
        <v/>
      </c>
      <c r="B85" s="127" t="str">
        <f>'Закупка'!B85</f>
        <v/>
      </c>
      <c r="C85" s="128" t="str">
        <f>'Закупка'!R85</f>
        <v/>
      </c>
      <c r="D85" s="129" t="str">
        <f t="array" ref="D85">INDEX('Закупка'!G85:K85, $A$2)</f>
        <v/>
      </c>
      <c r="E85" s="130" t="str">
        <f>'Закупка'!F85</f>
        <v/>
      </c>
      <c r="F85" s="131" t="str">
        <f t="shared" si="1"/>
        <v/>
      </c>
      <c r="G85" s="132"/>
      <c r="H85" s="133"/>
      <c r="I85" s="134"/>
      <c r="J85" s="131"/>
      <c r="K85" s="135" t="str">
        <f>'Закупка'!T85</f>
        <v/>
      </c>
      <c r="L85" s="136" t="str">
        <f>'Закупка'!U85</f>
        <v/>
      </c>
      <c r="M85" s="137" t="str">
        <f>'Закупка'!V85</f>
        <v/>
      </c>
    </row>
    <row r="86" ht="45.0" customHeight="1">
      <c r="A86" s="126" t="str">
        <f>'Закупка'!A86</f>
        <v/>
      </c>
      <c r="B86" s="127" t="str">
        <f>'Закупка'!B86</f>
        <v/>
      </c>
      <c r="C86" s="128" t="str">
        <f>'Закупка'!R86</f>
        <v/>
      </c>
      <c r="D86" s="129" t="str">
        <f t="array" ref="D86">INDEX('Закупка'!G86:K86, $A$2)</f>
        <v/>
      </c>
      <c r="E86" s="130" t="str">
        <f>'Закупка'!F86</f>
        <v/>
      </c>
      <c r="F86" s="131" t="str">
        <f t="shared" si="1"/>
        <v/>
      </c>
      <c r="G86" s="132"/>
      <c r="H86" s="133"/>
      <c r="I86" s="134"/>
      <c r="J86" s="131"/>
      <c r="K86" s="135" t="str">
        <f>'Закупка'!T86</f>
        <v/>
      </c>
      <c r="L86" s="136" t="str">
        <f>'Закупка'!U86</f>
        <v/>
      </c>
      <c r="M86" s="137" t="str">
        <f>'Закупка'!V86</f>
        <v/>
      </c>
    </row>
    <row r="87" ht="45.0" customHeight="1">
      <c r="A87" s="126" t="str">
        <f>'Закупка'!A87</f>
        <v/>
      </c>
      <c r="B87" s="127" t="str">
        <f>'Закупка'!B87</f>
        <v/>
      </c>
      <c r="C87" s="128" t="str">
        <f>'Закупка'!R87</f>
        <v/>
      </c>
      <c r="D87" s="129" t="str">
        <f t="array" ref="D87">INDEX('Закупка'!G87:K87, $A$2)</f>
        <v/>
      </c>
      <c r="E87" s="130" t="str">
        <f>'Закупка'!F87</f>
        <v/>
      </c>
      <c r="F87" s="131" t="str">
        <f t="shared" si="1"/>
        <v/>
      </c>
      <c r="G87" s="132"/>
      <c r="H87" s="133"/>
      <c r="I87" s="134"/>
      <c r="J87" s="131"/>
      <c r="K87" s="135" t="str">
        <f>'Закупка'!T87</f>
        <v/>
      </c>
      <c r="L87" s="136" t="str">
        <f>'Закупка'!U87</f>
        <v/>
      </c>
      <c r="M87" s="137" t="str">
        <f>'Закупка'!V87</f>
        <v/>
      </c>
    </row>
    <row r="88" ht="45.0" customHeight="1">
      <c r="A88" s="126" t="str">
        <f>'Закупка'!A88</f>
        <v/>
      </c>
      <c r="B88" s="127" t="str">
        <f>'Закупка'!B88</f>
        <v/>
      </c>
      <c r="C88" s="128" t="str">
        <f>'Закупка'!R88</f>
        <v/>
      </c>
      <c r="D88" s="129" t="str">
        <f t="array" ref="D88">INDEX('Закупка'!G88:K88, $A$2)</f>
        <v/>
      </c>
      <c r="E88" s="130" t="str">
        <f>'Закупка'!F88</f>
        <v/>
      </c>
      <c r="F88" s="131" t="str">
        <f t="shared" si="1"/>
        <v/>
      </c>
      <c r="G88" s="132"/>
      <c r="H88" s="133"/>
      <c r="I88" s="134"/>
      <c r="J88" s="131"/>
      <c r="K88" s="135" t="str">
        <f>'Закупка'!T88</f>
        <v/>
      </c>
      <c r="L88" s="136" t="str">
        <f>'Закупка'!U88</f>
        <v/>
      </c>
      <c r="M88" s="137" t="str">
        <f>'Закупка'!V88</f>
        <v/>
      </c>
    </row>
    <row r="89" ht="45.0" customHeight="1">
      <c r="A89" s="126" t="str">
        <f>'Закупка'!A89</f>
        <v/>
      </c>
      <c r="B89" s="127" t="str">
        <f>'Закупка'!B89</f>
        <v/>
      </c>
      <c r="C89" s="128" t="str">
        <f>'Закупка'!R89</f>
        <v/>
      </c>
      <c r="D89" s="129" t="str">
        <f t="array" ref="D89">INDEX('Закупка'!G89:K89, $A$2)</f>
        <v/>
      </c>
      <c r="E89" s="130" t="str">
        <f>'Закупка'!F89</f>
        <v/>
      </c>
      <c r="F89" s="131" t="str">
        <f t="shared" si="1"/>
        <v/>
      </c>
      <c r="G89" s="132"/>
      <c r="H89" s="133"/>
      <c r="I89" s="134"/>
      <c r="J89" s="131"/>
      <c r="K89" s="135" t="str">
        <f>'Закупка'!T89</f>
        <v/>
      </c>
      <c r="L89" s="136" t="str">
        <f>'Закупка'!U89</f>
        <v/>
      </c>
      <c r="M89" s="137" t="str">
        <f>'Закупка'!V89</f>
        <v/>
      </c>
    </row>
    <row r="90" ht="45.0" customHeight="1">
      <c r="A90" s="126" t="str">
        <f>'Закупка'!A90</f>
        <v/>
      </c>
      <c r="B90" s="127" t="str">
        <f>'Закупка'!B90</f>
        <v/>
      </c>
      <c r="C90" s="128" t="str">
        <f>'Закупка'!R90</f>
        <v/>
      </c>
      <c r="D90" s="129" t="str">
        <f t="array" ref="D90">INDEX('Закупка'!G90:K90, $A$2)</f>
        <v/>
      </c>
      <c r="E90" s="130" t="str">
        <f>'Закупка'!F90</f>
        <v/>
      </c>
      <c r="F90" s="131" t="str">
        <f t="shared" si="1"/>
        <v/>
      </c>
      <c r="G90" s="132"/>
      <c r="H90" s="133"/>
      <c r="I90" s="134"/>
      <c r="J90" s="131"/>
      <c r="K90" s="135" t="str">
        <f>'Закупка'!T90</f>
        <v/>
      </c>
      <c r="L90" s="136" t="str">
        <f>'Закупка'!U90</f>
        <v/>
      </c>
      <c r="M90" s="137" t="str">
        <f>'Закупка'!V90</f>
        <v/>
      </c>
    </row>
    <row r="91" ht="45.0" customHeight="1">
      <c r="A91" s="126" t="str">
        <f>'Закупка'!A91</f>
        <v/>
      </c>
      <c r="B91" s="127" t="str">
        <f>'Закупка'!B91</f>
        <v/>
      </c>
      <c r="C91" s="128" t="str">
        <f>'Закупка'!R91</f>
        <v/>
      </c>
      <c r="D91" s="129" t="str">
        <f t="array" ref="D91">INDEX('Закупка'!G91:K91, $A$2)</f>
        <v/>
      </c>
      <c r="E91" s="130" t="str">
        <f>'Закупка'!F91</f>
        <v/>
      </c>
      <c r="F91" s="131" t="str">
        <f t="shared" si="1"/>
        <v/>
      </c>
      <c r="G91" s="132"/>
      <c r="H91" s="133"/>
      <c r="I91" s="134"/>
      <c r="J91" s="131"/>
      <c r="K91" s="135" t="str">
        <f>'Закупка'!T91</f>
        <v/>
      </c>
      <c r="L91" s="136" t="str">
        <f>'Закупка'!U91</f>
        <v/>
      </c>
      <c r="M91" s="137" t="str">
        <f>'Закупка'!V91</f>
        <v/>
      </c>
    </row>
    <row r="92" ht="45.0" customHeight="1">
      <c r="A92" s="126" t="str">
        <f>'Закупка'!A92</f>
        <v/>
      </c>
      <c r="B92" s="127" t="str">
        <f>'Закупка'!B92</f>
        <v/>
      </c>
      <c r="C92" s="128" t="str">
        <f>'Закупка'!R92</f>
        <v/>
      </c>
      <c r="D92" s="129" t="str">
        <f t="array" ref="D92">INDEX('Закупка'!G92:K92, $A$2)</f>
        <v/>
      </c>
      <c r="E92" s="130" t="str">
        <f>'Закупка'!F92</f>
        <v/>
      </c>
      <c r="F92" s="131" t="str">
        <f t="shared" si="1"/>
        <v/>
      </c>
      <c r="G92" s="132"/>
      <c r="H92" s="133"/>
      <c r="I92" s="134"/>
      <c r="J92" s="131"/>
      <c r="K92" s="135" t="str">
        <f>'Закупка'!T92</f>
        <v/>
      </c>
      <c r="L92" s="136" t="str">
        <f>'Закупка'!U92</f>
        <v/>
      </c>
      <c r="M92" s="137" t="str">
        <f>'Закупка'!V92</f>
        <v/>
      </c>
    </row>
    <row r="93" ht="45.0" customHeight="1">
      <c r="A93" s="126" t="str">
        <f>'Закупка'!A93</f>
        <v/>
      </c>
      <c r="B93" s="127" t="str">
        <f>'Закупка'!B93</f>
        <v/>
      </c>
      <c r="C93" s="128" t="str">
        <f>'Закупка'!R93</f>
        <v/>
      </c>
      <c r="D93" s="129" t="str">
        <f t="array" ref="D93">INDEX('Закупка'!G93:K93, $A$2)</f>
        <v/>
      </c>
      <c r="E93" s="130" t="str">
        <f>'Закупка'!F93</f>
        <v/>
      </c>
      <c r="F93" s="131" t="str">
        <f t="shared" si="1"/>
        <v/>
      </c>
      <c r="G93" s="132"/>
      <c r="H93" s="133"/>
      <c r="I93" s="134"/>
      <c r="J93" s="131"/>
      <c r="K93" s="135" t="str">
        <f>'Закупка'!T93</f>
        <v/>
      </c>
      <c r="L93" s="136" t="str">
        <f>'Закупка'!U93</f>
        <v/>
      </c>
      <c r="M93" s="137" t="str">
        <f>'Закупка'!V93</f>
        <v/>
      </c>
    </row>
    <row r="94" ht="45.0" customHeight="1">
      <c r="A94" s="126" t="str">
        <f>'Закупка'!A94</f>
        <v/>
      </c>
      <c r="B94" s="127" t="str">
        <f>'Закупка'!B94</f>
        <v/>
      </c>
      <c r="C94" s="128" t="str">
        <f>'Закупка'!R94</f>
        <v/>
      </c>
      <c r="D94" s="129" t="str">
        <f t="array" ref="D94">INDEX('Закупка'!G94:K94, $A$2)</f>
        <v/>
      </c>
      <c r="E94" s="130" t="str">
        <f>'Закупка'!F94</f>
        <v/>
      </c>
      <c r="F94" s="131" t="str">
        <f t="shared" si="1"/>
        <v/>
      </c>
      <c r="G94" s="132"/>
      <c r="H94" s="133"/>
      <c r="I94" s="134"/>
      <c r="J94" s="131"/>
      <c r="K94" s="135" t="str">
        <f>'Закупка'!T94</f>
        <v/>
      </c>
      <c r="L94" s="136" t="str">
        <f>'Закупка'!U94</f>
        <v/>
      </c>
      <c r="M94" s="137" t="str">
        <f>'Закупка'!V94</f>
        <v/>
      </c>
    </row>
    <row r="95" ht="45.0" customHeight="1">
      <c r="A95" s="126" t="str">
        <f>'Закупка'!A95</f>
        <v/>
      </c>
      <c r="B95" s="127" t="str">
        <f>'Закупка'!B95</f>
        <v/>
      </c>
      <c r="C95" s="128" t="str">
        <f>'Закупка'!R95</f>
        <v/>
      </c>
      <c r="D95" s="129" t="str">
        <f t="array" ref="D95">INDEX('Закупка'!G95:K95, $A$2)</f>
        <v/>
      </c>
      <c r="E95" s="130" t="str">
        <f>'Закупка'!F95</f>
        <v/>
      </c>
      <c r="F95" s="131" t="str">
        <f t="shared" si="1"/>
        <v/>
      </c>
      <c r="G95" s="132"/>
      <c r="H95" s="133"/>
      <c r="I95" s="134"/>
      <c r="J95" s="131"/>
      <c r="K95" s="135" t="str">
        <f>'Закупка'!T95</f>
        <v/>
      </c>
      <c r="L95" s="136" t="str">
        <f>'Закупка'!U95</f>
        <v/>
      </c>
      <c r="M95" s="137" t="str">
        <f>'Закупка'!V95</f>
        <v/>
      </c>
    </row>
    <row r="96" ht="45.0" customHeight="1">
      <c r="A96" s="126" t="str">
        <f>'Закупка'!A96</f>
        <v/>
      </c>
      <c r="B96" s="127" t="str">
        <f>'Закупка'!B96</f>
        <v/>
      </c>
      <c r="C96" s="128" t="str">
        <f>'Закупка'!R96</f>
        <v/>
      </c>
      <c r="D96" s="129" t="str">
        <f t="array" ref="D96">INDEX('Закупка'!G96:K96, $A$2)</f>
        <v/>
      </c>
      <c r="E96" s="130" t="str">
        <f>'Закупка'!F96</f>
        <v/>
      </c>
      <c r="F96" s="131" t="str">
        <f t="shared" si="1"/>
        <v/>
      </c>
      <c r="G96" s="132"/>
      <c r="H96" s="133"/>
      <c r="I96" s="134"/>
      <c r="J96" s="131"/>
      <c r="K96" s="135" t="str">
        <f>'Закупка'!T96</f>
        <v/>
      </c>
      <c r="L96" s="136" t="str">
        <f>'Закупка'!U96</f>
        <v/>
      </c>
      <c r="M96" s="137" t="str">
        <f>'Закупка'!V96</f>
        <v/>
      </c>
    </row>
    <row r="97" ht="45.0" customHeight="1">
      <c r="A97" s="126" t="str">
        <f>'Закупка'!A97</f>
        <v/>
      </c>
      <c r="B97" s="127" t="str">
        <f>'Закупка'!B97</f>
        <v/>
      </c>
      <c r="C97" s="128" t="str">
        <f>'Закупка'!R97</f>
        <v/>
      </c>
      <c r="D97" s="129" t="str">
        <f t="array" ref="D97">INDEX('Закупка'!G97:K97, $A$2)</f>
        <v/>
      </c>
      <c r="E97" s="130" t="str">
        <f>'Закупка'!F97</f>
        <v/>
      </c>
      <c r="F97" s="131" t="str">
        <f t="shared" si="1"/>
        <v/>
      </c>
      <c r="G97" s="132"/>
      <c r="H97" s="133"/>
      <c r="I97" s="134"/>
      <c r="J97" s="131"/>
      <c r="K97" s="135" t="str">
        <f>'Закупка'!T97</f>
        <v/>
      </c>
      <c r="L97" s="136" t="str">
        <f>'Закупка'!U97</f>
        <v/>
      </c>
      <c r="M97" s="137" t="str">
        <f>'Закупка'!V97</f>
        <v/>
      </c>
    </row>
    <row r="98" ht="45.0" customHeight="1">
      <c r="A98" s="126" t="str">
        <f>'Закупка'!A98</f>
        <v/>
      </c>
      <c r="B98" s="127" t="str">
        <f>'Закупка'!B98</f>
        <v/>
      </c>
      <c r="C98" s="128" t="str">
        <f>'Закупка'!R98</f>
        <v/>
      </c>
      <c r="D98" s="129" t="str">
        <f t="array" ref="D98">INDEX('Закупка'!G98:K98, $A$2)</f>
        <v/>
      </c>
      <c r="E98" s="130" t="str">
        <f>'Закупка'!F98</f>
        <v/>
      </c>
      <c r="F98" s="131" t="str">
        <f t="shared" si="1"/>
        <v/>
      </c>
      <c r="G98" s="132"/>
      <c r="H98" s="133"/>
      <c r="I98" s="134"/>
      <c r="J98" s="131" t="str">
        <f t="shared" ref="J98:J199" si="2">IF(H98&lt;&gt;"", H98-F98,)</f>
        <v/>
      </c>
      <c r="K98" s="135" t="str">
        <f>'Закупка'!T98</f>
        <v/>
      </c>
      <c r="L98" s="136" t="str">
        <f>'Закупка'!U98</f>
        <v/>
      </c>
      <c r="M98" s="137" t="str">
        <f>'Закупка'!V98</f>
        <v/>
      </c>
    </row>
    <row r="99" ht="45.0" customHeight="1">
      <c r="A99" s="126" t="str">
        <f>'Закупка'!A99</f>
        <v/>
      </c>
      <c r="B99" s="127" t="str">
        <f>'Закупка'!B99</f>
        <v/>
      </c>
      <c r="C99" s="128" t="str">
        <f>'Закупка'!R99</f>
        <v/>
      </c>
      <c r="D99" s="129" t="str">
        <f t="array" ref="D99">INDEX('Закупка'!G99:K99, $A$2)</f>
        <v/>
      </c>
      <c r="E99" s="130" t="str">
        <f>'Закупка'!F99</f>
        <v/>
      </c>
      <c r="F99" s="131" t="str">
        <f t="shared" si="1"/>
        <v/>
      </c>
      <c r="G99" s="132"/>
      <c r="H99" s="133"/>
      <c r="I99" s="134"/>
      <c r="J99" s="131" t="str">
        <f t="shared" si="2"/>
        <v/>
      </c>
      <c r="K99" s="135" t="str">
        <f>'Закупка'!T99</f>
        <v/>
      </c>
      <c r="L99" s="136" t="str">
        <f>'Закупка'!U99</f>
        <v/>
      </c>
      <c r="M99" s="137" t="str">
        <f>'Закупка'!V99</f>
        <v/>
      </c>
    </row>
    <row r="100" ht="45.0" customHeight="1">
      <c r="A100" s="126" t="str">
        <f>'Закупка'!A100</f>
        <v/>
      </c>
      <c r="B100" s="127" t="str">
        <f>'Закупка'!B100</f>
        <v/>
      </c>
      <c r="C100" s="128" t="str">
        <f>'Закупка'!R100</f>
        <v/>
      </c>
      <c r="D100" s="129" t="str">
        <f t="array" ref="D100">INDEX('Закупка'!G100:K100, $A$2)</f>
        <v/>
      </c>
      <c r="E100" s="130" t="str">
        <f>'Закупка'!F100</f>
        <v/>
      </c>
      <c r="F100" s="131" t="str">
        <f t="shared" si="1"/>
        <v/>
      </c>
      <c r="G100" s="132"/>
      <c r="H100" s="133"/>
      <c r="I100" s="134"/>
      <c r="J100" s="131" t="str">
        <f t="shared" si="2"/>
        <v/>
      </c>
      <c r="K100" s="135" t="str">
        <f>'Закупка'!T100</f>
        <v/>
      </c>
      <c r="L100" s="136" t="str">
        <f>'Закупка'!U100</f>
        <v/>
      </c>
      <c r="M100" s="137" t="str">
        <f>'Закупка'!V100</f>
        <v/>
      </c>
    </row>
    <row r="101" ht="45.0" customHeight="1">
      <c r="A101" s="126" t="str">
        <f>'Закупка'!A101</f>
        <v/>
      </c>
      <c r="B101" s="127" t="str">
        <f>'Закупка'!B101</f>
        <v/>
      </c>
      <c r="C101" s="128" t="str">
        <f>'Закупка'!R101</f>
        <v/>
      </c>
      <c r="D101" s="129" t="str">
        <f t="array" ref="D101">INDEX('Закупка'!G101:K101, $A$2)</f>
        <v/>
      </c>
      <c r="E101" s="130" t="str">
        <f>'Закупка'!F101</f>
        <v/>
      </c>
      <c r="F101" s="131" t="str">
        <f t="shared" si="1"/>
        <v/>
      </c>
      <c r="G101" s="132"/>
      <c r="H101" s="133"/>
      <c r="I101" s="134"/>
      <c r="J101" s="131" t="str">
        <f t="shared" si="2"/>
        <v/>
      </c>
      <c r="K101" s="135" t="str">
        <f>'Закупка'!T101</f>
        <v/>
      </c>
      <c r="L101" s="136" t="str">
        <f>'Закупка'!U101</f>
        <v/>
      </c>
      <c r="M101" s="137" t="str">
        <f>'Закупка'!V101</f>
        <v/>
      </c>
    </row>
    <row r="102" ht="45.0" customHeight="1">
      <c r="A102" s="126" t="str">
        <f>'Закупка'!A102</f>
        <v/>
      </c>
      <c r="B102" s="127" t="str">
        <f>'Закупка'!B102</f>
        <v/>
      </c>
      <c r="C102" s="128" t="str">
        <f>'Закупка'!R102</f>
        <v/>
      </c>
      <c r="D102" s="129" t="str">
        <f t="array" ref="D102">INDEX('Закупка'!G102:K102, $A$2)</f>
        <v/>
      </c>
      <c r="E102" s="130" t="str">
        <f>'Закупка'!F102</f>
        <v/>
      </c>
      <c r="F102" s="131" t="str">
        <f t="shared" si="1"/>
        <v/>
      </c>
      <c r="G102" s="132"/>
      <c r="H102" s="133"/>
      <c r="I102" s="134"/>
      <c r="J102" s="131" t="str">
        <f t="shared" si="2"/>
        <v/>
      </c>
      <c r="K102" s="135" t="str">
        <f>'Закупка'!T102</f>
        <v/>
      </c>
      <c r="L102" s="136" t="str">
        <f>'Закупка'!U102</f>
        <v/>
      </c>
      <c r="M102" s="137" t="str">
        <f>'Закупка'!V102</f>
        <v/>
      </c>
    </row>
    <row r="103" ht="45.0" customHeight="1">
      <c r="A103" s="126" t="str">
        <f>'Закупка'!A103</f>
        <v/>
      </c>
      <c r="B103" s="127" t="str">
        <f>'Закупка'!B103</f>
        <v/>
      </c>
      <c r="C103" s="128" t="str">
        <f>'Закупка'!R103</f>
        <v/>
      </c>
      <c r="D103" s="129" t="str">
        <f t="array" ref="D103">INDEX('Закупка'!G103:K103, $A$2)</f>
        <v/>
      </c>
      <c r="E103" s="130" t="str">
        <f>'Закупка'!F103</f>
        <v/>
      </c>
      <c r="F103" s="131" t="str">
        <f t="shared" si="1"/>
        <v/>
      </c>
      <c r="G103" s="132"/>
      <c r="H103" s="133"/>
      <c r="I103" s="134"/>
      <c r="J103" s="131" t="str">
        <f t="shared" si="2"/>
        <v/>
      </c>
      <c r="K103" s="135" t="str">
        <f>'Закупка'!T103</f>
        <v/>
      </c>
      <c r="L103" s="136" t="str">
        <f>'Закупка'!U103</f>
        <v/>
      </c>
      <c r="M103" s="137" t="str">
        <f>'Закупка'!V103</f>
        <v/>
      </c>
    </row>
    <row r="104" ht="45.0" customHeight="1">
      <c r="A104" s="126" t="str">
        <f>'Закупка'!A104</f>
        <v/>
      </c>
      <c r="B104" s="127" t="str">
        <f>'Закупка'!B104</f>
        <v/>
      </c>
      <c r="C104" s="128" t="str">
        <f>'Закупка'!R104</f>
        <v/>
      </c>
      <c r="D104" s="129" t="str">
        <f t="array" ref="D104">INDEX('Закупка'!G104:K104, $A$2)</f>
        <v/>
      </c>
      <c r="E104" s="130" t="str">
        <f>'Закупка'!F104</f>
        <v/>
      </c>
      <c r="F104" s="131" t="str">
        <f t="shared" si="1"/>
        <v/>
      </c>
      <c r="G104" s="132"/>
      <c r="H104" s="133"/>
      <c r="I104" s="134"/>
      <c r="J104" s="131" t="str">
        <f t="shared" si="2"/>
        <v/>
      </c>
      <c r="K104" s="135" t="str">
        <f>'Закупка'!T104</f>
        <v/>
      </c>
      <c r="L104" s="136" t="str">
        <f>'Закупка'!U104</f>
        <v/>
      </c>
      <c r="M104" s="137" t="str">
        <f>'Закупка'!V104</f>
        <v/>
      </c>
    </row>
    <row r="105" ht="45.0" customHeight="1">
      <c r="A105" s="126" t="str">
        <f>'Закупка'!A105</f>
        <v/>
      </c>
      <c r="B105" s="127" t="str">
        <f>'Закупка'!B105</f>
        <v/>
      </c>
      <c r="C105" s="128" t="str">
        <f>'Закупка'!R105</f>
        <v/>
      </c>
      <c r="D105" s="129" t="str">
        <f t="array" ref="D105">INDEX('Закупка'!G105:K105, $A$2)</f>
        <v/>
      </c>
      <c r="E105" s="130" t="str">
        <f>'Закупка'!F105</f>
        <v/>
      </c>
      <c r="F105" s="131" t="str">
        <f t="shared" si="1"/>
        <v/>
      </c>
      <c r="G105" s="132"/>
      <c r="H105" s="133"/>
      <c r="I105" s="134"/>
      <c r="J105" s="131" t="str">
        <f t="shared" si="2"/>
        <v/>
      </c>
      <c r="K105" s="135" t="str">
        <f>'Закупка'!T105</f>
        <v/>
      </c>
      <c r="L105" s="136" t="str">
        <f>'Закупка'!U105</f>
        <v/>
      </c>
      <c r="M105" s="137" t="str">
        <f>'Закупка'!V105</f>
        <v/>
      </c>
    </row>
    <row r="106" ht="45.0" customHeight="1">
      <c r="A106" s="126" t="str">
        <f>'Закупка'!A106</f>
        <v/>
      </c>
      <c r="B106" s="127" t="str">
        <f>'Закупка'!B106</f>
        <v/>
      </c>
      <c r="C106" s="128" t="str">
        <f>'Закупка'!R106</f>
        <v/>
      </c>
      <c r="D106" s="129" t="str">
        <f t="array" ref="D106">INDEX('Закупка'!G106:K106, $A$2)</f>
        <v/>
      </c>
      <c r="E106" s="130" t="str">
        <f>'Закупка'!F106</f>
        <v/>
      </c>
      <c r="F106" s="131" t="str">
        <f t="shared" si="1"/>
        <v/>
      </c>
      <c r="G106" s="132"/>
      <c r="H106" s="133"/>
      <c r="I106" s="134"/>
      <c r="J106" s="131" t="str">
        <f t="shared" si="2"/>
        <v/>
      </c>
      <c r="K106" s="135" t="str">
        <f>'Закупка'!T106</f>
        <v/>
      </c>
      <c r="L106" s="136" t="str">
        <f>'Закупка'!U106</f>
        <v/>
      </c>
      <c r="M106" s="137" t="str">
        <f>'Закупка'!V106</f>
        <v/>
      </c>
    </row>
    <row r="107" ht="45.0" customHeight="1">
      <c r="A107" s="126" t="str">
        <f>'Закупка'!A107</f>
        <v/>
      </c>
      <c r="B107" s="127" t="str">
        <f>'Закупка'!B107</f>
        <v/>
      </c>
      <c r="C107" s="128" t="str">
        <f>'Закупка'!R107</f>
        <v/>
      </c>
      <c r="D107" s="129" t="str">
        <f t="array" ref="D107">INDEX('Закупка'!G107:K107, $A$2)</f>
        <v/>
      </c>
      <c r="E107" s="130" t="str">
        <f>'Закупка'!F107</f>
        <v/>
      </c>
      <c r="F107" s="131" t="str">
        <f t="shared" si="1"/>
        <v/>
      </c>
      <c r="G107" s="132"/>
      <c r="H107" s="133"/>
      <c r="I107" s="134"/>
      <c r="J107" s="131" t="str">
        <f t="shared" si="2"/>
        <v/>
      </c>
      <c r="K107" s="135" t="str">
        <f>'Закупка'!T107</f>
        <v/>
      </c>
      <c r="L107" s="136" t="str">
        <f>'Закупка'!U107</f>
        <v/>
      </c>
      <c r="M107" s="137" t="str">
        <f>'Закупка'!V107</f>
        <v/>
      </c>
    </row>
    <row r="108" ht="45.0" customHeight="1">
      <c r="A108" s="126" t="str">
        <f>'Закупка'!A108</f>
        <v/>
      </c>
      <c r="B108" s="127" t="str">
        <f>'Закупка'!B108</f>
        <v/>
      </c>
      <c r="C108" s="128" t="str">
        <f>'Закупка'!R108</f>
        <v/>
      </c>
      <c r="D108" s="129" t="str">
        <f t="array" ref="D108">INDEX('Закупка'!G108:K108, $A$2)</f>
        <v/>
      </c>
      <c r="E108" s="130" t="str">
        <f>'Закупка'!F108</f>
        <v/>
      </c>
      <c r="F108" s="131" t="str">
        <f t="shared" si="1"/>
        <v/>
      </c>
      <c r="G108" s="132"/>
      <c r="H108" s="133"/>
      <c r="I108" s="134"/>
      <c r="J108" s="131" t="str">
        <f t="shared" si="2"/>
        <v/>
      </c>
      <c r="K108" s="135" t="str">
        <f>'Закупка'!T108</f>
        <v/>
      </c>
      <c r="L108" s="136" t="str">
        <f>'Закупка'!U108</f>
        <v/>
      </c>
      <c r="M108" s="137" t="str">
        <f>'Закупка'!V108</f>
        <v/>
      </c>
    </row>
    <row r="109" ht="45.0" customHeight="1">
      <c r="A109" s="126" t="str">
        <f>'Закупка'!A109</f>
        <v/>
      </c>
      <c r="B109" s="127" t="str">
        <f>'Закупка'!B109</f>
        <v/>
      </c>
      <c r="C109" s="128" t="str">
        <f>'Закупка'!R109</f>
        <v/>
      </c>
      <c r="D109" s="129" t="str">
        <f t="array" ref="D109">INDEX('Закупка'!G109:K109, $A$2)</f>
        <v/>
      </c>
      <c r="E109" s="130" t="str">
        <f>'Закупка'!F109</f>
        <v/>
      </c>
      <c r="F109" s="131" t="str">
        <f t="shared" si="1"/>
        <v/>
      </c>
      <c r="G109" s="132"/>
      <c r="H109" s="133"/>
      <c r="I109" s="134"/>
      <c r="J109" s="131" t="str">
        <f t="shared" si="2"/>
        <v/>
      </c>
      <c r="K109" s="135" t="str">
        <f>'Закупка'!T109</f>
        <v/>
      </c>
      <c r="L109" s="136" t="str">
        <f>'Закупка'!U109</f>
        <v/>
      </c>
      <c r="M109" s="137" t="str">
        <f>'Закупка'!V109</f>
        <v/>
      </c>
    </row>
    <row r="110" ht="45.0" customHeight="1">
      <c r="A110" s="126" t="str">
        <f>'Закупка'!A110</f>
        <v/>
      </c>
      <c r="B110" s="127" t="str">
        <f>'Закупка'!B110</f>
        <v/>
      </c>
      <c r="C110" s="128" t="str">
        <f>'Закупка'!R110</f>
        <v/>
      </c>
      <c r="D110" s="129" t="str">
        <f t="array" ref="D110">INDEX('Закупка'!G110:K110, $A$2)</f>
        <v/>
      </c>
      <c r="E110" s="130" t="str">
        <f>'Закупка'!F110</f>
        <v/>
      </c>
      <c r="F110" s="131" t="str">
        <f t="shared" si="1"/>
        <v/>
      </c>
      <c r="G110" s="132"/>
      <c r="H110" s="133"/>
      <c r="I110" s="134"/>
      <c r="J110" s="131" t="str">
        <f t="shared" si="2"/>
        <v/>
      </c>
      <c r="K110" s="135" t="str">
        <f>'Закупка'!T110</f>
        <v/>
      </c>
      <c r="L110" s="136" t="str">
        <f>'Закупка'!U110</f>
        <v/>
      </c>
      <c r="M110" s="137" t="str">
        <f>'Закупка'!V110</f>
        <v/>
      </c>
    </row>
    <row r="111" ht="45.0" customHeight="1">
      <c r="A111" s="126" t="str">
        <f>'Закупка'!A111</f>
        <v/>
      </c>
      <c r="B111" s="127" t="str">
        <f>'Закупка'!B111</f>
        <v/>
      </c>
      <c r="C111" s="128" t="str">
        <f>'Закупка'!R111</f>
        <v/>
      </c>
      <c r="D111" s="129" t="str">
        <f t="array" ref="D111">INDEX('Закупка'!G111:K111, $A$2)</f>
        <v/>
      </c>
      <c r="E111" s="130" t="str">
        <f>'Закупка'!F111</f>
        <v/>
      </c>
      <c r="F111" s="131" t="str">
        <f t="shared" si="1"/>
        <v/>
      </c>
      <c r="G111" s="132"/>
      <c r="H111" s="133"/>
      <c r="I111" s="134"/>
      <c r="J111" s="131" t="str">
        <f t="shared" si="2"/>
        <v/>
      </c>
      <c r="K111" s="135" t="str">
        <f>'Закупка'!T111</f>
        <v/>
      </c>
      <c r="L111" s="136" t="str">
        <f>'Закупка'!U111</f>
        <v/>
      </c>
      <c r="M111" s="137" t="str">
        <f>'Закупка'!V111</f>
        <v/>
      </c>
    </row>
    <row r="112" ht="45.0" customHeight="1">
      <c r="A112" s="126" t="str">
        <f>'Закупка'!A112</f>
        <v/>
      </c>
      <c r="B112" s="127" t="str">
        <f>'Закупка'!B112</f>
        <v/>
      </c>
      <c r="C112" s="128" t="str">
        <f>'Закупка'!R112</f>
        <v/>
      </c>
      <c r="D112" s="129" t="str">
        <f t="array" ref="D112">INDEX('Закупка'!G112:K112, $A$2)</f>
        <v/>
      </c>
      <c r="E112" s="130" t="str">
        <f>'Закупка'!F112</f>
        <v/>
      </c>
      <c r="F112" s="131" t="str">
        <f t="shared" si="1"/>
        <v/>
      </c>
      <c r="G112" s="132"/>
      <c r="H112" s="133"/>
      <c r="I112" s="134"/>
      <c r="J112" s="131" t="str">
        <f t="shared" si="2"/>
        <v/>
      </c>
      <c r="K112" s="135" t="str">
        <f>'Закупка'!T112</f>
        <v/>
      </c>
      <c r="L112" s="136" t="str">
        <f>'Закупка'!U112</f>
        <v/>
      </c>
      <c r="M112" s="137" t="str">
        <f>'Закупка'!V112</f>
        <v/>
      </c>
    </row>
    <row r="113" ht="45.0" customHeight="1">
      <c r="A113" s="126" t="str">
        <f>'Закупка'!A113</f>
        <v/>
      </c>
      <c r="B113" s="127" t="str">
        <f>'Закупка'!B113</f>
        <v/>
      </c>
      <c r="C113" s="128" t="str">
        <f>'Закупка'!R113</f>
        <v/>
      </c>
      <c r="D113" s="129" t="str">
        <f t="array" ref="D113">INDEX('Закупка'!G113:K113, $A$2)</f>
        <v/>
      </c>
      <c r="E113" s="130" t="str">
        <f>'Закупка'!F113</f>
        <v/>
      </c>
      <c r="F113" s="131" t="str">
        <f t="shared" si="1"/>
        <v/>
      </c>
      <c r="G113" s="132"/>
      <c r="H113" s="133"/>
      <c r="I113" s="134"/>
      <c r="J113" s="131" t="str">
        <f t="shared" si="2"/>
        <v/>
      </c>
      <c r="K113" s="135" t="str">
        <f>'Закупка'!T113</f>
        <v/>
      </c>
      <c r="L113" s="136" t="str">
        <f>'Закупка'!U113</f>
        <v/>
      </c>
      <c r="M113" s="137" t="str">
        <f>'Закупка'!V113</f>
        <v/>
      </c>
    </row>
    <row r="114" ht="45.0" customHeight="1">
      <c r="A114" s="126" t="str">
        <f>'Закупка'!A114</f>
        <v/>
      </c>
      <c r="B114" s="127" t="str">
        <f>'Закупка'!B114</f>
        <v/>
      </c>
      <c r="C114" s="128" t="str">
        <f>'Закупка'!R114</f>
        <v/>
      </c>
      <c r="D114" s="129" t="str">
        <f t="array" ref="D114">INDEX('Закупка'!G114:K114, $A$2)</f>
        <v/>
      </c>
      <c r="E114" s="130" t="str">
        <f>'Закупка'!F114</f>
        <v/>
      </c>
      <c r="F114" s="131" t="str">
        <f t="shared" si="1"/>
        <v/>
      </c>
      <c r="G114" s="132"/>
      <c r="H114" s="133"/>
      <c r="I114" s="134"/>
      <c r="J114" s="131" t="str">
        <f t="shared" si="2"/>
        <v/>
      </c>
      <c r="K114" s="135" t="str">
        <f>'Закупка'!T114</f>
        <v/>
      </c>
      <c r="L114" s="136" t="str">
        <f>'Закупка'!U114</f>
        <v/>
      </c>
      <c r="M114" s="137" t="str">
        <f>'Закупка'!V114</f>
        <v/>
      </c>
    </row>
    <row r="115" ht="45.0" customHeight="1">
      <c r="A115" s="126" t="str">
        <f>'Закупка'!A115</f>
        <v/>
      </c>
      <c r="B115" s="127" t="str">
        <f>'Закупка'!B115</f>
        <v/>
      </c>
      <c r="C115" s="128" t="str">
        <f>'Закупка'!R115</f>
        <v/>
      </c>
      <c r="D115" s="129" t="str">
        <f t="array" ref="D115">INDEX('Закупка'!G115:K115, $A$2)</f>
        <v/>
      </c>
      <c r="E115" s="130" t="str">
        <f>'Закупка'!F115</f>
        <v/>
      </c>
      <c r="F115" s="131" t="str">
        <f t="shared" si="1"/>
        <v/>
      </c>
      <c r="G115" s="132"/>
      <c r="H115" s="133"/>
      <c r="I115" s="134"/>
      <c r="J115" s="131" t="str">
        <f t="shared" si="2"/>
        <v/>
      </c>
      <c r="K115" s="135" t="str">
        <f>'Закупка'!T115</f>
        <v/>
      </c>
      <c r="L115" s="136" t="str">
        <f>'Закупка'!U115</f>
        <v/>
      </c>
      <c r="M115" s="137" t="str">
        <f>'Закупка'!V115</f>
        <v/>
      </c>
    </row>
    <row r="116" ht="45.0" customHeight="1">
      <c r="A116" s="126" t="str">
        <f>'Закупка'!A116</f>
        <v/>
      </c>
      <c r="B116" s="127" t="str">
        <f>'Закупка'!B116</f>
        <v/>
      </c>
      <c r="C116" s="128" t="str">
        <f>'Закупка'!R116</f>
        <v/>
      </c>
      <c r="D116" s="129" t="str">
        <f t="array" ref="D116">INDEX('Закупка'!G116:K116, $A$2)</f>
        <v/>
      </c>
      <c r="E116" s="130" t="str">
        <f>'Закупка'!F116</f>
        <v/>
      </c>
      <c r="F116" s="131" t="str">
        <f t="shared" si="1"/>
        <v/>
      </c>
      <c r="G116" s="132"/>
      <c r="H116" s="133"/>
      <c r="I116" s="134"/>
      <c r="J116" s="131" t="str">
        <f t="shared" si="2"/>
        <v/>
      </c>
      <c r="K116" s="135" t="str">
        <f>'Закупка'!T116</f>
        <v/>
      </c>
      <c r="L116" s="136" t="str">
        <f>'Закупка'!U116</f>
        <v/>
      </c>
      <c r="M116" s="137" t="str">
        <f>'Закупка'!V116</f>
        <v/>
      </c>
    </row>
    <row r="117" ht="45.0" customHeight="1">
      <c r="A117" s="126" t="str">
        <f>'Закупка'!A117</f>
        <v/>
      </c>
      <c r="B117" s="127" t="str">
        <f>'Закупка'!B117</f>
        <v/>
      </c>
      <c r="C117" s="128" t="str">
        <f>'Закупка'!R117</f>
        <v/>
      </c>
      <c r="D117" s="129" t="str">
        <f t="array" ref="D117">INDEX('Закупка'!G117:K117, $A$2)</f>
        <v/>
      </c>
      <c r="E117" s="130" t="str">
        <f>'Закупка'!F117</f>
        <v/>
      </c>
      <c r="F117" s="131" t="str">
        <f t="shared" si="1"/>
        <v/>
      </c>
      <c r="G117" s="132"/>
      <c r="H117" s="133"/>
      <c r="I117" s="134"/>
      <c r="J117" s="131" t="str">
        <f t="shared" si="2"/>
        <v/>
      </c>
      <c r="K117" s="135" t="str">
        <f>'Закупка'!T117</f>
        <v/>
      </c>
      <c r="L117" s="136" t="str">
        <f>'Закупка'!U117</f>
        <v/>
      </c>
      <c r="M117" s="137" t="str">
        <f>'Закупка'!V117</f>
        <v/>
      </c>
    </row>
    <row r="118" ht="45.0" customHeight="1">
      <c r="A118" s="126" t="str">
        <f>'Закупка'!A118</f>
        <v/>
      </c>
      <c r="B118" s="127" t="str">
        <f>'Закупка'!B118</f>
        <v/>
      </c>
      <c r="C118" s="128" t="str">
        <f>'Закупка'!R118</f>
        <v/>
      </c>
      <c r="D118" s="129" t="str">
        <f t="array" ref="D118">INDEX('Закупка'!G118:K118, $A$2)</f>
        <v/>
      </c>
      <c r="E118" s="130" t="str">
        <f>'Закупка'!F118</f>
        <v/>
      </c>
      <c r="F118" s="131" t="str">
        <f t="shared" si="1"/>
        <v/>
      </c>
      <c r="G118" s="132"/>
      <c r="H118" s="133"/>
      <c r="I118" s="134"/>
      <c r="J118" s="131" t="str">
        <f t="shared" si="2"/>
        <v/>
      </c>
      <c r="K118" s="135" t="str">
        <f>'Закупка'!T118</f>
        <v/>
      </c>
      <c r="L118" s="136" t="str">
        <f>'Закупка'!U118</f>
        <v/>
      </c>
      <c r="M118" s="137" t="str">
        <f>'Закупка'!V118</f>
        <v/>
      </c>
    </row>
    <row r="119" ht="45.0" customHeight="1">
      <c r="A119" s="126" t="str">
        <f>'Закупка'!A119</f>
        <v/>
      </c>
      <c r="B119" s="127" t="str">
        <f>'Закупка'!B119</f>
        <v/>
      </c>
      <c r="C119" s="128" t="str">
        <f>'Закупка'!R119</f>
        <v/>
      </c>
      <c r="D119" s="129" t="str">
        <f t="array" ref="D119">INDEX('Закупка'!G119:K119, $A$2)</f>
        <v/>
      </c>
      <c r="E119" s="130" t="str">
        <f>'Закупка'!F119</f>
        <v/>
      </c>
      <c r="F119" s="131" t="str">
        <f t="shared" si="1"/>
        <v/>
      </c>
      <c r="G119" s="132"/>
      <c r="H119" s="133"/>
      <c r="I119" s="134"/>
      <c r="J119" s="131" t="str">
        <f t="shared" si="2"/>
        <v/>
      </c>
      <c r="K119" s="135" t="str">
        <f>'Закупка'!T119</f>
        <v/>
      </c>
      <c r="L119" s="136" t="str">
        <f>'Закупка'!U119</f>
        <v/>
      </c>
      <c r="M119" s="137" t="str">
        <f>'Закупка'!V119</f>
        <v/>
      </c>
    </row>
    <row r="120" ht="45.0" customHeight="1">
      <c r="A120" s="126" t="str">
        <f>'Закупка'!A120</f>
        <v/>
      </c>
      <c r="B120" s="127" t="str">
        <f>'Закупка'!B120</f>
        <v/>
      </c>
      <c r="C120" s="128" t="str">
        <f>'Закупка'!R120</f>
        <v/>
      </c>
      <c r="D120" s="129" t="str">
        <f t="array" ref="D120">INDEX('Закупка'!G120:K120, $A$2)</f>
        <v/>
      </c>
      <c r="E120" s="130" t="str">
        <f>'Закупка'!F120</f>
        <v/>
      </c>
      <c r="F120" s="131" t="str">
        <f t="shared" si="1"/>
        <v/>
      </c>
      <c r="G120" s="132"/>
      <c r="H120" s="133"/>
      <c r="I120" s="134"/>
      <c r="J120" s="131" t="str">
        <f t="shared" si="2"/>
        <v/>
      </c>
      <c r="K120" s="135" t="str">
        <f>'Закупка'!T120</f>
        <v/>
      </c>
      <c r="L120" s="136" t="str">
        <f>'Закупка'!U120</f>
        <v/>
      </c>
      <c r="M120" s="137" t="str">
        <f>'Закупка'!V120</f>
        <v/>
      </c>
    </row>
    <row r="121" ht="45.0" customHeight="1">
      <c r="A121" s="126" t="str">
        <f>'Закупка'!A121</f>
        <v/>
      </c>
      <c r="B121" s="127" t="str">
        <f>'Закупка'!B121</f>
        <v/>
      </c>
      <c r="C121" s="128" t="str">
        <f>'Закупка'!R121</f>
        <v/>
      </c>
      <c r="D121" s="129" t="str">
        <f t="array" ref="D121">INDEX('Закупка'!G121:K121, $A$2)</f>
        <v/>
      </c>
      <c r="E121" s="130" t="str">
        <f>'Закупка'!F121</f>
        <v/>
      </c>
      <c r="F121" s="131" t="str">
        <f t="shared" si="1"/>
        <v/>
      </c>
      <c r="G121" s="132"/>
      <c r="H121" s="133"/>
      <c r="I121" s="134"/>
      <c r="J121" s="131" t="str">
        <f t="shared" si="2"/>
        <v/>
      </c>
      <c r="K121" s="135" t="str">
        <f>'Закупка'!T121</f>
        <v/>
      </c>
      <c r="L121" s="136" t="str">
        <f>'Закупка'!U121</f>
        <v/>
      </c>
      <c r="M121" s="137" t="str">
        <f>'Закупка'!V121</f>
        <v/>
      </c>
    </row>
    <row r="122" ht="45.0" customHeight="1">
      <c r="A122" s="126" t="str">
        <f>'Закупка'!A122</f>
        <v/>
      </c>
      <c r="B122" s="127" t="str">
        <f>'Закупка'!B122</f>
        <v/>
      </c>
      <c r="C122" s="128" t="str">
        <f>'Закупка'!R122</f>
        <v/>
      </c>
      <c r="D122" s="129" t="str">
        <f t="array" ref="D122">INDEX('Закупка'!G122:K122, $A$2)</f>
        <v/>
      </c>
      <c r="E122" s="130" t="str">
        <f>'Закупка'!F122</f>
        <v/>
      </c>
      <c r="F122" s="131" t="str">
        <f t="shared" si="1"/>
        <v/>
      </c>
      <c r="G122" s="132"/>
      <c r="H122" s="133"/>
      <c r="I122" s="134"/>
      <c r="J122" s="131" t="str">
        <f t="shared" si="2"/>
        <v/>
      </c>
      <c r="K122" s="135" t="str">
        <f>'Закупка'!T122</f>
        <v/>
      </c>
      <c r="L122" s="136" t="str">
        <f>'Закупка'!U122</f>
        <v/>
      </c>
      <c r="M122" s="137" t="str">
        <f>'Закупка'!V122</f>
        <v/>
      </c>
    </row>
    <row r="123" ht="45.0" customHeight="1">
      <c r="A123" s="126" t="str">
        <f>'Закупка'!A123</f>
        <v/>
      </c>
      <c r="B123" s="127" t="str">
        <f>'Закупка'!B123</f>
        <v/>
      </c>
      <c r="C123" s="128" t="str">
        <f>'Закупка'!R123</f>
        <v/>
      </c>
      <c r="D123" s="129" t="str">
        <f t="array" ref="D123">INDEX('Закупка'!G123:K123, $A$2)</f>
        <v/>
      </c>
      <c r="E123" s="130" t="str">
        <f>'Закупка'!F123</f>
        <v/>
      </c>
      <c r="F123" s="131" t="str">
        <f t="shared" si="1"/>
        <v/>
      </c>
      <c r="G123" s="132"/>
      <c r="H123" s="133"/>
      <c r="I123" s="134"/>
      <c r="J123" s="131" t="str">
        <f t="shared" si="2"/>
        <v/>
      </c>
      <c r="K123" s="135" t="str">
        <f>'Закупка'!T123</f>
        <v/>
      </c>
      <c r="L123" s="136" t="str">
        <f>'Закупка'!U123</f>
        <v/>
      </c>
      <c r="M123" s="137" t="str">
        <f>'Закупка'!V123</f>
        <v/>
      </c>
    </row>
    <row r="124" ht="45.0" customHeight="1">
      <c r="A124" s="126" t="str">
        <f>'Закупка'!A124</f>
        <v/>
      </c>
      <c r="B124" s="127" t="str">
        <f>'Закупка'!B124</f>
        <v/>
      </c>
      <c r="C124" s="128" t="str">
        <f>'Закупка'!R124</f>
        <v/>
      </c>
      <c r="D124" s="129" t="str">
        <f t="array" ref="D124">INDEX('Закупка'!G124:K124, $A$2)</f>
        <v/>
      </c>
      <c r="E124" s="130" t="str">
        <f>'Закупка'!F124</f>
        <v/>
      </c>
      <c r="F124" s="131" t="str">
        <f t="shared" si="1"/>
        <v/>
      </c>
      <c r="G124" s="132"/>
      <c r="H124" s="133"/>
      <c r="I124" s="134"/>
      <c r="J124" s="131" t="str">
        <f t="shared" si="2"/>
        <v/>
      </c>
      <c r="K124" s="135" t="str">
        <f>'Закупка'!T124</f>
        <v/>
      </c>
      <c r="L124" s="136" t="str">
        <f>'Закупка'!U124</f>
        <v/>
      </c>
      <c r="M124" s="137" t="str">
        <f>'Закупка'!V124</f>
        <v/>
      </c>
    </row>
    <row r="125" ht="45.0" customHeight="1">
      <c r="A125" s="126" t="str">
        <f>'Закупка'!A125</f>
        <v/>
      </c>
      <c r="B125" s="127" t="str">
        <f>'Закупка'!B125</f>
        <v/>
      </c>
      <c r="C125" s="128" t="str">
        <f>'Закупка'!R125</f>
        <v/>
      </c>
      <c r="D125" s="129" t="str">
        <f t="array" ref="D125">INDEX('Закупка'!G125:K125, $A$2)</f>
        <v/>
      </c>
      <c r="E125" s="130" t="str">
        <f>'Закупка'!F125</f>
        <v/>
      </c>
      <c r="F125" s="131" t="str">
        <f t="shared" si="1"/>
        <v/>
      </c>
      <c r="G125" s="132"/>
      <c r="H125" s="133"/>
      <c r="I125" s="134"/>
      <c r="J125" s="131" t="str">
        <f t="shared" si="2"/>
        <v/>
      </c>
      <c r="K125" s="135" t="str">
        <f>'Закупка'!T125</f>
        <v/>
      </c>
      <c r="L125" s="136" t="str">
        <f>'Закупка'!U125</f>
        <v/>
      </c>
      <c r="M125" s="137" t="str">
        <f>'Закупка'!V125</f>
        <v/>
      </c>
    </row>
    <row r="126" ht="45.0" customHeight="1">
      <c r="A126" s="126" t="str">
        <f>'Закупка'!A126</f>
        <v/>
      </c>
      <c r="B126" s="127" t="str">
        <f>'Закупка'!B126</f>
        <v/>
      </c>
      <c r="C126" s="128" t="str">
        <f>'Закупка'!R126</f>
        <v/>
      </c>
      <c r="D126" s="129" t="str">
        <f t="array" ref="D126">INDEX('Закупка'!G126:K126, $A$2)</f>
        <v/>
      </c>
      <c r="E126" s="130" t="str">
        <f>'Закупка'!F126</f>
        <v/>
      </c>
      <c r="F126" s="131" t="str">
        <f t="shared" si="1"/>
        <v/>
      </c>
      <c r="G126" s="132"/>
      <c r="H126" s="133"/>
      <c r="I126" s="134"/>
      <c r="J126" s="131" t="str">
        <f t="shared" si="2"/>
        <v/>
      </c>
      <c r="K126" s="135" t="str">
        <f>'Закупка'!T126</f>
        <v/>
      </c>
      <c r="L126" s="136" t="str">
        <f>'Закупка'!U126</f>
        <v/>
      </c>
      <c r="M126" s="137" t="str">
        <f>'Закупка'!V126</f>
        <v/>
      </c>
    </row>
    <row r="127" ht="45.0" customHeight="1">
      <c r="A127" s="126" t="str">
        <f>'Закупка'!A127</f>
        <v/>
      </c>
      <c r="B127" s="127" t="str">
        <f>'Закупка'!B127</f>
        <v/>
      </c>
      <c r="C127" s="128" t="str">
        <f>'Закупка'!R127</f>
        <v/>
      </c>
      <c r="D127" s="129" t="str">
        <f t="array" ref="D127">INDEX('Закупка'!G127:K127, $A$2)</f>
        <v/>
      </c>
      <c r="E127" s="130" t="str">
        <f>'Закупка'!F127</f>
        <v/>
      </c>
      <c r="F127" s="131" t="str">
        <f t="shared" si="1"/>
        <v/>
      </c>
      <c r="G127" s="132"/>
      <c r="H127" s="133"/>
      <c r="I127" s="134"/>
      <c r="J127" s="131" t="str">
        <f t="shared" si="2"/>
        <v/>
      </c>
      <c r="K127" s="135" t="str">
        <f>'Закупка'!T127</f>
        <v/>
      </c>
      <c r="L127" s="136" t="str">
        <f>'Закупка'!U127</f>
        <v/>
      </c>
      <c r="M127" s="137" t="str">
        <f>'Закупка'!V127</f>
        <v/>
      </c>
    </row>
    <row r="128" ht="45.0" customHeight="1">
      <c r="A128" s="126" t="str">
        <f>'Закупка'!A128</f>
        <v/>
      </c>
      <c r="B128" s="127" t="str">
        <f>'Закупка'!B128</f>
        <v/>
      </c>
      <c r="C128" s="128" t="str">
        <f>'Закупка'!R128</f>
        <v/>
      </c>
      <c r="D128" s="129" t="str">
        <f t="array" ref="D128">INDEX('Закупка'!G128:K128, $A$2)</f>
        <v/>
      </c>
      <c r="E128" s="130" t="str">
        <f>'Закупка'!F128</f>
        <v/>
      </c>
      <c r="F128" s="131" t="str">
        <f t="shared" si="1"/>
        <v/>
      </c>
      <c r="G128" s="132"/>
      <c r="H128" s="133"/>
      <c r="I128" s="134"/>
      <c r="J128" s="131" t="str">
        <f t="shared" si="2"/>
        <v/>
      </c>
      <c r="K128" s="135" t="str">
        <f>'Закупка'!T128</f>
        <v/>
      </c>
      <c r="L128" s="136" t="str">
        <f>'Закупка'!U128</f>
        <v/>
      </c>
      <c r="M128" s="137" t="str">
        <f>'Закупка'!V128</f>
        <v/>
      </c>
    </row>
    <row r="129" ht="45.0" customHeight="1">
      <c r="A129" s="126" t="str">
        <f>'Закупка'!A129</f>
        <v/>
      </c>
      <c r="B129" s="127" t="str">
        <f>'Закупка'!B129</f>
        <v/>
      </c>
      <c r="C129" s="128" t="str">
        <f>'Закупка'!R129</f>
        <v/>
      </c>
      <c r="D129" s="129" t="str">
        <f t="array" ref="D129">INDEX('Закупка'!G129:K129, $A$2)</f>
        <v/>
      </c>
      <c r="E129" s="130" t="str">
        <f>'Закупка'!F129</f>
        <v/>
      </c>
      <c r="F129" s="131" t="str">
        <f t="shared" si="1"/>
        <v/>
      </c>
      <c r="G129" s="132"/>
      <c r="H129" s="133"/>
      <c r="I129" s="134"/>
      <c r="J129" s="131" t="str">
        <f t="shared" si="2"/>
        <v/>
      </c>
      <c r="K129" s="135" t="str">
        <f>'Закупка'!T129</f>
        <v/>
      </c>
      <c r="L129" s="136" t="str">
        <f>'Закупка'!U129</f>
        <v/>
      </c>
      <c r="M129" s="137" t="str">
        <f>'Закупка'!V129</f>
        <v/>
      </c>
    </row>
    <row r="130" ht="45.0" customHeight="1">
      <c r="A130" s="126" t="str">
        <f>'Закупка'!A130</f>
        <v/>
      </c>
      <c r="B130" s="127" t="str">
        <f>'Закупка'!B130</f>
        <v/>
      </c>
      <c r="C130" s="128" t="str">
        <f>'Закупка'!R130</f>
        <v/>
      </c>
      <c r="D130" s="129" t="str">
        <f t="array" ref="D130">INDEX('Закупка'!G130:K130, $A$2)</f>
        <v/>
      </c>
      <c r="E130" s="130" t="str">
        <f>'Закупка'!F130</f>
        <v/>
      </c>
      <c r="F130" s="131" t="str">
        <f t="shared" si="1"/>
        <v/>
      </c>
      <c r="G130" s="132"/>
      <c r="H130" s="133"/>
      <c r="I130" s="134"/>
      <c r="J130" s="131" t="str">
        <f t="shared" si="2"/>
        <v/>
      </c>
      <c r="K130" s="135" t="str">
        <f>'Закупка'!T130</f>
        <v/>
      </c>
      <c r="L130" s="136" t="str">
        <f>'Закупка'!U130</f>
        <v/>
      </c>
      <c r="M130" s="137" t="str">
        <f>'Закупка'!V130</f>
        <v/>
      </c>
    </row>
    <row r="131" ht="45.0" customHeight="1">
      <c r="A131" s="126" t="str">
        <f>'Закупка'!A131</f>
        <v/>
      </c>
      <c r="B131" s="127" t="str">
        <f>'Закупка'!B131</f>
        <v/>
      </c>
      <c r="C131" s="128" t="str">
        <f>'Закупка'!R131</f>
        <v/>
      </c>
      <c r="D131" s="129" t="str">
        <f t="array" ref="D131">INDEX('Закупка'!G131:K131, $A$2)</f>
        <v/>
      </c>
      <c r="E131" s="130" t="str">
        <f>'Закупка'!F131</f>
        <v/>
      </c>
      <c r="F131" s="131" t="str">
        <f t="shared" si="1"/>
        <v/>
      </c>
      <c r="G131" s="132"/>
      <c r="H131" s="133"/>
      <c r="I131" s="134"/>
      <c r="J131" s="131" t="str">
        <f t="shared" si="2"/>
        <v/>
      </c>
      <c r="K131" s="135" t="str">
        <f>'Закупка'!T131</f>
        <v/>
      </c>
      <c r="L131" s="136" t="str">
        <f>'Закупка'!U131</f>
        <v/>
      </c>
      <c r="M131" s="137" t="str">
        <f>'Закупка'!V131</f>
        <v/>
      </c>
    </row>
    <row r="132" ht="45.0" customHeight="1">
      <c r="A132" s="126" t="str">
        <f>'Закупка'!A132</f>
        <v/>
      </c>
      <c r="B132" s="127" t="str">
        <f>'Закупка'!B132</f>
        <v/>
      </c>
      <c r="C132" s="128" t="str">
        <f>'Закупка'!R132</f>
        <v/>
      </c>
      <c r="D132" s="129" t="str">
        <f t="array" ref="D132">INDEX('Закупка'!G132:K132, $A$2)</f>
        <v/>
      </c>
      <c r="E132" s="130" t="str">
        <f>'Закупка'!F132</f>
        <v/>
      </c>
      <c r="F132" s="131" t="str">
        <f t="shared" si="1"/>
        <v/>
      </c>
      <c r="G132" s="132"/>
      <c r="H132" s="133"/>
      <c r="I132" s="134"/>
      <c r="J132" s="131" t="str">
        <f t="shared" si="2"/>
        <v/>
      </c>
      <c r="K132" s="135" t="str">
        <f>'Закупка'!T132</f>
        <v/>
      </c>
      <c r="L132" s="136" t="str">
        <f>'Закупка'!U132</f>
        <v/>
      </c>
      <c r="M132" s="137" t="str">
        <f>'Закупка'!V132</f>
        <v/>
      </c>
    </row>
    <row r="133" ht="45.0" customHeight="1">
      <c r="A133" s="126" t="str">
        <f>'Закупка'!A133</f>
        <v/>
      </c>
      <c r="B133" s="127" t="str">
        <f>'Закупка'!B133</f>
        <v/>
      </c>
      <c r="C133" s="128" t="str">
        <f>'Закупка'!R133</f>
        <v/>
      </c>
      <c r="D133" s="129" t="str">
        <f t="array" ref="D133">INDEX('Закупка'!G133:K133, $A$2)</f>
        <v/>
      </c>
      <c r="E133" s="130" t="str">
        <f>'Закупка'!F133</f>
        <v/>
      </c>
      <c r="F133" s="131" t="str">
        <f t="shared" si="1"/>
        <v/>
      </c>
      <c r="G133" s="132"/>
      <c r="H133" s="133"/>
      <c r="I133" s="134"/>
      <c r="J133" s="131" t="str">
        <f t="shared" si="2"/>
        <v/>
      </c>
      <c r="K133" s="135" t="str">
        <f>'Закупка'!T133</f>
        <v/>
      </c>
      <c r="L133" s="136" t="str">
        <f>'Закупка'!U133</f>
        <v/>
      </c>
      <c r="M133" s="137" t="str">
        <f>'Закупка'!V133</f>
        <v/>
      </c>
    </row>
    <row r="134" ht="45.0" customHeight="1">
      <c r="A134" s="126" t="str">
        <f>'Закупка'!A134</f>
        <v/>
      </c>
      <c r="B134" s="127" t="str">
        <f>'Закупка'!B134</f>
        <v/>
      </c>
      <c r="C134" s="128" t="str">
        <f>'Закупка'!R134</f>
        <v/>
      </c>
      <c r="D134" s="129" t="str">
        <f t="array" ref="D134">INDEX('Закупка'!G134:K134, $A$2)</f>
        <v/>
      </c>
      <c r="E134" s="130" t="str">
        <f>'Закупка'!F134</f>
        <v/>
      </c>
      <c r="F134" s="131" t="str">
        <f t="shared" si="1"/>
        <v/>
      </c>
      <c r="G134" s="132"/>
      <c r="H134" s="133"/>
      <c r="I134" s="134"/>
      <c r="J134" s="131" t="str">
        <f t="shared" si="2"/>
        <v/>
      </c>
      <c r="K134" s="135" t="str">
        <f>'Закупка'!T134</f>
        <v/>
      </c>
      <c r="L134" s="136" t="str">
        <f>'Закупка'!U134</f>
        <v/>
      </c>
      <c r="M134" s="137" t="str">
        <f>'Закупка'!V134</f>
        <v/>
      </c>
    </row>
    <row r="135" ht="45.0" customHeight="1">
      <c r="A135" s="126" t="str">
        <f>'Закупка'!A135</f>
        <v/>
      </c>
      <c r="B135" s="127" t="str">
        <f>'Закупка'!B135</f>
        <v/>
      </c>
      <c r="C135" s="128" t="str">
        <f>'Закупка'!R135</f>
        <v/>
      </c>
      <c r="D135" s="129" t="str">
        <f t="array" ref="D135">INDEX('Закупка'!G135:K135, $A$2)</f>
        <v/>
      </c>
      <c r="E135" s="130" t="str">
        <f>'Закупка'!F135</f>
        <v/>
      </c>
      <c r="F135" s="131" t="str">
        <f t="shared" si="1"/>
        <v/>
      </c>
      <c r="G135" s="132"/>
      <c r="H135" s="133"/>
      <c r="I135" s="134"/>
      <c r="J135" s="131" t="str">
        <f t="shared" si="2"/>
        <v/>
      </c>
      <c r="K135" s="135" t="str">
        <f>'Закупка'!T135</f>
        <v/>
      </c>
      <c r="L135" s="136" t="str">
        <f>'Закупка'!U135</f>
        <v/>
      </c>
      <c r="M135" s="137" t="str">
        <f>'Закупка'!V135</f>
        <v/>
      </c>
    </row>
    <row r="136" ht="45.0" customHeight="1">
      <c r="A136" s="126" t="str">
        <f>'Закупка'!A136</f>
        <v/>
      </c>
      <c r="B136" s="127" t="str">
        <f>'Закупка'!B136</f>
        <v/>
      </c>
      <c r="C136" s="128" t="str">
        <f>'Закупка'!R136</f>
        <v/>
      </c>
      <c r="D136" s="129" t="str">
        <f t="array" ref="D136">INDEX('Закупка'!G136:K136, $A$2)</f>
        <v/>
      </c>
      <c r="E136" s="130" t="str">
        <f>'Закупка'!F136</f>
        <v/>
      </c>
      <c r="F136" s="131" t="str">
        <f t="shared" si="1"/>
        <v/>
      </c>
      <c r="G136" s="132"/>
      <c r="H136" s="133"/>
      <c r="I136" s="134"/>
      <c r="J136" s="131" t="str">
        <f t="shared" si="2"/>
        <v/>
      </c>
      <c r="K136" s="135" t="str">
        <f>'Закупка'!T136</f>
        <v/>
      </c>
      <c r="L136" s="136" t="str">
        <f>'Закупка'!U136</f>
        <v/>
      </c>
      <c r="M136" s="137" t="str">
        <f>'Закупка'!V136</f>
        <v/>
      </c>
    </row>
    <row r="137" ht="45.0" customHeight="1">
      <c r="A137" s="126" t="str">
        <f>'Закупка'!A137</f>
        <v/>
      </c>
      <c r="B137" s="127" t="str">
        <f>'Закупка'!B137</f>
        <v/>
      </c>
      <c r="C137" s="128" t="str">
        <f>'Закупка'!R137</f>
        <v/>
      </c>
      <c r="D137" s="129" t="str">
        <f t="array" ref="D137">INDEX('Закупка'!G137:K137, $A$2)</f>
        <v/>
      </c>
      <c r="E137" s="130" t="str">
        <f>'Закупка'!F137</f>
        <v/>
      </c>
      <c r="F137" s="131" t="str">
        <f t="shared" si="1"/>
        <v/>
      </c>
      <c r="G137" s="132"/>
      <c r="H137" s="133"/>
      <c r="I137" s="134"/>
      <c r="J137" s="131" t="str">
        <f t="shared" si="2"/>
        <v/>
      </c>
      <c r="K137" s="135" t="str">
        <f>'Закупка'!T137</f>
        <v/>
      </c>
      <c r="L137" s="136" t="str">
        <f>'Закупка'!U137</f>
        <v/>
      </c>
      <c r="M137" s="137" t="str">
        <f>'Закупка'!V137</f>
        <v/>
      </c>
    </row>
    <row r="138" ht="45.0" customHeight="1">
      <c r="A138" s="126" t="str">
        <f>'Закупка'!A138</f>
        <v/>
      </c>
      <c r="B138" s="127" t="str">
        <f>'Закупка'!B138</f>
        <v/>
      </c>
      <c r="C138" s="128" t="str">
        <f>'Закупка'!R138</f>
        <v/>
      </c>
      <c r="D138" s="129" t="str">
        <f t="array" ref="D138">INDEX('Закупка'!G138:K138, $A$2)</f>
        <v/>
      </c>
      <c r="E138" s="130" t="str">
        <f>'Закупка'!F138</f>
        <v/>
      </c>
      <c r="F138" s="131" t="str">
        <f t="shared" si="1"/>
        <v/>
      </c>
      <c r="G138" s="132"/>
      <c r="H138" s="133"/>
      <c r="I138" s="134"/>
      <c r="J138" s="131" t="str">
        <f t="shared" si="2"/>
        <v/>
      </c>
      <c r="K138" s="135" t="str">
        <f>'Закупка'!T138</f>
        <v/>
      </c>
      <c r="L138" s="136" t="str">
        <f>'Закупка'!U138</f>
        <v/>
      </c>
      <c r="M138" s="137" t="str">
        <f>'Закупка'!V138</f>
        <v/>
      </c>
    </row>
    <row r="139" ht="45.0" customHeight="1">
      <c r="A139" s="126" t="str">
        <f>'Закупка'!A139</f>
        <v/>
      </c>
      <c r="B139" s="127" t="str">
        <f>'Закупка'!B139</f>
        <v/>
      </c>
      <c r="C139" s="128" t="str">
        <f>'Закупка'!R139</f>
        <v/>
      </c>
      <c r="D139" s="129" t="str">
        <f t="array" ref="D139">INDEX('Закупка'!G139:K139, $A$2)</f>
        <v/>
      </c>
      <c r="E139" s="130" t="str">
        <f>'Закупка'!F139</f>
        <v/>
      </c>
      <c r="F139" s="131" t="str">
        <f t="shared" si="1"/>
        <v/>
      </c>
      <c r="G139" s="132"/>
      <c r="H139" s="133"/>
      <c r="I139" s="134"/>
      <c r="J139" s="131" t="str">
        <f t="shared" si="2"/>
        <v/>
      </c>
      <c r="K139" s="135" t="str">
        <f>'Закупка'!T139</f>
        <v/>
      </c>
      <c r="L139" s="136" t="str">
        <f>'Закупка'!U139</f>
        <v/>
      </c>
      <c r="M139" s="137" t="str">
        <f>'Закупка'!V139</f>
        <v/>
      </c>
    </row>
    <row r="140" ht="45.0" customHeight="1">
      <c r="A140" s="126" t="str">
        <f>'Закупка'!A140</f>
        <v/>
      </c>
      <c r="B140" s="127" t="str">
        <f>'Закупка'!B140</f>
        <v/>
      </c>
      <c r="C140" s="128" t="str">
        <f>'Закупка'!R140</f>
        <v/>
      </c>
      <c r="D140" s="129" t="str">
        <f t="array" ref="D140">INDEX('Закупка'!G140:K140, $A$2)</f>
        <v/>
      </c>
      <c r="E140" s="130" t="str">
        <f>'Закупка'!F140</f>
        <v/>
      </c>
      <c r="F140" s="131" t="str">
        <f t="shared" si="1"/>
        <v/>
      </c>
      <c r="G140" s="132"/>
      <c r="H140" s="133"/>
      <c r="I140" s="134"/>
      <c r="J140" s="131" t="str">
        <f t="shared" si="2"/>
        <v/>
      </c>
      <c r="K140" s="135" t="str">
        <f>'Закупка'!T140</f>
        <v/>
      </c>
      <c r="L140" s="136" t="str">
        <f>'Закупка'!U140</f>
        <v/>
      </c>
      <c r="M140" s="137" t="str">
        <f>'Закупка'!V140</f>
        <v/>
      </c>
    </row>
    <row r="141" ht="45.0" customHeight="1">
      <c r="A141" s="126" t="str">
        <f>'Закупка'!A141</f>
        <v/>
      </c>
      <c r="B141" s="127" t="str">
        <f>'Закупка'!B141</f>
        <v/>
      </c>
      <c r="C141" s="128" t="str">
        <f>'Закупка'!R141</f>
        <v/>
      </c>
      <c r="D141" s="129" t="str">
        <f t="array" ref="D141">INDEX('Закупка'!G141:K141, $A$2)</f>
        <v/>
      </c>
      <c r="E141" s="130" t="str">
        <f>'Закупка'!F141</f>
        <v/>
      </c>
      <c r="F141" s="131" t="str">
        <f t="shared" si="1"/>
        <v/>
      </c>
      <c r="G141" s="132"/>
      <c r="H141" s="133"/>
      <c r="I141" s="134"/>
      <c r="J141" s="131" t="str">
        <f t="shared" si="2"/>
        <v/>
      </c>
      <c r="K141" s="135" t="str">
        <f>'Закупка'!T141</f>
        <v/>
      </c>
      <c r="L141" s="136" t="str">
        <f>'Закупка'!U141</f>
        <v/>
      </c>
      <c r="M141" s="137" t="str">
        <f>'Закупка'!V141</f>
        <v/>
      </c>
    </row>
    <row r="142" ht="45.0" customHeight="1">
      <c r="A142" s="126" t="str">
        <f>'Закупка'!A142</f>
        <v/>
      </c>
      <c r="B142" s="127" t="str">
        <f>'Закупка'!B142</f>
        <v/>
      </c>
      <c r="C142" s="128" t="str">
        <f>'Закупка'!R142</f>
        <v/>
      </c>
      <c r="D142" s="129" t="str">
        <f t="array" ref="D142">INDEX('Закупка'!G142:K142, $A$2)</f>
        <v/>
      </c>
      <c r="E142" s="130" t="str">
        <f>'Закупка'!F142</f>
        <v/>
      </c>
      <c r="F142" s="131" t="str">
        <f t="shared" si="1"/>
        <v/>
      </c>
      <c r="G142" s="132"/>
      <c r="H142" s="133"/>
      <c r="I142" s="134"/>
      <c r="J142" s="131" t="str">
        <f t="shared" si="2"/>
        <v/>
      </c>
      <c r="K142" s="135" t="str">
        <f>'Закупка'!T142</f>
        <v/>
      </c>
      <c r="L142" s="136" t="str">
        <f>'Закупка'!U142</f>
        <v/>
      </c>
      <c r="M142" s="137" t="str">
        <f>'Закупка'!V142</f>
        <v/>
      </c>
    </row>
    <row r="143" ht="45.0" customHeight="1">
      <c r="A143" s="126" t="str">
        <f>'Закупка'!A143</f>
        <v/>
      </c>
      <c r="B143" s="127" t="str">
        <f>'Закупка'!B143</f>
        <v/>
      </c>
      <c r="C143" s="128" t="str">
        <f>'Закупка'!R143</f>
        <v/>
      </c>
      <c r="D143" s="129" t="str">
        <f t="array" ref="D143">INDEX('Закупка'!G143:K143, $A$2)</f>
        <v/>
      </c>
      <c r="E143" s="130" t="str">
        <f>'Закупка'!F143</f>
        <v/>
      </c>
      <c r="F143" s="131" t="str">
        <f t="shared" si="1"/>
        <v/>
      </c>
      <c r="G143" s="132"/>
      <c r="H143" s="133"/>
      <c r="I143" s="134"/>
      <c r="J143" s="131" t="str">
        <f t="shared" si="2"/>
        <v/>
      </c>
      <c r="K143" s="135" t="str">
        <f>'Закупка'!T143</f>
        <v/>
      </c>
      <c r="L143" s="136" t="str">
        <f>'Закупка'!U143</f>
        <v/>
      </c>
      <c r="M143" s="137" t="str">
        <f>'Закупка'!V143</f>
        <v/>
      </c>
    </row>
    <row r="144" ht="45.0" customHeight="1">
      <c r="A144" s="126" t="str">
        <f>'Закупка'!A144</f>
        <v/>
      </c>
      <c r="B144" s="127" t="str">
        <f>'Закупка'!B144</f>
        <v/>
      </c>
      <c r="C144" s="128" t="str">
        <f>'Закупка'!R144</f>
        <v/>
      </c>
      <c r="D144" s="129" t="str">
        <f t="array" ref="D144">INDEX('Закупка'!G144:K144, $A$2)</f>
        <v/>
      </c>
      <c r="E144" s="130" t="str">
        <f>'Закупка'!F144</f>
        <v/>
      </c>
      <c r="F144" s="131" t="str">
        <f t="shared" si="1"/>
        <v/>
      </c>
      <c r="G144" s="132"/>
      <c r="H144" s="133"/>
      <c r="I144" s="134"/>
      <c r="J144" s="131" t="str">
        <f t="shared" si="2"/>
        <v/>
      </c>
      <c r="K144" s="135" t="str">
        <f>'Закупка'!T144</f>
        <v/>
      </c>
      <c r="L144" s="136" t="str">
        <f>'Закупка'!U144</f>
        <v/>
      </c>
      <c r="M144" s="137" t="str">
        <f>'Закупка'!V144</f>
        <v/>
      </c>
    </row>
    <row r="145" ht="45.0" customHeight="1">
      <c r="A145" s="126" t="str">
        <f>'Закупка'!A145</f>
        <v/>
      </c>
      <c r="B145" s="127" t="str">
        <f>'Закупка'!B145</f>
        <v/>
      </c>
      <c r="C145" s="128" t="str">
        <f>'Закупка'!R145</f>
        <v/>
      </c>
      <c r="D145" s="129" t="str">
        <f t="array" ref="D145">INDEX('Закупка'!G145:K145, $A$2)</f>
        <v/>
      </c>
      <c r="E145" s="130" t="str">
        <f>'Закупка'!F145</f>
        <v/>
      </c>
      <c r="F145" s="131" t="str">
        <f t="shared" si="1"/>
        <v/>
      </c>
      <c r="G145" s="132"/>
      <c r="H145" s="133"/>
      <c r="I145" s="134"/>
      <c r="J145" s="131" t="str">
        <f t="shared" si="2"/>
        <v/>
      </c>
      <c r="K145" s="135" t="str">
        <f>'Закупка'!T145</f>
        <v/>
      </c>
      <c r="L145" s="136" t="str">
        <f>'Закупка'!U145</f>
        <v/>
      </c>
      <c r="M145" s="137" t="str">
        <f>'Закупка'!V145</f>
        <v/>
      </c>
    </row>
    <row r="146" ht="45.0" customHeight="1">
      <c r="A146" s="126" t="str">
        <f>'Закупка'!A146</f>
        <v/>
      </c>
      <c r="B146" s="127" t="str">
        <f>'Закупка'!B146</f>
        <v/>
      </c>
      <c r="C146" s="128" t="str">
        <f>'Закупка'!R146</f>
        <v/>
      </c>
      <c r="D146" s="129" t="str">
        <f t="array" ref="D146">INDEX('Закупка'!G146:K146, $A$2)</f>
        <v/>
      </c>
      <c r="E146" s="130" t="str">
        <f>'Закупка'!F146</f>
        <v/>
      </c>
      <c r="F146" s="131" t="str">
        <f t="shared" si="1"/>
        <v/>
      </c>
      <c r="G146" s="132"/>
      <c r="H146" s="133"/>
      <c r="I146" s="134"/>
      <c r="J146" s="131" t="str">
        <f t="shared" si="2"/>
        <v/>
      </c>
      <c r="K146" s="135" t="str">
        <f>'Закупка'!T146</f>
        <v/>
      </c>
      <c r="L146" s="136" t="str">
        <f>'Закупка'!U146</f>
        <v/>
      </c>
      <c r="M146" s="137" t="str">
        <f>'Закупка'!V146</f>
        <v/>
      </c>
    </row>
    <row r="147" ht="45.0" customHeight="1">
      <c r="A147" s="126" t="str">
        <f>'Закупка'!A147</f>
        <v/>
      </c>
      <c r="B147" s="127" t="str">
        <f>'Закупка'!B147</f>
        <v/>
      </c>
      <c r="C147" s="128" t="str">
        <f>'Закупка'!R147</f>
        <v/>
      </c>
      <c r="D147" s="129" t="str">
        <f t="array" ref="D147">INDEX('Закупка'!G147:K147, $A$2)</f>
        <v/>
      </c>
      <c r="E147" s="130" t="str">
        <f>'Закупка'!F147</f>
        <v/>
      </c>
      <c r="F147" s="131" t="str">
        <f t="shared" si="1"/>
        <v/>
      </c>
      <c r="G147" s="132"/>
      <c r="H147" s="133"/>
      <c r="I147" s="134"/>
      <c r="J147" s="131" t="str">
        <f t="shared" si="2"/>
        <v/>
      </c>
      <c r="K147" s="135" t="str">
        <f>'Закупка'!T147</f>
        <v/>
      </c>
      <c r="L147" s="136" t="str">
        <f>'Закупка'!U147</f>
        <v/>
      </c>
      <c r="M147" s="137" t="str">
        <f>'Закупка'!V147</f>
        <v/>
      </c>
    </row>
    <row r="148" ht="45.0" customHeight="1">
      <c r="A148" s="126" t="str">
        <f>'Закупка'!A148</f>
        <v/>
      </c>
      <c r="B148" s="127" t="str">
        <f>'Закупка'!B148</f>
        <v/>
      </c>
      <c r="C148" s="128" t="str">
        <f>'Закупка'!R148</f>
        <v/>
      </c>
      <c r="D148" s="129" t="str">
        <f t="array" ref="D148">INDEX('Закупка'!G148:K148, $A$2)</f>
        <v/>
      </c>
      <c r="E148" s="130" t="str">
        <f>'Закупка'!F148</f>
        <v/>
      </c>
      <c r="F148" s="131" t="str">
        <f t="shared" si="1"/>
        <v/>
      </c>
      <c r="G148" s="132"/>
      <c r="H148" s="133"/>
      <c r="I148" s="134"/>
      <c r="J148" s="131" t="str">
        <f t="shared" si="2"/>
        <v/>
      </c>
      <c r="K148" s="135" t="str">
        <f>'Закупка'!T148</f>
        <v/>
      </c>
      <c r="L148" s="136" t="str">
        <f>'Закупка'!U148</f>
        <v/>
      </c>
      <c r="M148" s="137" t="str">
        <f>'Закупка'!V148</f>
        <v/>
      </c>
    </row>
    <row r="149" ht="45.0" customHeight="1">
      <c r="A149" s="126" t="str">
        <f>'Закупка'!A149</f>
        <v/>
      </c>
      <c r="B149" s="127" t="str">
        <f>'Закупка'!B149</f>
        <v/>
      </c>
      <c r="C149" s="128" t="str">
        <f>'Закупка'!R149</f>
        <v/>
      </c>
      <c r="D149" s="129" t="str">
        <f t="array" ref="D149">INDEX('Закупка'!G149:K149, $A$2)</f>
        <v/>
      </c>
      <c r="E149" s="130" t="str">
        <f>'Закупка'!F149</f>
        <v/>
      </c>
      <c r="F149" s="131" t="str">
        <f t="shared" si="1"/>
        <v/>
      </c>
      <c r="G149" s="132"/>
      <c r="H149" s="133"/>
      <c r="I149" s="134"/>
      <c r="J149" s="131" t="str">
        <f t="shared" si="2"/>
        <v/>
      </c>
      <c r="K149" s="135" t="str">
        <f>'Закупка'!T149</f>
        <v/>
      </c>
      <c r="L149" s="136" t="str">
        <f>'Закупка'!U149</f>
        <v/>
      </c>
      <c r="M149" s="137" t="str">
        <f>'Закупка'!V149</f>
        <v/>
      </c>
    </row>
    <row r="150" ht="45.0" customHeight="1">
      <c r="A150" s="126" t="str">
        <f>'Закупка'!A150</f>
        <v/>
      </c>
      <c r="B150" s="127" t="str">
        <f>'Закупка'!B150</f>
        <v/>
      </c>
      <c r="C150" s="128" t="str">
        <f>'Закупка'!R150</f>
        <v/>
      </c>
      <c r="D150" s="129" t="str">
        <f t="array" ref="D150">INDEX('Закупка'!G150:K150, $A$2)</f>
        <v/>
      </c>
      <c r="E150" s="130" t="str">
        <f>'Закупка'!F150</f>
        <v/>
      </c>
      <c r="F150" s="131" t="str">
        <f t="shared" si="1"/>
        <v/>
      </c>
      <c r="G150" s="132"/>
      <c r="H150" s="133"/>
      <c r="I150" s="134"/>
      <c r="J150" s="131" t="str">
        <f t="shared" si="2"/>
        <v/>
      </c>
      <c r="K150" s="135" t="str">
        <f>'Закупка'!T150</f>
        <v/>
      </c>
      <c r="L150" s="136" t="str">
        <f>'Закупка'!U150</f>
        <v/>
      </c>
      <c r="M150" s="137" t="str">
        <f>'Закупка'!V150</f>
        <v/>
      </c>
    </row>
    <row r="151" ht="45.0" customHeight="1">
      <c r="A151" s="126" t="str">
        <f>'Закупка'!A151</f>
        <v/>
      </c>
      <c r="B151" s="127" t="str">
        <f>'Закупка'!B151</f>
        <v/>
      </c>
      <c r="C151" s="128" t="str">
        <f>'Закупка'!R151</f>
        <v/>
      </c>
      <c r="D151" s="129" t="str">
        <f t="array" ref="D151">INDEX('Закупка'!G151:K151, $A$2)</f>
        <v/>
      </c>
      <c r="E151" s="130" t="str">
        <f>'Закупка'!F151</f>
        <v/>
      </c>
      <c r="F151" s="131" t="str">
        <f t="shared" si="1"/>
        <v/>
      </c>
      <c r="G151" s="132"/>
      <c r="H151" s="133"/>
      <c r="I151" s="134"/>
      <c r="J151" s="131" t="str">
        <f t="shared" si="2"/>
        <v/>
      </c>
      <c r="K151" s="135" t="str">
        <f>'Закупка'!T151</f>
        <v/>
      </c>
      <c r="L151" s="136" t="str">
        <f>'Закупка'!U151</f>
        <v/>
      </c>
      <c r="M151" s="137" t="str">
        <f>'Закупка'!V151</f>
        <v/>
      </c>
    </row>
    <row r="152" ht="45.0" customHeight="1">
      <c r="A152" s="126" t="str">
        <f>'Закупка'!A152</f>
        <v/>
      </c>
      <c r="B152" s="127" t="str">
        <f>'Закупка'!B152</f>
        <v/>
      </c>
      <c r="C152" s="128" t="str">
        <f>'Закупка'!R152</f>
        <v/>
      </c>
      <c r="D152" s="129" t="str">
        <f t="array" ref="D152">INDEX('Закупка'!G152:K152, $A$2)</f>
        <v/>
      </c>
      <c r="E152" s="130" t="str">
        <f>'Закупка'!F152</f>
        <v/>
      </c>
      <c r="F152" s="131" t="str">
        <f t="shared" si="1"/>
        <v/>
      </c>
      <c r="G152" s="132"/>
      <c r="H152" s="133"/>
      <c r="I152" s="134"/>
      <c r="J152" s="131" t="str">
        <f t="shared" si="2"/>
        <v/>
      </c>
      <c r="K152" s="135" t="str">
        <f>'Закупка'!T152</f>
        <v/>
      </c>
      <c r="L152" s="136" t="str">
        <f>'Закупка'!U152</f>
        <v/>
      </c>
      <c r="M152" s="137" t="str">
        <f>'Закупка'!V152</f>
        <v/>
      </c>
    </row>
    <row r="153" ht="45.0" customHeight="1">
      <c r="A153" s="126" t="str">
        <f>'Закупка'!A153</f>
        <v/>
      </c>
      <c r="B153" s="127" t="str">
        <f>'Закупка'!B153</f>
        <v/>
      </c>
      <c r="C153" s="128" t="str">
        <f>'Закупка'!R153</f>
        <v/>
      </c>
      <c r="D153" s="129" t="str">
        <f t="array" ref="D153">INDEX('Закупка'!G153:K153, $A$2)</f>
        <v/>
      </c>
      <c r="E153" s="130" t="str">
        <f>'Закупка'!F153</f>
        <v/>
      </c>
      <c r="F153" s="131" t="str">
        <f t="shared" si="1"/>
        <v/>
      </c>
      <c r="G153" s="132"/>
      <c r="H153" s="133"/>
      <c r="I153" s="134"/>
      <c r="J153" s="131" t="str">
        <f t="shared" si="2"/>
        <v/>
      </c>
      <c r="K153" s="135" t="str">
        <f>'Закупка'!T153</f>
        <v/>
      </c>
      <c r="L153" s="136" t="str">
        <f>'Закупка'!U153</f>
        <v/>
      </c>
      <c r="M153" s="137" t="str">
        <f>'Закупка'!V153</f>
        <v/>
      </c>
    </row>
    <row r="154" ht="45.0" customHeight="1">
      <c r="A154" s="126" t="str">
        <f>'Закупка'!A154</f>
        <v/>
      </c>
      <c r="B154" s="127" t="str">
        <f>'Закупка'!B154</f>
        <v/>
      </c>
      <c r="C154" s="128" t="str">
        <f>'Закупка'!R154</f>
        <v/>
      </c>
      <c r="D154" s="129" t="str">
        <f t="array" ref="D154">INDEX('Закупка'!G154:K154, $A$2)</f>
        <v/>
      </c>
      <c r="E154" s="130" t="str">
        <f>'Закупка'!F154</f>
        <v/>
      </c>
      <c r="F154" s="131" t="str">
        <f t="shared" si="1"/>
        <v/>
      </c>
      <c r="G154" s="132"/>
      <c r="H154" s="133"/>
      <c r="I154" s="134"/>
      <c r="J154" s="131" t="str">
        <f t="shared" si="2"/>
        <v/>
      </c>
      <c r="K154" s="135" t="str">
        <f>'Закупка'!T154</f>
        <v/>
      </c>
      <c r="L154" s="136" t="str">
        <f>'Закупка'!U154</f>
        <v/>
      </c>
      <c r="M154" s="137" t="str">
        <f>'Закупка'!V154</f>
        <v/>
      </c>
    </row>
    <row r="155" ht="45.0" customHeight="1">
      <c r="A155" s="126" t="str">
        <f>'Закупка'!A155</f>
        <v/>
      </c>
      <c r="B155" s="127" t="str">
        <f>'Закупка'!B155</f>
        <v/>
      </c>
      <c r="C155" s="128" t="str">
        <f>'Закупка'!R155</f>
        <v/>
      </c>
      <c r="D155" s="129" t="str">
        <f t="array" ref="D155">INDEX('Закупка'!G155:K155, $A$2)</f>
        <v/>
      </c>
      <c r="E155" s="130" t="str">
        <f>'Закупка'!F155</f>
        <v/>
      </c>
      <c r="F155" s="131" t="str">
        <f t="shared" si="1"/>
        <v/>
      </c>
      <c r="G155" s="132"/>
      <c r="H155" s="133"/>
      <c r="I155" s="134"/>
      <c r="J155" s="131" t="str">
        <f t="shared" si="2"/>
        <v/>
      </c>
      <c r="K155" s="135" t="str">
        <f>'Закупка'!T155</f>
        <v/>
      </c>
      <c r="L155" s="136" t="str">
        <f>'Закупка'!U155</f>
        <v/>
      </c>
      <c r="M155" s="137" t="str">
        <f>'Закупка'!V155</f>
        <v/>
      </c>
    </row>
    <row r="156" ht="45.0" customHeight="1">
      <c r="A156" s="126" t="str">
        <f>'Закупка'!A156</f>
        <v/>
      </c>
      <c r="B156" s="127" t="str">
        <f>'Закупка'!B156</f>
        <v/>
      </c>
      <c r="C156" s="128" t="str">
        <f>'Закупка'!R156</f>
        <v/>
      </c>
      <c r="D156" s="129" t="str">
        <f t="array" ref="D156">INDEX('Закупка'!G156:K156, $A$2)</f>
        <v/>
      </c>
      <c r="E156" s="130" t="str">
        <f>'Закупка'!F156</f>
        <v/>
      </c>
      <c r="F156" s="131" t="str">
        <f t="shared" si="1"/>
        <v/>
      </c>
      <c r="G156" s="132"/>
      <c r="H156" s="133"/>
      <c r="I156" s="134"/>
      <c r="J156" s="131" t="str">
        <f t="shared" si="2"/>
        <v/>
      </c>
      <c r="K156" s="135" t="str">
        <f>'Закупка'!T156</f>
        <v/>
      </c>
      <c r="L156" s="136" t="str">
        <f>'Закупка'!U156</f>
        <v/>
      </c>
      <c r="M156" s="137" t="str">
        <f>'Закупка'!V156</f>
        <v/>
      </c>
    </row>
    <row r="157" ht="45.0" customHeight="1">
      <c r="A157" s="126" t="str">
        <f>'Закупка'!A157</f>
        <v/>
      </c>
      <c r="B157" s="127" t="str">
        <f>'Закупка'!B157</f>
        <v/>
      </c>
      <c r="C157" s="128" t="str">
        <f>'Закупка'!R157</f>
        <v/>
      </c>
      <c r="D157" s="129" t="str">
        <f t="array" ref="D157">INDEX('Закупка'!G157:K157, $A$2)</f>
        <v/>
      </c>
      <c r="E157" s="130" t="str">
        <f>'Закупка'!F157</f>
        <v/>
      </c>
      <c r="F157" s="131" t="str">
        <f t="shared" si="1"/>
        <v/>
      </c>
      <c r="G157" s="132"/>
      <c r="H157" s="133"/>
      <c r="I157" s="134"/>
      <c r="J157" s="131" t="str">
        <f t="shared" si="2"/>
        <v/>
      </c>
      <c r="K157" s="135" t="str">
        <f>'Закупка'!T157</f>
        <v/>
      </c>
      <c r="L157" s="136" t="str">
        <f>'Закупка'!U157</f>
        <v/>
      </c>
      <c r="M157" s="137" t="str">
        <f>'Закупка'!V157</f>
        <v/>
      </c>
    </row>
    <row r="158" ht="45.0" customHeight="1">
      <c r="A158" s="126" t="str">
        <f>'Закупка'!A158</f>
        <v/>
      </c>
      <c r="B158" s="127" t="str">
        <f>'Закупка'!B158</f>
        <v/>
      </c>
      <c r="C158" s="128" t="str">
        <f>'Закупка'!R158</f>
        <v/>
      </c>
      <c r="D158" s="129" t="str">
        <f t="array" ref="D158">INDEX('Закупка'!G158:K158, $A$2)</f>
        <v/>
      </c>
      <c r="E158" s="130" t="str">
        <f>'Закупка'!F158</f>
        <v/>
      </c>
      <c r="F158" s="131" t="str">
        <f t="shared" si="1"/>
        <v/>
      </c>
      <c r="G158" s="132"/>
      <c r="H158" s="133"/>
      <c r="I158" s="134"/>
      <c r="J158" s="131" t="str">
        <f t="shared" si="2"/>
        <v/>
      </c>
      <c r="K158" s="135" t="str">
        <f>'Закупка'!T158</f>
        <v/>
      </c>
      <c r="L158" s="136" t="str">
        <f>'Закупка'!U158</f>
        <v/>
      </c>
      <c r="M158" s="137" t="str">
        <f>'Закупка'!V158</f>
        <v/>
      </c>
    </row>
    <row r="159" ht="45.0" customHeight="1">
      <c r="A159" s="126" t="str">
        <f>'Закупка'!A159</f>
        <v/>
      </c>
      <c r="B159" s="127" t="str">
        <f>'Закупка'!B159</f>
        <v/>
      </c>
      <c r="C159" s="128" t="str">
        <f>'Закупка'!R159</f>
        <v/>
      </c>
      <c r="D159" s="129" t="str">
        <f t="array" ref="D159">INDEX('Закупка'!G159:K159, $A$2)</f>
        <v/>
      </c>
      <c r="E159" s="130" t="str">
        <f>'Закупка'!F159</f>
        <v/>
      </c>
      <c r="F159" s="131" t="str">
        <f t="shared" si="1"/>
        <v/>
      </c>
      <c r="G159" s="132"/>
      <c r="H159" s="133"/>
      <c r="I159" s="134"/>
      <c r="J159" s="131" t="str">
        <f t="shared" si="2"/>
        <v/>
      </c>
      <c r="K159" s="135" t="str">
        <f>'Закупка'!T159</f>
        <v/>
      </c>
      <c r="L159" s="136" t="str">
        <f>'Закупка'!U159</f>
        <v/>
      </c>
      <c r="M159" s="137" t="str">
        <f>'Закупка'!V159</f>
        <v/>
      </c>
    </row>
    <row r="160" ht="45.0" customHeight="1">
      <c r="A160" s="126" t="str">
        <f>'Закупка'!A160</f>
        <v/>
      </c>
      <c r="B160" s="127" t="str">
        <f>'Закупка'!B160</f>
        <v/>
      </c>
      <c r="C160" s="128" t="str">
        <f>'Закупка'!R160</f>
        <v/>
      </c>
      <c r="D160" s="129" t="str">
        <f t="array" ref="D160">INDEX('Закупка'!G160:K160, $A$2)</f>
        <v/>
      </c>
      <c r="E160" s="130" t="str">
        <f>'Закупка'!F160</f>
        <v/>
      </c>
      <c r="F160" s="131" t="str">
        <f t="shared" si="1"/>
        <v/>
      </c>
      <c r="G160" s="132"/>
      <c r="H160" s="133"/>
      <c r="I160" s="134"/>
      <c r="J160" s="131" t="str">
        <f t="shared" si="2"/>
        <v/>
      </c>
      <c r="K160" s="135" t="str">
        <f>'Закупка'!T160</f>
        <v/>
      </c>
      <c r="L160" s="136" t="str">
        <f>'Закупка'!U160</f>
        <v/>
      </c>
      <c r="M160" s="137" t="str">
        <f>'Закупка'!V160</f>
        <v/>
      </c>
    </row>
    <row r="161" ht="45.0" customHeight="1">
      <c r="A161" s="126" t="str">
        <f>'Закупка'!A161</f>
        <v/>
      </c>
      <c r="B161" s="127" t="str">
        <f>'Закупка'!B161</f>
        <v/>
      </c>
      <c r="C161" s="128" t="str">
        <f>'Закупка'!R161</f>
        <v/>
      </c>
      <c r="D161" s="129" t="str">
        <f t="array" ref="D161">INDEX('Закупка'!G161:K161, $A$2)</f>
        <v/>
      </c>
      <c r="E161" s="130" t="str">
        <f>'Закупка'!F161</f>
        <v/>
      </c>
      <c r="F161" s="131" t="str">
        <f t="shared" si="1"/>
        <v/>
      </c>
      <c r="G161" s="132"/>
      <c r="H161" s="133"/>
      <c r="I161" s="134"/>
      <c r="J161" s="131" t="str">
        <f t="shared" si="2"/>
        <v/>
      </c>
      <c r="K161" s="135" t="str">
        <f>'Закупка'!T161</f>
        <v/>
      </c>
      <c r="L161" s="136" t="str">
        <f>'Закупка'!U161</f>
        <v/>
      </c>
      <c r="M161" s="137" t="str">
        <f>'Закупка'!V161</f>
        <v/>
      </c>
    </row>
    <row r="162" ht="45.0" customHeight="1">
      <c r="A162" s="126" t="str">
        <f>'Закупка'!A162</f>
        <v/>
      </c>
      <c r="B162" s="127" t="str">
        <f>'Закупка'!B162</f>
        <v/>
      </c>
      <c r="C162" s="128" t="str">
        <f>'Закупка'!R162</f>
        <v/>
      </c>
      <c r="D162" s="129" t="str">
        <f t="array" ref="D162">INDEX('Закупка'!G162:K162, $A$2)</f>
        <v/>
      </c>
      <c r="E162" s="130" t="str">
        <f>'Закупка'!F162</f>
        <v/>
      </c>
      <c r="F162" s="131" t="str">
        <f t="shared" si="1"/>
        <v/>
      </c>
      <c r="G162" s="132"/>
      <c r="H162" s="133"/>
      <c r="I162" s="134"/>
      <c r="J162" s="131" t="str">
        <f t="shared" si="2"/>
        <v/>
      </c>
      <c r="K162" s="135" t="str">
        <f>'Закупка'!T162</f>
        <v/>
      </c>
      <c r="L162" s="136" t="str">
        <f>'Закупка'!U162</f>
        <v/>
      </c>
      <c r="M162" s="137" t="str">
        <f>'Закупка'!V162</f>
        <v/>
      </c>
    </row>
    <row r="163" ht="45.0" customHeight="1">
      <c r="A163" s="126" t="str">
        <f>'Закупка'!A163</f>
        <v/>
      </c>
      <c r="B163" s="127" t="str">
        <f>'Закупка'!B163</f>
        <v/>
      </c>
      <c r="C163" s="128" t="str">
        <f>'Закупка'!R163</f>
        <v/>
      </c>
      <c r="D163" s="129" t="str">
        <f t="array" ref="D163">INDEX('Закупка'!G163:K163, $A$2)</f>
        <v/>
      </c>
      <c r="E163" s="130" t="str">
        <f>'Закупка'!F163</f>
        <v/>
      </c>
      <c r="F163" s="131" t="str">
        <f t="shared" si="1"/>
        <v/>
      </c>
      <c r="G163" s="132"/>
      <c r="H163" s="133"/>
      <c r="I163" s="134"/>
      <c r="J163" s="131" t="str">
        <f t="shared" si="2"/>
        <v/>
      </c>
      <c r="K163" s="135" t="str">
        <f>'Закупка'!T163</f>
        <v/>
      </c>
      <c r="L163" s="136" t="str">
        <f>'Закупка'!U163</f>
        <v/>
      </c>
      <c r="M163" s="137" t="str">
        <f>'Закупка'!V163</f>
        <v/>
      </c>
    </row>
    <row r="164" ht="45.0" customHeight="1">
      <c r="A164" s="126" t="str">
        <f>'Закупка'!A164</f>
        <v/>
      </c>
      <c r="B164" s="127" t="str">
        <f>'Закупка'!B164</f>
        <v/>
      </c>
      <c r="C164" s="128" t="str">
        <f>'Закупка'!R164</f>
        <v/>
      </c>
      <c r="D164" s="129" t="str">
        <f t="array" ref="D164">INDEX('Закупка'!G164:K164, $A$2)</f>
        <v/>
      </c>
      <c r="E164" s="130" t="str">
        <f>'Закупка'!F164</f>
        <v/>
      </c>
      <c r="F164" s="131" t="str">
        <f t="shared" si="1"/>
        <v/>
      </c>
      <c r="G164" s="132"/>
      <c r="H164" s="133"/>
      <c r="I164" s="134"/>
      <c r="J164" s="131" t="str">
        <f t="shared" si="2"/>
        <v/>
      </c>
      <c r="K164" s="135" t="str">
        <f>'Закупка'!T164</f>
        <v/>
      </c>
      <c r="L164" s="136" t="str">
        <f>'Закупка'!U164</f>
        <v/>
      </c>
      <c r="M164" s="137" t="str">
        <f>'Закупка'!V164</f>
        <v/>
      </c>
    </row>
    <row r="165" ht="45.0" customHeight="1">
      <c r="A165" s="126" t="str">
        <f>'Закупка'!A165</f>
        <v/>
      </c>
      <c r="B165" s="127" t="str">
        <f>'Закупка'!B165</f>
        <v/>
      </c>
      <c r="C165" s="128" t="str">
        <f>'Закупка'!R165</f>
        <v/>
      </c>
      <c r="D165" s="129" t="str">
        <f t="array" ref="D165">INDEX('Закупка'!G165:K165, $A$2)</f>
        <v/>
      </c>
      <c r="E165" s="130" t="str">
        <f>'Закупка'!F165</f>
        <v/>
      </c>
      <c r="F165" s="131" t="str">
        <f t="shared" si="1"/>
        <v/>
      </c>
      <c r="G165" s="132"/>
      <c r="H165" s="133"/>
      <c r="I165" s="134"/>
      <c r="J165" s="131" t="str">
        <f t="shared" si="2"/>
        <v/>
      </c>
      <c r="K165" s="135" t="str">
        <f>'Закупка'!T165</f>
        <v/>
      </c>
      <c r="L165" s="136" t="str">
        <f>'Закупка'!U165</f>
        <v/>
      </c>
      <c r="M165" s="137" t="str">
        <f>'Закупка'!V165</f>
        <v/>
      </c>
    </row>
    <row r="166" ht="45.0" customHeight="1">
      <c r="A166" s="126" t="str">
        <f>'Закупка'!A166</f>
        <v/>
      </c>
      <c r="B166" s="127" t="str">
        <f>'Закупка'!B166</f>
        <v/>
      </c>
      <c r="C166" s="128" t="str">
        <f>'Закупка'!R166</f>
        <v/>
      </c>
      <c r="D166" s="129" t="str">
        <f t="array" ref="D166">INDEX('Закупка'!G166:K166, $A$2)</f>
        <v/>
      </c>
      <c r="E166" s="130" t="str">
        <f>'Закупка'!F166</f>
        <v/>
      </c>
      <c r="F166" s="131" t="str">
        <f t="shared" si="1"/>
        <v/>
      </c>
      <c r="G166" s="132"/>
      <c r="H166" s="133"/>
      <c r="I166" s="134"/>
      <c r="J166" s="131" t="str">
        <f t="shared" si="2"/>
        <v/>
      </c>
      <c r="K166" s="135" t="str">
        <f>'Закупка'!T166</f>
        <v/>
      </c>
      <c r="L166" s="136" t="str">
        <f>'Закупка'!U166</f>
        <v/>
      </c>
      <c r="M166" s="137" t="str">
        <f>'Закупка'!V166</f>
        <v/>
      </c>
    </row>
    <row r="167" ht="45.0" customHeight="1">
      <c r="A167" s="126" t="str">
        <f>'Закупка'!A167</f>
        <v/>
      </c>
      <c r="B167" s="127" t="str">
        <f>'Закупка'!B167</f>
        <v/>
      </c>
      <c r="C167" s="128" t="str">
        <f>'Закупка'!R167</f>
        <v/>
      </c>
      <c r="D167" s="129" t="str">
        <f t="array" ref="D167">INDEX('Закупка'!G167:K167, $A$2)</f>
        <v/>
      </c>
      <c r="E167" s="130" t="str">
        <f>'Закупка'!F167</f>
        <v/>
      </c>
      <c r="F167" s="131" t="str">
        <f t="shared" si="1"/>
        <v/>
      </c>
      <c r="G167" s="132"/>
      <c r="H167" s="133"/>
      <c r="I167" s="134"/>
      <c r="J167" s="131" t="str">
        <f t="shared" si="2"/>
        <v/>
      </c>
      <c r="K167" s="135" t="str">
        <f>'Закупка'!T167</f>
        <v/>
      </c>
      <c r="L167" s="136" t="str">
        <f>'Закупка'!U167</f>
        <v/>
      </c>
      <c r="M167" s="137" t="str">
        <f>'Закупка'!V167</f>
        <v/>
      </c>
    </row>
    <row r="168" ht="45.0" customHeight="1">
      <c r="A168" s="126" t="str">
        <f>'Закупка'!A168</f>
        <v/>
      </c>
      <c r="B168" s="127" t="str">
        <f>'Закупка'!B168</f>
        <v/>
      </c>
      <c r="C168" s="128" t="str">
        <f>'Закупка'!R168</f>
        <v/>
      </c>
      <c r="D168" s="129" t="str">
        <f t="array" ref="D168">INDEX('Закупка'!G168:K168, $A$2)</f>
        <v/>
      </c>
      <c r="E168" s="130" t="str">
        <f>'Закупка'!F168</f>
        <v/>
      </c>
      <c r="F168" s="131" t="str">
        <f t="shared" si="1"/>
        <v/>
      </c>
      <c r="G168" s="132"/>
      <c r="H168" s="133"/>
      <c r="I168" s="134"/>
      <c r="J168" s="131" t="str">
        <f t="shared" si="2"/>
        <v/>
      </c>
      <c r="K168" s="135" t="str">
        <f>'Закупка'!T168</f>
        <v/>
      </c>
      <c r="L168" s="136" t="str">
        <f>'Закупка'!U168</f>
        <v/>
      </c>
      <c r="M168" s="137" t="str">
        <f>'Закупка'!V168</f>
        <v/>
      </c>
    </row>
    <row r="169" ht="45.0" customHeight="1">
      <c r="A169" s="126" t="str">
        <f>'Закупка'!A169</f>
        <v/>
      </c>
      <c r="B169" s="127" t="str">
        <f>'Закупка'!B169</f>
        <v/>
      </c>
      <c r="C169" s="128" t="str">
        <f>'Закупка'!R169</f>
        <v/>
      </c>
      <c r="D169" s="129" t="str">
        <f t="array" ref="D169">INDEX('Закупка'!G169:K169, $A$2)</f>
        <v/>
      </c>
      <c r="E169" s="130" t="str">
        <f>'Закупка'!F169</f>
        <v/>
      </c>
      <c r="F169" s="131" t="str">
        <f t="shared" si="1"/>
        <v/>
      </c>
      <c r="G169" s="132"/>
      <c r="H169" s="133"/>
      <c r="I169" s="134"/>
      <c r="J169" s="131" t="str">
        <f t="shared" si="2"/>
        <v/>
      </c>
      <c r="K169" s="135" t="str">
        <f>'Закупка'!T169</f>
        <v/>
      </c>
      <c r="L169" s="136" t="str">
        <f>'Закупка'!U169</f>
        <v/>
      </c>
      <c r="M169" s="137" t="str">
        <f>'Закупка'!V169</f>
        <v/>
      </c>
    </row>
    <row r="170" ht="45.0" customHeight="1">
      <c r="A170" s="126" t="str">
        <f>'Закупка'!A170</f>
        <v/>
      </c>
      <c r="B170" s="127" t="str">
        <f>'Закупка'!B170</f>
        <v/>
      </c>
      <c r="C170" s="128" t="str">
        <f>'Закупка'!R170</f>
        <v/>
      </c>
      <c r="D170" s="129" t="str">
        <f t="array" ref="D170">INDEX('Закупка'!G170:K170, $A$2)</f>
        <v/>
      </c>
      <c r="E170" s="130" t="str">
        <f>'Закупка'!F170</f>
        <v/>
      </c>
      <c r="F170" s="131" t="str">
        <f t="shared" si="1"/>
        <v/>
      </c>
      <c r="G170" s="132"/>
      <c r="H170" s="133"/>
      <c r="I170" s="134"/>
      <c r="J170" s="131" t="str">
        <f t="shared" si="2"/>
        <v/>
      </c>
      <c r="K170" s="135" t="str">
        <f>'Закупка'!T170</f>
        <v/>
      </c>
      <c r="L170" s="136" t="str">
        <f>'Закупка'!U170</f>
        <v/>
      </c>
      <c r="M170" s="137" t="str">
        <f>'Закупка'!V170</f>
        <v/>
      </c>
    </row>
    <row r="171" ht="45.0" customHeight="1">
      <c r="A171" s="126" t="str">
        <f>'Закупка'!A171</f>
        <v/>
      </c>
      <c r="B171" s="127" t="str">
        <f>'Закупка'!B171</f>
        <v/>
      </c>
      <c r="C171" s="128" t="str">
        <f>'Закупка'!R171</f>
        <v/>
      </c>
      <c r="D171" s="129" t="str">
        <f t="array" ref="D171">INDEX('Закупка'!G171:K171, $A$2)</f>
        <v/>
      </c>
      <c r="E171" s="130" t="str">
        <f>'Закупка'!F171</f>
        <v/>
      </c>
      <c r="F171" s="131" t="str">
        <f t="shared" si="1"/>
        <v/>
      </c>
      <c r="G171" s="132"/>
      <c r="H171" s="133"/>
      <c r="I171" s="134"/>
      <c r="J171" s="131" t="str">
        <f t="shared" si="2"/>
        <v/>
      </c>
      <c r="K171" s="135" t="str">
        <f>'Закупка'!T171</f>
        <v/>
      </c>
      <c r="L171" s="136" t="str">
        <f>'Закупка'!U171</f>
        <v/>
      </c>
      <c r="M171" s="137" t="str">
        <f>'Закупка'!V171</f>
        <v/>
      </c>
    </row>
    <row r="172" ht="45.0" customHeight="1">
      <c r="A172" s="126" t="str">
        <f>'Закупка'!A172</f>
        <v/>
      </c>
      <c r="B172" s="127" t="str">
        <f>'Закупка'!B172</f>
        <v/>
      </c>
      <c r="C172" s="128" t="str">
        <f>'Закупка'!R172</f>
        <v/>
      </c>
      <c r="D172" s="129" t="str">
        <f t="array" ref="D172">INDEX('Закупка'!G172:K172, $A$2)</f>
        <v/>
      </c>
      <c r="E172" s="130" t="str">
        <f>'Закупка'!F172</f>
        <v/>
      </c>
      <c r="F172" s="131" t="str">
        <f t="shared" si="1"/>
        <v/>
      </c>
      <c r="G172" s="132"/>
      <c r="H172" s="133"/>
      <c r="I172" s="134"/>
      <c r="J172" s="131" t="str">
        <f t="shared" si="2"/>
        <v/>
      </c>
      <c r="K172" s="135" t="str">
        <f>'Закупка'!T172</f>
        <v/>
      </c>
      <c r="L172" s="136" t="str">
        <f>'Закупка'!U172</f>
        <v/>
      </c>
      <c r="M172" s="137" t="str">
        <f>'Закупка'!V172</f>
        <v/>
      </c>
    </row>
    <row r="173" ht="45.0" customHeight="1">
      <c r="A173" s="126" t="str">
        <f>'Закупка'!A173</f>
        <v/>
      </c>
      <c r="B173" s="127" t="str">
        <f>'Закупка'!B173</f>
        <v/>
      </c>
      <c r="C173" s="128" t="str">
        <f>'Закупка'!R173</f>
        <v/>
      </c>
      <c r="D173" s="129" t="str">
        <f t="array" ref="D173">INDEX('Закупка'!G173:K173, $A$2)</f>
        <v/>
      </c>
      <c r="E173" s="130" t="str">
        <f>'Закупка'!F173</f>
        <v/>
      </c>
      <c r="F173" s="131" t="str">
        <f t="shared" si="1"/>
        <v/>
      </c>
      <c r="G173" s="132"/>
      <c r="H173" s="133"/>
      <c r="I173" s="134"/>
      <c r="J173" s="131" t="str">
        <f t="shared" si="2"/>
        <v/>
      </c>
      <c r="K173" s="135" t="str">
        <f>'Закупка'!T173</f>
        <v/>
      </c>
      <c r="L173" s="136" t="str">
        <f>'Закупка'!U173</f>
        <v/>
      </c>
      <c r="M173" s="137" t="str">
        <f>'Закупка'!V173</f>
        <v/>
      </c>
    </row>
    <row r="174" ht="45.0" customHeight="1">
      <c r="A174" s="126" t="str">
        <f>'Закупка'!A174</f>
        <v/>
      </c>
      <c r="B174" s="127" t="str">
        <f>'Закупка'!B174</f>
        <v/>
      </c>
      <c r="C174" s="128" t="str">
        <f>'Закупка'!R174</f>
        <v/>
      </c>
      <c r="D174" s="129" t="str">
        <f t="array" ref="D174">INDEX('Закупка'!G174:K174, $A$2)</f>
        <v/>
      </c>
      <c r="E174" s="130" t="str">
        <f>'Закупка'!F174</f>
        <v/>
      </c>
      <c r="F174" s="131" t="str">
        <f t="shared" si="1"/>
        <v/>
      </c>
      <c r="G174" s="132"/>
      <c r="H174" s="133"/>
      <c r="I174" s="134"/>
      <c r="J174" s="131" t="str">
        <f t="shared" si="2"/>
        <v/>
      </c>
      <c r="K174" s="135" t="str">
        <f>'Закупка'!T174</f>
        <v/>
      </c>
      <c r="L174" s="136" t="str">
        <f>'Закупка'!U174</f>
        <v/>
      </c>
      <c r="M174" s="137" t="str">
        <f>'Закупка'!V174</f>
        <v/>
      </c>
    </row>
    <row r="175" ht="45.0" customHeight="1">
      <c r="A175" s="126" t="str">
        <f>'Закупка'!A175</f>
        <v/>
      </c>
      <c r="B175" s="127" t="str">
        <f>'Закупка'!B175</f>
        <v/>
      </c>
      <c r="C175" s="128" t="str">
        <f>'Закупка'!R175</f>
        <v/>
      </c>
      <c r="D175" s="129" t="str">
        <f t="array" ref="D175">INDEX('Закупка'!G175:K175, $A$2)</f>
        <v/>
      </c>
      <c r="E175" s="130" t="str">
        <f>'Закупка'!F175</f>
        <v/>
      </c>
      <c r="F175" s="131" t="str">
        <f t="shared" si="1"/>
        <v/>
      </c>
      <c r="G175" s="132"/>
      <c r="H175" s="133"/>
      <c r="I175" s="134"/>
      <c r="J175" s="131" t="str">
        <f t="shared" si="2"/>
        <v/>
      </c>
      <c r="K175" s="135" t="str">
        <f>'Закупка'!T175</f>
        <v/>
      </c>
      <c r="L175" s="136" t="str">
        <f>'Закупка'!U175</f>
        <v/>
      </c>
      <c r="M175" s="137" t="str">
        <f>'Закупка'!V175</f>
        <v/>
      </c>
    </row>
    <row r="176" ht="45.0" customHeight="1">
      <c r="A176" s="126" t="str">
        <f>'Закупка'!A176</f>
        <v/>
      </c>
      <c r="B176" s="127" t="str">
        <f>'Закупка'!B176</f>
        <v/>
      </c>
      <c r="C176" s="128" t="str">
        <f>'Закупка'!R176</f>
        <v/>
      </c>
      <c r="D176" s="129" t="str">
        <f t="array" ref="D176">INDEX('Закупка'!G176:K176, $A$2)</f>
        <v/>
      </c>
      <c r="E176" s="130" t="str">
        <f>'Закупка'!F176</f>
        <v/>
      </c>
      <c r="F176" s="131" t="str">
        <f t="shared" si="1"/>
        <v/>
      </c>
      <c r="G176" s="132"/>
      <c r="H176" s="133"/>
      <c r="I176" s="134"/>
      <c r="J176" s="131" t="str">
        <f t="shared" si="2"/>
        <v/>
      </c>
      <c r="K176" s="135" t="str">
        <f>'Закупка'!T176</f>
        <v/>
      </c>
      <c r="L176" s="136" t="str">
        <f>'Закупка'!U176</f>
        <v/>
      </c>
      <c r="M176" s="137" t="str">
        <f>'Закупка'!V176</f>
        <v/>
      </c>
    </row>
    <row r="177" ht="45.0" customHeight="1">
      <c r="A177" s="126" t="str">
        <f>'Закупка'!A177</f>
        <v/>
      </c>
      <c r="B177" s="127" t="str">
        <f>'Закупка'!B177</f>
        <v/>
      </c>
      <c r="C177" s="128" t="str">
        <f>'Закупка'!R177</f>
        <v/>
      </c>
      <c r="D177" s="129" t="str">
        <f t="array" ref="D177">INDEX('Закупка'!G177:K177, $A$2)</f>
        <v/>
      </c>
      <c r="E177" s="130" t="str">
        <f>'Закупка'!F177</f>
        <v/>
      </c>
      <c r="F177" s="131" t="str">
        <f t="shared" si="1"/>
        <v/>
      </c>
      <c r="G177" s="132"/>
      <c r="H177" s="133"/>
      <c r="I177" s="134"/>
      <c r="J177" s="131" t="str">
        <f t="shared" si="2"/>
        <v/>
      </c>
      <c r="K177" s="135" t="str">
        <f>'Закупка'!T177</f>
        <v/>
      </c>
      <c r="L177" s="136" t="str">
        <f>'Закупка'!U177</f>
        <v/>
      </c>
      <c r="M177" s="137" t="str">
        <f>'Закупка'!V177</f>
        <v/>
      </c>
    </row>
    <row r="178" ht="45.0" customHeight="1">
      <c r="A178" s="126" t="str">
        <f>'Закупка'!A178</f>
        <v/>
      </c>
      <c r="B178" s="127" t="str">
        <f>'Закупка'!B178</f>
        <v/>
      </c>
      <c r="C178" s="128" t="str">
        <f>'Закупка'!R178</f>
        <v/>
      </c>
      <c r="D178" s="129" t="str">
        <f t="array" ref="D178">INDEX('Закупка'!G178:K178, $A$2)</f>
        <v/>
      </c>
      <c r="E178" s="130" t="str">
        <f>'Закупка'!F178</f>
        <v/>
      </c>
      <c r="F178" s="131" t="str">
        <f t="shared" si="1"/>
        <v/>
      </c>
      <c r="G178" s="132"/>
      <c r="H178" s="133"/>
      <c r="I178" s="134"/>
      <c r="J178" s="131" t="str">
        <f t="shared" si="2"/>
        <v/>
      </c>
      <c r="K178" s="135" t="str">
        <f>'Закупка'!T178</f>
        <v/>
      </c>
      <c r="L178" s="136" t="str">
        <f>'Закупка'!U178</f>
        <v/>
      </c>
      <c r="M178" s="137" t="str">
        <f>'Закупка'!V178</f>
        <v/>
      </c>
    </row>
    <row r="179" ht="45.0" customHeight="1">
      <c r="A179" s="126" t="str">
        <f>'Закупка'!A179</f>
        <v/>
      </c>
      <c r="B179" s="127" t="str">
        <f>'Закупка'!B179</f>
        <v/>
      </c>
      <c r="C179" s="128" t="str">
        <f>'Закупка'!R179</f>
        <v/>
      </c>
      <c r="D179" s="129" t="str">
        <f t="array" ref="D179">INDEX('Закупка'!G179:K179, $A$2)</f>
        <v/>
      </c>
      <c r="E179" s="130" t="str">
        <f>'Закупка'!F179</f>
        <v/>
      </c>
      <c r="F179" s="131" t="str">
        <f t="shared" si="1"/>
        <v/>
      </c>
      <c r="G179" s="132"/>
      <c r="H179" s="133"/>
      <c r="I179" s="134"/>
      <c r="J179" s="131" t="str">
        <f t="shared" si="2"/>
        <v/>
      </c>
      <c r="K179" s="135" t="str">
        <f>'Закупка'!T179</f>
        <v/>
      </c>
      <c r="L179" s="136" t="str">
        <f>'Закупка'!U179</f>
        <v/>
      </c>
      <c r="M179" s="137" t="str">
        <f>'Закупка'!V179</f>
        <v/>
      </c>
    </row>
    <row r="180" ht="45.0" customHeight="1">
      <c r="A180" s="126" t="str">
        <f>'Закупка'!A180</f>
        <v/>
      </c>
      <c r="B180" s="127" t="str">
        <f>'Закупка'!B180</f>
        <v/>
      </c>
      <c r="C180" s="128" t="str">
        <f>'Закупка'!R180</f>
        <v/>
      </c>
      <c r="D180" s="129" t="str">
        <f t="array" ref="D180">INDEX('Закупка'!G180:K180, $A$2)</f>
        <v/>
      </c>
      <c r="E180" s="130" t="str">
        <f>'Закупка'!F180</f>
        <v/>
      </c>
      <c r="F180" s="131" t="str">
        <f t="shared" si="1"/>
        <v/>
      </c>
      <c r="G180" s="132"/>
      <c r="H180" s="133"/>
      <c r="I180" s="134"/>
      <c r="J180" s="131" t="str">
        <f t="shared" si="2"/>
        <v/>
      </c>
      <c r="K180" s="135" t="str">
        <f>'Закупка'!T180</f>
        <v/>
      </c>
      <c r="L180" s="136" t="str">
        <f>'Закупка'!U180</f>
        <v/>
      </c>
      <c r="M180" s="137" t="str">
        <f>'Закупка'!V180</f>
        <v/>
      </c>
    </row>
    <row r="181" ht="45.0" customHeight="1">
      <c r="A181" s="126" t="str">
        <f>'Закупка'!A181</f>
        <v/>
      </c>
      <c r="B181" s="127" t="str">
        <f>'Закупка'!B181</f>
        <v/>
      </c>
      <c r="C181" s="128" t="str">
        <f>'Закупка'!R181</f>
        <v/>
      </c>
      <c r="D181" s="129" t="str">
        <f t="array" ref="D181">INDEX('Закупка'!G181:K181, $A$2)</f>
        <v/>
      </c>
      <c r="E181" s="130" t="str">
        <f>'Закупка'!F181</f>
        <v/>
      </c>
      <c r="F181" s="131" t="str">
        <f t="shared" si="1"/>
        <v/>
      </c>
      <c r="G181" s="132"/>
      <c r="H181" s="133"/>
      <c r="I181" s="134"/>
      <c r="J181" s="131" t="str">
        <f t="shared" si="2"/>
        <v/>
      </c>
      <c r="K181" s="135" t="str">
        <f>'Закупка'!T181</f>
        <v/>
      </c>
      <c r="L181" s="136" t="str">
        <f>'Закупка'!U181</f>
        <v/>
      </c>
      <c r="M181" s="137" t="str">
        <f>'Закупка'!V181</f>
        <v/>
      </c>
    </row>
    <row r="182" ht="45.0" customHeight="1">
      <c r="A182" s="126" t="str">
        <f>'Закупка'!A182</f>
        <v/>
      </c>
      <c r="B182" s="127" t="str">
        <f>'Закупка'!B182</f>
        <v/>
      </c>
      <c r="C182" s="128" t="str">
        <f>'Закупка'!R182</f>
        <v/>
      </c>
      <c r="D182" s="129" t="str">
        <f t="array" ref="D182">INDEX('Закупка'!G182:K182, $A$2)</f>
        <v/>
      </c>
      <c r="E182" s="130" t="str">
        <f>'Закупка'!F182</f>
        <v/>
      </c>
      <c r="F182" s="131" t="str">
        <f t="shared" si="1"/>
        <v/>
      </c>
      <c r="G182" s="132"/>
      <c r="H182" s="133"/>
      <c r="I182" s="134"/>
      <c r="J182" s="131" t="str">
        <f t="shared" si="2"/>
        <v/>
      </c>
      <c r="K182" s="135" t="str">
        <f>'Закупка'!T182</f>
        <v/>
      </c>
      <c r="L182" s="136" t="str">
        <f>'Закупка'!U182</f>
        <v/>
      </c>
      <c r="M182" s="137" t="str">
        <f>'Закупка'!V182</f>
        <v/>
      </c>
    </row>
    <row r="183" ht="45.0" customHeight="1">
      <c r="A183" s="126" t="str">
        <f>'Закупка'!A183</f>
        <v/>
      </c>
      <c r="B183" s="127" t="str">
        <f>'Закупка'!B183</f>
        <v/>
      </c>
      <c r="C183" s="128" t="str">
        <f>'Закупка'!R183</f>
        <v/>
      </c>
      <c r="D183" s="129" t="str">
        <f t="array" ref="D183">INDEX('Закупка'!G183:K183, $A$2)</f>
        <v/>
      </c>
      <c r="E183" s="130" t="str">
        <f>'Закупка'!F183</f>
        <v/>
      </c>
      <c r="F183" s="131" t="str">
        <f t="shared" si="1"/>
        <v/>
      </c>
      <c r="G183" s="132"/>
      <c r="H183" s="133"/>
      <c r="I183" s="134"/>
      <c r="J183" s="131" t="str">
        <f t="shared" si="2"/>
        <v/>
      </c>
      <c r="K183" s="135" t="str">
        <f>'Закупка'!T183</f>
        <v/>
      </c>
      <c r="L183" s="136" t="str">
        <f>'Закупка'!U183</f>
        <v/>
      </c>
      <c r="M183" s="137" t="str">
        <f>'Закупка'!V183</f>
        <v/>
      </c>
    </row>
    <row r="184" ht="45.0" customHeight="1">
      <c r="A184" s="126" t="str">
        <f>'Закупка'!A184</f>
        <v/>
      </c>
      <c r="B184" s="127" t="str">
        <f>'Закупка'!B184</f>
        <v/>
      </c>
      <c r="C184" s="128" t="str">
        <f>'Закупка'!R184</f>
        <v/>
      </c>
      <c r="D184" s="129" t="str">
        <f t="array" ref="D184">INDEX('Закупка'!G184:K184, $A$2)</f>
        <v/>
      </c>
      <c r="E184" s="130" t="str">
        <f>'Закупка'!F184</f>
        <v/>
      </c>
      <c r="F184" s="131" t="str">
        <f t="shared" si="1"/>
        <v/>
      </c>
      <c r="G184" s="132"/>
      <c r="H184" s="133"/>
      <c r="I184" s="134"/>
      <c r="J184" s="131" t="str">
        <f t="shared" si="2"/>
        <v/>
      </c>
      <c r="K184" s="135" t="str">
        <f>'Закупка'!T184</f>
        <v/>
      </c>
      <c r="L184" s="136" t="str">
        <f>'Закупка'!U184</f>
        <v/>
      </c>
      <c r="M184" s="137" t="str">
        <f>'Закупка'!V184</f>
        <v/>
      </c>
    </row>
    <row r="185" ht="45.0" customHeight="1">
      <c r="A185" s="126" t="str">
        <f>'Закупка'!A185</f>
        <v/>
      </c>
      <c r="B185" s="127" t="str">
        <f>'Закупка'!B185</f>
        <v/>
      </c>
      <c r="C185" s="128" t="str">
        <f>'Закупка'!R185</f>
        <v/>
      </c>
      <c r="D185" s="129" t="str">
        <f t="array" ref="D185">INDEX('Закупка'!G185:K185, $A$2)</f>
        <v/>
      </c>
      <c r="E185" s="130" t="str">
        <f>'Закупка'!F185</f>
        <v/>
      </c>
      <c r="F185" s="131" t="str">
        <f t="shared" si="1"/>
        <v/>
      </c>
      <c r="G185" s="132"/>
      <c r="H185" s="133"/>
      <c r="I185" s="134"/>
      <c r="J185" s="131" t="str">
        <f t="shared" si="2"/>
        <v/>
      </c>
      <c r="K185" s="135" t="str">
        <f>'Закупка'!T185</f>
        <v/>
      </c>
      <c r="L185" s="136" t="str">
        <f>'Закупка'!U185</f>
        <v/>
      </c>
      <c r="M185" s="137" t="str">
        <f>'Закупка'!V185</f>
        <v/>
      </c>
    </row>
    <row r="186" ht="45.0" customHeight="1">
      <c r="A186" s="126" t="str">
        <f>'Закупка'!A186</f>
        <v/>
      </c>
      <c r="B186" s="127" t="str">
        <f>'Закупка'!B186</f>
        <v/>
      </c>
      <c r="C186" s="128" t="str">
        <f>'Закупка'!R186</f>
        <v/>
      </c>
      <c r="D186" s="129" t="str">
        <f t="array" ref="D186">INDEX('Закупка'!G186:K186, $A$2)</f>
        <v/>
      </c>
      <c r="E186" s="130" t="str">
        <f>'Закупка'!F186</f>
        <v/>
      </c>
      <c r="F186" s="131" t="str">
        <f t="shared" si="1"/>
        <v/>
      </c>
      <c r="G186" s="132"/>
      <c r="H186" s="133"/>
      <c r="I186" s="134"/>
      <c r="J186" s="131" t="str">
        <f t="shared" si="2"/>
        <v/>
      </c>
      <c r="K186" s="135" t="str">
        <f>'Закупка'!T186</f>
        <v/>
      </c>
      <c r="L186" s="136" t="str">
        <f>'Закупка'!U186</f>
        <v/>
      </c>
      <c r="M186" s="137" t="str">
        <f>'Закупка'!V186</f>
        <v/>
      </c>
    </row>
    <row r="187" ht="45.0" customHeight="1">
      <c r="A187" s="126" t="str">
        <f>'Закупка'!A187</f>
        <v/>
      </c>
      <c r="B187" s="127" t="str">
        <f>'Закупка'!B187</f>
        <v/>
      </c>
      <c r="C187" s="128" t="str">
        <f>'Закупка'!R187</f>
        <v/>
      </c>
      <c r="D187" s="129" t="str">
        <f t="array" ref="D187">INDEX('Закупка'!G187:K187, $A$2)</f>
        <v/>
      </c>
      <c r="E187" s="130" t="str">
        <f>'Закупка'!F187</f>
        <v/>
      </c>
      <c r="F187" s="131" t="str">
        <f t="shared" si="1"/>
        <v/>
      </c>
      <c r="G187" s="132"/>
      <c r="H187" s="133"/>
      <c r="I187" s="134"/>
      <c r="J187" s="131" t="str">
        <f t="shared" si="2"/>
        <v/>
      </c>
      <c r="K187" s="135" t="str">
        <f>'Закупка'!T187</f>
        <v/>
      </c>
      <c r="L187" s="136" t="str">
        <f>'Закупка'!U187</f>
        <v/>
      </c>
      <c r="M187" s="137" t="str">
        <f>'Закупка'!V187</f>
        <v/>
      </c>
    </row>
    <row r="188" ht="45.0" customHeight="1">
      <c r="A188" s="126" t="str">
        <f>'Закупка'!A188</f>
        <v/>
      </c>
      <c r="B188" s="127" t="str">
        <f>'Закупка'!B188</f>
        <v/>
      </c>
      <c r="C188" s="128" t="str">
        <f>'Закупка'!R188</f>
        <v/>
      </c>
      <c r="D188" s="129" t="str">
        <f t="array" ref="D188">INDEX('Закупка'!G188:K188, $A$2)</f>
        <v/>
      </c>
      <c r="E188" s="130" t="str">
        <f>'Закупка'!F188</f>
        <v/>
      </c>
      <c r="F188" s="131" t="str">
        <f t="shared" si="1"/>
        <v/>
      </c>
      <c r="G188" s="132"/>
      <c r="H188" s="133"/>
      <c r="I188" s="134"/>
      <c r="J188" s="131" t="str">
        <f t="shared" si="2"/>
        <v/>
      </c>
      <c r="K188" s="135" t="str">
        <f>'Закупка'!T188</f>
        <v/>
      </c>
      <c r="L188" s="136" t="str">
        <f>'Закупка'!U188</f>
        <v/>
      </c>
      <c r="M188" s="137" t="str">
        <f>'Закупка'!V188</f>
        <v/>
      </c>
    </row>
    <row r="189" ht="45.0" customHeight="1">
      <c r="A189" s="126" t="str">
        <f>'Закупка'!A189</f>
        <v/>
      </c>
      <c r="B189" s="127" t="str">
        <f>'Закупка'!B189</f>
        <v/>
      </c>
      <c r="C189" s="128" t="str">
        <f>'Закупка'!R189</f>
        <v/>
      </c>
      <c r="D189" s="129" t="str">
        <f t="array" ref="D189">INDEX('Закупка'!G189:K189, $A$2)</f>
        <v/>
      </c>
      <c r="E189" s="130" t="str">
        <f>'Закупка'!F189</f>
        <v/>
      </c>
      <c r="F189" s="131" t="str">
        <f t="shared" si="1"/>
        <v/>
      </c>
      <c r="G189" s="132"/>
      <c r="H189" s="133"/>
      <c r="I189" s="134"/>
      <c r="J189" s="131" t="str">
        <f t="shared" si="2"/>
        <v/>
      </c>
      <c r="K189" s="135" t="str">
        <f>'Закупка'!T189</f>
        <v/>
      </c>
      <c r="L189" s="136" t="str">
        <f>'Закупка'!U189</f>
        <v/>
      </c>
      <c r="M189" s="137" t="str">
        <f>'Закупка'!V189</f>
        <v/>
      </c>
    </row>
    <row r="190" ht="45.0" customHeight="1">
      <c r="A190" s="126" t="str">
        <f>'Закупка'!A190</f>
        <v/>
      </c>
      <c r="B190" s="127" t="str">
        <f>'Закупка'!B190</f>
        <v/>
      </c>
      <c r="C190" s="128" t="str">
        <f>'Закупка'!R190</f>
        <v/>
      </c>
      <c r="D190" s="129" t="str">
        <f t="array" ref="D190">INDEX('Закупка'!G190:K190, $A$2)</f>
        <v/>
      </c>
      <c r="E190" s="130" t="str">
        <f>'Закупка'!F190</f>
        <v/>
      </c>
      <c r="F190" s="131" t="str">
        <f t="shared" si="1"/>
        <v/>
      </c>
      <c r="G190" s="132"/>
      <c r="H190" s="133"/>
      <c r="I190" s="134"/>
      <c r="J190" s="131" t="str">
        <f t="shared" si="2"/>
        <v/>
      </c>
      <c r="K190" s="135" t="str">
        <f>'Закупка'!T190</f>
        <v/>
      </c>
      <c r="L190" s="136" t="str">
        <f>'Закупка'!U190</f>
        <v/>
      </c>
      <c r="M190" s="137" t="str">
        <f>'Закупка'!V190</f>
        <v/>
      </c>
    </row>
    <row r="191" ht="45.0" customHeight="1">
      <c r="A191" s="126" t="str">
        <f>'Закупка'!A191</f>
        <v/>
      </c>
      <c r="B191" s="127" t="str">
        <f>'Закупка'!B191</f>
        <v/>
      </c>
      <c r="C191" s="128" t="str">
        <f>'Закупка'!R191</f>
        <v/>
      </c>
      <c r="D191" s="129" t="str">
        <f t="array" ref="D191">INDEX('Закупка'!G191:K191, $A$2)</f>
        <v/>
      </c>
      <c r="E191" s="130" t="str">
        <f>'Закупка'!F191</f>
        <v/>
      </c>
      <c r="F191" s="131" t="str">
        <f t="shared" si="1"/>
        <v/>
      </c>
      <c r="G191" s="132"/>
      <c r="H191" s="133"/>
      <c r="I191" s="134"/>
      <c r="J191" s="131" t="str">
        <f t="shared" si="2"/>
        <v/>
      </c>
      <c r="K191" s="135" t="str">
        <f>'Закупка'!T191</f>
        <v/>
      </c>
      <c r="L191" s="136" t="str">
        <f>'Закупка'!U191</f>
        <v/>
      </c>
      <c r="M191" s="137" t="str">
        <f>'Закупка'!V191</f>
        <v/>
      </c>
    </row>
    <row r="192" ht="45.0" customHeight="1">
      <c r="A192" s="126" t="str">
        <f>'Закупка'!A192</f>
        <v/>
      </c>
      <c r="B192" s="127" t="str">
        <f>'Закупка'!B192</f>
        <v/>
      </c>
      <c r="C192" s="128" t="str">
        <f>'Закупка'!R192</f>
        <v/>
      </c>
      <c r="D192" s="129" t="str">
        <f t="array" ref="D192">INDEX('Закупка'!G192:K192, $A$2)</f>
        <v/>
      </c>
      <c r="E192" s="130" t="str">
        <f>'Закупка'!F192</f>
        <v/>
      </c>
      <c r="F192" s="131" t="str">
        <f t="shared" si="1"/>
        <v/>
      </c>
      <c r="G192" s="132"/>
      <c r="H192" s="133"/>
      <c r="I192" s="134"/>
      <c r="J192" s="131" t="str">
        <f t="shared" si="2"/>
        <v/>
      </c>
      <c r="K192" s="135" t="str">
        <f>'Закупка'!T192</f>
        <v/>
      </c>
      <c r="L192" s="136" t="str">
        <f>'Закупка'!U192</f>
        <v/>
      </c>
      <c r="M192" s="137" t="str">
        <f>'Закупка'!V192</f>
        <v/>
      </c>
    </row>
    <row r="193" ht="45.0" customHeight="1">
      <c r="A193" s="126" t="str">
        <f>'Закупка'!A193</f>
        <v/>
      </c>
      <c r="B193" s="127" t="str">
        <f>'Закупка'!B193</f>
        <v/>
      </c>
      <c r="C193" s="128" t="str">
        <f>'Закупка'!R193</f>
        <v/>
      </c>
      <c r="D193" s="129" t="str">
        <f t="array" ref="D193">INDEX('Закупка'!G193:K193, $A$2)</f>
        <v/>
      </c>
      <c r="E193" s="130" t="str">
        <f>'Закупка'!F193</f>
        <v/>
      </c>
      <c r="F193" s="131" t="str">
        <f t="shared" si="1"/>
        <v/>
      </c>
      <c r="G193" s="132"/>
      <c r="H193" s="133"/>
      <c r="I193" s="134"/>
      <c r="J193" s="131" t="str">
        <f t="shared" si="2"/>
        <v/>
      </c>
      <c r="K193" s="135" t="str">
        <f>'Закупка'!T193</f>
        <v/>
      </c>
      <c r="L193" s="136" t="str">
        <f>'Закупка'!U193</f>
        <v/>
      </c>
      <c r="M193" s="137" t="str">
        <f>'Закупка'!V193</f>
        <v/>
      </c>
    </row>
    <row r="194" ht="45.0" customHeight="1">
      <c r="A194" s="126" t="str">
        <f>'Закупка'!A194</f>
        <v/>
      </c>
      <c r="B194" s="127" t="str">
        <f>'Закупка'!B194</f>
        <v/>
      </c>
      <c r="C194" s="128" t="str">
        <f>'Закупка'!R194</f>
        <v/>
      </c>
      <c r="D194" s="129" t="str">
        <f t="array" ref="D194">INDEX('Закупка'!G194:K194, $A$2)</f>
        <v/>
      </c>
      <c r="E194" s="130" t="str">
        <f>'Закупка'!F194</f>
        <v/>
      </c>
      <c r="F194" s="131" t="str">
        <f t="shared" si="1"/>
        <v/>
      </c>
      <c r="G194" s="132"/>
      <c r="H194" s="133"/>
      <c r="I194" s="134"/>
      <c r="J194" s="131" t="str">
        <f t="shared" si="2"/>
        <v/>
      </c>
      <c r="K194" s="135" t="str">
        <f>'Закупка'!T194</f>
        <v/>
      </c>
      <c r="L194" s="136" t="str">
        <f>'Закупка'!U194</f>
        <v/>
      </c>
      <c r="M194" s="137" t="str">
        <f>'Закупка'!V194</f>
        <v/>
      </c>
    </row>
    <row r="195" ht="45.0" customHeight="1">
      <c r="A195" s="126" t="str">
        <f>'Закупка'!A195</f>
        <v/>
      </c>
      <c r="B195" s="127" t="str">
        <f>'Закупка'!B195</f>
        <v/>
      </c>
      <c r="C195" s="128" t="str">
        <f>'Закупка'!R195</f>
        <v/>
      </c>
      <c r="D195" s="129" t="str">
        <f t="array" ref="D195">INDEX('Закупка'!G195:K195, $A$2)</f>
        <v/>
      </c>
      <c r="E195" s="130" t="str">
        <f>'Закупка'!F195</f>
        <v/>
      </c>
      <c r="F195" s="131" t="str">
        <f t="shared" si="1"/>
        <v/>
      </c>
      <c r="G195" s="132"/>
      <c r="H195" s="133"/>
      <c r="I195" s="134"/>
      <c r="J195" s="131" t="str">
        <f t="shared" si="2"/>
        <v/>
      </c>
      <c r="K195" s="135" t="str">
        <f>'Закупка'!T195</f>
        <v/>
      </c>
      <c r="L195" s="136" t="str">
        <f>'Закупка'!U195</f>
        <v/>
      </c>
      <c r="M195" s="137" t="str">
        <f>'Закупка'!V195</f>
        <v/>
      </c>
    </row>
    <row r="196" ht="45.0" customHeight="1">
      <c r="A196" s="126" t="str">
        <f>'Закупка'!A196</f>
        <v/>
      </c>
      <c r="B196" s="127" t="str">
        <f>'Закупка'!B196</f>
        <v/>
      </c>
      <c r="C196" s="128" t="str">
        <f>'Закупка'!R196</f>
        <v/>
      </c>
      <c r="D196" s="129" t="str">
        <f t="array" ref="D196">INDEX('Закупка'!G196:K196, $A$2)</f>
        <v/>
      </c>
      <c r="E196" s="130" t="str">
        <f>'Закупка'!F196</f>
        <v/>
      </c>
      <c r="F196" s="131" t="str">
        <f t="shared" si="1"/>
        <v/>
      </c>
      <c r="G196" s="132"/>
      <c r="H196" s="133"/>
      <c r="I196" s="134"/>
      <c r="J196" s="131" t="str">
        <f t="shared" si="2"/>
        <v/>
      </c>
      <c r="K196" s="135" t="str">
        <f>'Закупка'!T196</f>
        <v/>
      </c>
      <c r="L196" s="136" t="str">
        <f>'Закупка'!U196</f>
        <v/>
      </c>
      <c r="M196" s="137" t="str">
        <f>'Закупка'!V196</f>
        <v/>
      </c>
    </row>
    <row r="197" ht="45.0" customHeight="1">
      <c r="A197" s="138" t="str">
        <f>'Закупка'!A197</f>
        <v/>
      </c>
      <c r="B197" s="127" t="str">
        <f>'Закупка'!B197</f>
        <v/>
      </c>
      <c r="C197" s="128" t="str">
        <f>'Закупка'!R197</f>
        <v/>
      </c>
      <c r="D197" s="129" t="str">
        <f t="array" ref="D197">INDEX('Закупка'!G197:K197, $A$2)</f>
        <v/>
      </c>
      <c r="E197" s="139" t="str">
        <f>'Закупка'!F197</f>
        <v/>
      </c>
      <c r="F197" s="131" t="str">
        <f t="shared" si="1"/>
        <v/>
      </c>
      <c r="G197" s="132"/>
      <c r="H197" s="133"/>
      <c r="I197" s="134"/>
      <c r="J197" s="131" t="str">
        <f t="shared" si="2"/>
        <v/>
      </c>
      <c r="K197" s="135" t="str">
        <f>'Закупка'!T197</f>
        <v/>
      </c>
      <c r="L197" s="136" t="str">
        <f>'Закупка'!U197</f>
        <v/>
      </c>
      <c r="M197" s="137" t="str">
        <f>'Закупка'!V197</f>
        <v/>
      </c>
    </row>
    <row r="198" ht="45.0" customHeight="1">
      <c r="A198" s="138" t="str">
        <f>'Закупка'!A198</f>
        <v/>
      </c>
      <c r="B198" s="127" t="str">
        <f>'Закупка'!B198</f>
        <v/>
      </c>
      <c r="C198" s="128" t="str">
        <f>'Закупка'!R198</f>
        <v/>
      </c>
      <c r="D198" s="129" t="str">
        <f t="array" ref="D198">INDEX('Закупка'!G198:K198, $A$2)</f>
        <v/>
      </c>
      <c r="E198" s="139" t="str">
        <f>'Закупка'!F198</f>
        <v/>
      </c>
      <c r="F198" s="131" t="str">
        <f t="shared" si="1"/>
        <v/>
      </c>
      <c r="G198" s="132"/>
      <c r="H198" s="133"/>
      <c r="I198" s="134"/>
      <c r="J198" s="131" t="str">
        <f t="shared" si="2"/>
        <v/>
      </c>
      <c r="K198" s="135" t="str">
        <f>'Закупка'!T198</f>
        <v/>
      </c>
      <c r="L198" s="136" t="str">
        <f>'Закупка'!U198</f>
        <v/>
      </c>
      <c r="M198" s="137" t="str">
        <f>'Закупка'!V198</f>
        <v/>
      </c>
    </row>
    <row r="199" ht="45.0" customHeight="1">
      <c r="A199" s="138" t="str">
        <f>'Закупка'!A199</f>
        <v/>
      </c>
      <c r="B199" s="127" t="str">
        <f>'Закупка'!B199</f>
        <v/>
      </c>
      <c r="C199" s="128" t="str">
        <f>'Закупка'!R199</f>
        <v/>
      </c>
      <c r="D199" s="129" t="str">
        <f t="array" ref="D199">INDEX('Закупка'!G199:K199, $A$2)</f>
        <v/>
      </c>
      <c r="E199" s="139" t="str">
        <f>'Закупка'!F199</f>
        <v/>
      </c>
      <c r="F199" s="131" t="str">
        <f t="shared" si="1"/>
        <v/>
      </c>
      <c r="G199" s="132"/>
      <c r="H199" s="133"/>
      <c r="I199" s="134"/>
      <c r="J199" s="131" t="str">
        <f t="shared" si="2"/>
        <v/>
      </c>
      <c r="K199" s="135" t="str">
        <f>'Закупка'!T199</f>
        <v/>
      </c>
      <c r="L199" s="136" t="str">
        <f>'Закупка'!U199</f>
        <v/>
      </c>
      <c r="M199" s="13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1" t="s">
        <v>6</v>
      </c>
      <c r="B1" s="111" t="str">
        <f>VLOOKUP(A1, Lookup!B:C, 2, FALSE)</f>
        <v>Plaza</v>
      </c>
      <c r="C1" s="112"/>
      <c r="D1" s="113" t="s">
        <v>174</v>
      </c>
      <c r="E1" s="114" t="str">
        <f>'Закупка'!F1</f>
        <v>внтури пачки штук?</v>
      </c>
      <c r="F1" s="113" t="s">
        <v>175</v>
      </c>
      <c r="G1" s="115" t="s">
        <v>176</v>
      </c>
      <c r="J1" s="113" t="s">
        <v>177</v>
      </c>
      <c r="K1" s="116"/>
      <c r="L1" s="140"/>
      <c r="M1" s="116"/>
    </row>
    <row r="2" ht="23.25" customHeight="1">
      <c r="A2" s="119">
        <f>MATCH(A1, 'Закупка'!G1:K1, 0)</f>
        <v>2</v>
      </c>
      <c r="B2" s="120">
        <f>'Закупка'!B2</f>
        <v>45845</v>
      </c>
      <c r="C2" s="121"/>
      <c r="G2" s="122" t="s">
        <v>181</v>
      </c>
      <c r="H2" s="122" t="s">
        <v>182</v>
      </c>
      <c r="I2" s="122" t="s">
        <v>180</v>
      </c>
      <c r="K2" s="123" t="str">
        <f>'Закупка'!T1</f>
        <v>Holded артикул</v>
      </c>
      <c r="L2" s="124" t="str">
        <f>'Закупка'!U1</f>
        <v>название с holded</v>
      </c>
      <c r="M2" s="125" t="str">
        <f>'Закупка'!V1</f>
        <v>codigo de fabricasion</v>
      </c>
    </row>
    <row r="3" ht="45.0" customHeight="1">
      <c r="A3" s="126" t="str">
        <f>'Закупка'!A3</f>
        <v/>
      </c>
      <c r="B3" s="127" t="str">
        <f>'Закупка'!B3</f>
        <v>Фактура 1</v>
      </c>
      <c r="C3" s="128" t="str">
        <f>'Закупка'!R3</f>
        <v/>
      </c>
      <c r="D3" s="129" t="str">
        <f t="array" ref="D3">INDEX('Закупка'!G3:K3, $A$2)</f>
        <v/>
      </c>
      <c r="E3" s="130" t="str">
        <f>'Закупка'!F3</f>
        <v/>
      </c>
      <c r="F3" s="131" t="str">
        <f t="shared" ref="F3:F199" si="1">IF(D3&lt;&gt;"",D3*E3,)</f>
        <v/>
      </c>
      <c r="G3" s="132"/>
      <c r="H3" s="133"/>
      <c r="I3" s="134"/>
      <c r="J3" s="131"/>
      <c r="K3" s="135" t="str">
        <f>'Закупка'!T3</f>
        <v/>
      </c>
      <c r="L3" s="136" t="str">
        <f>'Закупка'!U3</f>
        <v/>
      </c>
      <c r="M3" s="137" t="str">
        <f>'Закупка'!V3</f>
        <v/>
      </c>
    </row>
    <row r="4" ht="45.0" customHeight="1">
      <c r="A4" s="126" t="str">
        <f>'Закупка'!A4</f>
        <v>1.1</v>
      </c>
      <c r="B4" s="127" t="str">
        <f>'Закупка'!B4</f>
        <v>RANUNCULUS CLOONEY TUAREQ</v>
      </c>
      <c r="C4" s="128" t="str">
        <f>'Закупка'!R4</f>
        <v/>
      </c>
      <c r="D4" s="129" t="str">
        <f t="array" ref="D4">INDEX('Закупка'!G4:K4, $A$2)</f>
        <v/>
      </c>
      <c r="E4" s="130" t="str">
        <f>'Закупка'!F4</f>
        <v>10</v>
      </c>
      <c r="F4" s="131" t="str">
        <f t="shared" si="1"/>
        <v/>
      </c>
      <c r="G4" s="132"/>
      <c r="H4" s="133"/>
      <c r="I4" s="134"/>
      <c r="J4" s="131"/>
      <c r="K4" s="135">
        <f>'Закупка'!T4</f>
        <v>8400518</v>
      </c>
      <c r="L4" s="136" t="str">
        <f>'Закупка'!U4</f>
        <v>RANUNCULUS - Butterfly - flor</v>
      </c>
      <c r="M4" s="137" t="str">
        <f>'Закупка'!V4</f>
        <v> RANUBUBL, RANUBUSA, 174946, 147132, 126830</v>
      </c>
    </row>
    <row r="5" ht="45.0" customHeight="1">
      <c r="A5" s="126" t="str">
        <f>'Закупка'!A5</f>
        <v>1.2</v>
      </c>
      <c r="B5" s="127" t="str">
        <f>'Закупка'!B5</f>
        <v>RANUNCULUS CLOONEY GRAND PASTEL</v>
      </c>
      <c r="C5" s="128" t="str">
        <f>'Закупка'!R5</f>
        <v/>
      </c>
      <c r="D5" s="129" t="str">
        <f t="array" ref="D5">INDEX('Закупка'!G5:K5, $A$2)</f>
        <v/>
      </c>
      <c r="E5" s="130" t="str">
        <f>'Закупка'!F5</f>
        <v>10</v>
      </c>
      <c r="F5" s="131" t="str">
        <f t="shared" si="1"/>
        <v/>
      </c>
      <c r="G5" s="132"/>
      <c r="H5" s="133"/>
      <c r="I5" s="134"/>
      <c r="J5" s="131"/>
      <c r="K5" s="135">
        <f>'Закупка'!T5</f>
        <v>8400518</v>
      </c>
      <c r="L5" s="136" t="str">
        <f>'Закупка'!U5</f>
        <v>RANUNCULUS - Butterfly - flor</v>
      </c>
      <c r="M5" s="137" t="str">
        <f>'Закупка'!V5</f>
        <v> RANUBUBL, RANUBUSA, 174946, 147132, 126830</v>
      </c>
    </row>
    <row r="6" ht="45.0" customHeight="1">
      <c r="A6" s="126" t="str">
        <f>'Закупка'!A6</f>
        <v>1.3</v>
      </c>
      <c r="B6" s="127" t="str">
        <f>'Закупка'!B6</f>
        <v>ALSTROEMERIA SI SOFIENA</v>
      </c>
      <c r="C6" s="128" t="str">
        <f>'Закупка'!R6</f>
        <v/>
      </c>
      <c r="D6" s="129">
        <f t="array" ref="D6">INDEX('Закупка'!G6:K6, $A$2)</f>
        <v>2</v>
      </c>
      <c r="E6" s="130" t="str">
        <f>'Закупка'!F6</f>
        <v>10</v>
      </c>
      <c r="F6" s="131">
        <f t="shared" si="1"/>
        <v>20</v>
      </c>
      <c r="G6" s="132">
        <v>2.0</v>
      </c>
      <c r="H6" s="133">
        <v>20.0</v>
      </c>
      <c r="I6" s="134"/>
      <c r="J6" s="131"/>
      <c r="K6" s="135">
        <f>'Закупка'!T6</f>
        <v>8400154</v>
      </c>
      <c r="L6" s="136" t="str">
        <f>'Закупка'!U6</f>
        <v>ALSTROEMERIA - flor</v>
      </c>
      <c r="M6" s="137" t="str">
        <f>'Закупка'!V6</f>
        <v>00027, 11920, 146548, 148465, ALS VA, 148462, 148466, 11920, ALS-P, 137896, 137077, 137894, 148289, 148469, ALSTROEMERIES ALSTROEMERIA, ALSP, 11920</v>
      </c>
    </row>
    <row r="7" ht="45.0" customHeight="1">
      <c r="A7" s="126" t="str">
        <f>'Закупка'!A7</f>
        <v>1.4</v>
      </c>
      <c r="B7" s="127" t="str">
        <f>'Закупка'!B7</f>
        <v>ROSA LARGE BELLE ROSE</v>
      </c>
      <c r="C7" s="128" t="str">
        <f>'Закупка'!R7</f>
        <v/>
      </c>
      <c r="D7" s="129" t="str">
        <f t="array" ref="D7">INDEX('Закупка'!G7:K7, $A$2)</f>
        <v/>
      </c>
      <c r="E7" s="130" t="str">
        <f>'Закупка'!F7</f>
        <v>10</v>
      </c>
      <c r="F7" s="131" t="str">
        <f t="shared" si="1"/>
        <v/>
      </c>
      <c r="G7" s="132"/>
      <c r="H7" s="133"/>
      <c r="I7" s="134"/>
      <c r="J7" s="131"/>
      <c r="K7" s="135">
        <f>'Закупка'!T7</f>
        <v>8400731</v>
      </c>
      <c r="L7" s="136" t="str">
        <f>'Закупка'!U7</f>
        <v>RS ROSA LA BELLE LOLOMARIK - flor</v>
      </c>
      <c r="M7" s="137">
        <f>'Закупка'!V7</f>
        <v>181496</v>
      </c>
    </row>
    <row r="8" ht="45.0" customHeight="1">
      <c r="A8" s="126" t="str">
        <f>'Закупка'!A8</f>
        <v>1.5</v>
      </c>
      <c r="B8" s="127" t="str">
        <f>'Закупка'!B8</f>
        <v>ROSA GARDEN PRISCILLA!</v>
      </c>
      <c r="C8" s="128" t="str">
        <f>'Закупка'!R8</f>
        <v/>
      </c>
      <c r="D8" s="129" t="str">
        <f t="array" ref="D8">INDEX('Закупка'!G8:K8, $A$2)</f>
        <v/>
      </c>
      <c r="E8" s="130" t="str">
        <f>'Закупка'!F8</f>
        <v>5</v>
      </c>
      <c r="F8" s="131" t="str">
        <f t="shared" si="1"/>
        <v/>
      </c>
      <c r="G8" s="132"/>
      <c r="H8" s="133"/>
      <c r="I8" s="134"/>
      <c r="J8" s="131"/>
      <c r="K8" s="135">
        <f>'Закупка'!T8</f>
        <v>84001081</v>
      </c>
      <c r="L8" s="136" t="str">
        <f>'Закупка'!U8</f>
        <v>ROSA PRISCILLA - flor</v>
      </c>
      <c r="M8" s="137" t="str">
        <f>'Закупка'!V8</f>
        <v/>
      </c>
    </row>
    <row r="9" ht="45.0" customHeight="1">
      <c r="A9" s="126" t="str">
        <f>'Закупка'!A9</f>
        <v>1.6</v>
      </c>
      <c r="B9" s="127" t="str">
        <f>'Закупка'!B9</f>
        <v>ROSA GARDEN MIX UHURU</v>
      </c>
      <c r="C9" s="128" t="str">
        <f>'Закупка'!R9</f>
        <v/>
      </c>
      <c r="D9" s="129" t="str">
        <f t="array" ref="D9">INDEX('Закупка'!G9:K9, $A$2)</f>
        <v/>
      </c>
      <c r="E9" s="130" t="str">
        <f>'Закупка'!F9</f>
        <v>6</v>
      </c>
      <c r="F9" s="131" t="str">
        <f t="shared" si="1"/>
        <v/>
      </c>
      <c r="G9" s="132"/>
      <c r="H9" s="133"/>
      <c r="I9" s="134"/>
      <c r="J9" s="131"/>
      <c r="K9" s="135">
        <f>'Закупка'!T9</f>
        <v>84001157</v>
      </c>
      <c r="L9" s="136" t="str">
        <f>'Закупка'!U9</f>
        <v>RISA GARDAN MIX - flor/3</v>
      </c>
      <c r="M9" s="137" t="str">
        <f>'Закупка'!V9</f>
        <v/>
      </c>
    </row>
    <row r="10" ht="45.0" customHeight="1">
      <c r="A10" s="126" t="str">
        <f>'Закупка'!A10</f>
        <v>1.7</v>
      </c>
      <c r="B10" s="127" t="str">
        <f>'Закупка'!B10</f>
        <v>ROSA SPRAY CHIMO</v>
      </c>
      <c r="C10" s="128" t="str">
        <f>'Закупка'!R10</f>
        <v/>
      </c>
      <c r="D10" s="129">
        <f t="array" ref="D10">INDEX('Закупка'!G10:K10, $A$2)</f>
        <v>2</v>
      </c>
      <c r="E10" s="130" t="str">
        <f>'Закупка'!F10</f>
        <v>10</v>
      </c>
      <c r="F10" s="131">
        <f t="shared" si="1"/>
        <v>20</v>
      </c>
      <c r="G10" s="132">
        <v>2.0</v>
      </c>
      <c r="H10" s="133">
        <v>20.0</v>
      </c>
      <c r="I10" s="134"/>
      <c r="J10" s="131"/>
      <c r="K10" s="135">
        <f>'Закупка'!T10</f>
        <v>8400828</v>
      </c>
      <c r="L10" s="136" t="str">
        <f>'Закупка'!U10</f>
        <v>ROSA CHIMO - flor</v>
      </c>
      <c r="M10" s="137">
        <f>'Закупка'!V10</f>
        <v>135409</v>
      </c>
    </row>
    <row r="11" ht="45.0" customHeight="1">
      <c r="A11" s="126" t="str">
        <f>'Закупка'!A11</f>
        <v>1.8</v>
      </c>
      <c r="B11" s="127" t="str">
        <f>'Закупка'!B11</f>
        <v>ROSA SPRAY BIRDS NEST+</v>
      </c>
      <c r="C11" s="128" t="str">
        <f>'Закупка'!R11</f>
        <v/>
      </c>
      <c r="D11" s="129" t="str">
        <f t="array" ref="D11">INDEX('Закупка'!G11:K11, $A$2)</f>
        <v/>
      </c>
      <c r="E11" s="130" t="str">
        <f>'Закупка'!F11</f>
        <v>10</v>
      </c>
      <c r="F11" s="131" t="str">
        <f t="shared" si="1"/>
        <v/>
      </c>
      <c r="G11" s="132"/>
      <c r="H11" s="133"/>
      <c r="I11" s="134"/>
      <c r="J11" s="131"/>
      <c r="K11" s="135">
        <f>'Закупка'!T11</f>
        <v>84001078</v>
      </c>
      <c r="L11" s="136" t="str">
        <f>'Закупка'!U11</f>
        <v>ROSA BIRDS NEST - flor</v>
      </c>
      <c r="M11" s="137" t="str">
        <f>'Закупка'!V11</f>
        <v/>
      </c>
    </row>
    <row r="12" ht="45.0" customHeight="1">
      <c r="A12" s="126" t="str">
        <f>'Закупка'!A12</f>
        <v>1.9</v>
      </c>
      <c r="B12" s="127" t="str">
        <f>'Закупка'!B12</f>
        <v>ROSA LARGE CELEB</v>
      </c>
      <c r="C12" s="128" t="str">
        <f>'Закупка'!R12</f>
        <v/>
      </c>
      <c r="D12" s="129">
        <f t="array" ref="D12">INDEX('Закупка'!G12:K12, $A$2)</f>
        <v>3</v>
      </c>
      <c r="E12" s="130" t="str">
        <f>'Закупка'!F12</f>
        <v>10</v>
      </c>
      <c r="F12" s="131">
        <f t="shared" si="1"/>
        <v>30</v>
      </c>
      <c r="G12" s="132">
        <v>3.0</v>
      </c>
      <c r="H12" s="133">
        <v>30.0</v>
      </c>
      <c r="I12" s="134"/>
      <c r="J12" s="131"/>
      <c r="K12" s="135">
        <f>'Закупка'!T12</f>
        <v>84001044</v>
      </c>
      <c r="L12" s="136" t="str">
        <f>'Закупка'!U12</f>
        <v>ROSA CELEBRATING HEATHER - flor</v>
      </c>
      <c r="M12" s="137" t="str">
        <f>'Закупка'!V12</f>
        <v/>
      </c>
    </row>
    <row r="13" ht="45.0" customHeight="1">
      <c r="A13" s="126" t="str">
        <f>'Закупка'!A13</f>
        <v>1.10</v>
      </c>
      <c r="B13" s="127" t="str">
        <f>'Закупка'!B13</f>
        <v>ARR CACTUS</v>
      </c>
      <c r="C13" s="128" t="str">
        <f>'Закупка'!R13</f>
        <v/>
      </c>
      <c r="D13" s="129" t="str">
        <f t="array" ref="D13">INDEX('Закупка'!G13:K13, $A$2)</f>
        <v/>
      </c>
      <c r="E13" s="130" t="str">
        <f>'Закупка'!F13</f>
        <v>1</v>
      </c>
      <c r="F13" s="131" t="str">
        <f t="shared" si="1"/>
        <v/>
      </c>
      <c r="G13" s="132"/>
      <c r="H13" s="133"/>
      <c r="I13" s="134"/>
      <c r="J13" s="131"/>
      <c r="K13" s="135">
        <f>'Закупка'!T13</f>
        <v>8400594</v>
      </c>
      <c r="L13" s="136" t="str">
        <f>'Закупка'!U13</f>
        <v>CACTUS - planta/22</v>
      </c>
      <c r="M13" s="137" t="str">
        <f>'Закупка'!V13</f>
        <v>TEST 13 cactus</v>
      </c>
    </row>
    <row r="14" ht="45.0" customHeight="1">
      <c r="A14" s="126" t="str">
        <f>'Закупка'!A14</f>
        <v>1.11</v>
      </c>
      <c r="B14" s="127" t="str">
        <f>'Закупка'!B14</f>
        <v>ALOE ARBO</v>
      </c>
      <c r="C14" s="128" t="str">
        <f>'Закупка'!R14</f>
        <v/>
      </c>
      <c r="D14" s="129" t="str">
        <f t="array" ref="D14">INDEX('Закупка'!G14:K14, $A$2)</f>
        <v/>
      </c>
      <c r="E14" s="130" t="str">
        <f>'Закупка'!F14</f>
        <v>1</v>
      </c>
      <c r="F14" s="131" t="str">
        <f t="shared" si="1"/>
        <v/>
      </c>
      <c r="G14" s="132"/>
      <c r="H14" s="133"/>
      <c r="I14" s="134"/>
      <c r="J14" s="131"/>
      <c r="K14" s="135">
        <f>'Закупка'!T14</f>
        <v>84001156</v>
      </c>
      <c r="L14" s="136" t="str">
        <f>'Закупка'!U14</f>
        <v>ALOE ARBO - planta/67</v>
      </c>
      <c r="M14" s="137" t="str">
        <f>'Закупка'!V14</f>
        <v/>
      </c>
    </row>
    <row r="15" ht="45.0" customHeight="1">
      <c r="A15" s="126" t="str">
        <f>'Закупка'!A15</f>
        <v>1.12</v>
      </c>
      <c r="B15" s="127" t="str">
        <f>'Закупка'!B15</f>
        <v>ALOE ARBO</v>
      </c>
      <c r="C15" s="128" t="str">
        <f>'Закупка'!R15</f>
        <v/>
      </c>
      <c r="D15" s="129" t="str">
        <f t="array" ref="D15">INDEX('Закупка'!G15:K15, $A$2)</f>
        <v/>
      </c>
      <c r="E15" s="130" t="str">
        <f>'Закупка'!F15</f>
        <v>1</v>
      </c>
      <c r="F15" s="131" t="str">
        <f t="shared" si="1"/>
        <v/>
      </c>
      <c r="G15" s="132"/>
      <c r="H15" s="133"/>
      <c r="I15" s="134"/>
      <c r="J15" s="131"/>
      <c r="K15" s="135">
        <f>'Закупка'!T15</f>
        <v>84001155</v>
      </c>
      <c r="L15" s="136" t="str">
        <f>'Закупка'!U15</f>
        <v>ALOE ARBO - planta/47</v>
      </c>
      <c r="M15" s="137" t="str">
        <f>'Закупка'!V15</f>
        <v/>
      </c>
    </row>
    <row r="16" ht="45.0" customHeight="1">
      <c r="A16" s="126" t="str">
        <f>'Закупка'!A16</f>
        <v>1.13</v>
      </c>
      <c r="B16" s="127" t="str">
        <f>'Закупка'!B16</f>
        <v>ARR2 MB GROEN IJZER REK 1 BOL</v>
      </c>
      <c r="C16" s="128" t="str">
        <f>'Закупка'!R16</f>
        <v/>
      </c>
      <c r="D16" s="129" t="str">
        <f t="array" ref="D16">INDEX('Закупка'!G16:K16, $A$2)</f>
        <v/>
      </c>
      <c r="E16" s="130" t="str">
        <f>'Закупка'!F16</f>
        <v>1</v>
      </c>
      <c r="F16" s="131" t="str">
        <f t="shared" si="1"/>
        <v/>
      </c>
      <c r="G16" s="132"/>
      <c r="H16" s="133"/>
      <c r="I16" s="134"/>
      <c r="J16" s="131"/>
      <c r="K16" s="135">
        <f>'Закупка'!T16</f>
        <v>8400410</v>
      </c>
      <c r="L16" s="136" t="str">
        <f>'Закупка'!U16</f>
        <v>SUCCULENTUS T16, T22 - MIX - planta/22</v>
      </c>
      <c r="M16" s="137" t="str">
        <f>'Закупка'!V16</f>
        <v>6CRASA22, 54, CRASS16 </v>
      </c>
    </row>
    <row r="17" ht="45.0" customHeight="1">
      <c r="A17" s="126" t="str">
        <f>'Закупка'!A17</f>
        <v>1.14</v>
      </c>
      <c r="B17" s="127" t="str">
        <f>'Закупка'!B17</f>
        <v>ARR NARCISSUS TETE-A-TETE</v>
      </c>
      <c r="C17" s="128" t="str">
        <f>'Закупка'!R17</f>
        <v/>
      </c>
      <c r="D17" s="129" t="str">
        <f t="array" ref="D17">INDEX('Закупка'!G17:K17, $A$2)</f>
        <v/>
      </c>
      <c r="E17" s="130" t="str">
        <f>'Закупка'!F17</f>
        <v>1</v>
      </c>
      <c r="F17" s="131" t="str">
        <f t="shared" si="1"/>
        <v/>
      </c>
      <c r="G17" s="132"/>
      <c r="H17" s="133"/>
      <c r="I17" s="134"/>
      <c r="J17" s="131"/>
      <c r="K17" s="135">
        <f>'Закупка'!T17</f>
        <v>84001152</v>
      </c>
      <c r="L17" s="136" t="str">
        <f>'Закупка'!U17</f>
        <v>NARCISO TETE-A-TETE - composición/14</v>
      </c>
      <c r="M17" s="137" t="str">
        <f>'Закупка'!V17</f>
        <v/>
      </c>
    </row>
    <row r="18" ht="45.0" customHeight="1">
      <c r="A18" s="126" t="str">
        <f>'Закупка'!A18</f>
        <v>1.15</v>
      </c>
      <c r="B18" s="127" t="str">
        <f>'Закупка'!B18</f>
        <v>ARR NARCISSUS</v>
      </c>
      <c r="C18" s="128" t="str">
        <f>'Закупка'!R18</f>
        <v/>
      </c>
      <c r="D18" s="129" t="str">
        <f t="array" ref="D18">INDEX('Закупка'!G18:K18, $A$2)</f>
        <v/>
      </c>
      <c r="E18" s="130" t="str">
        <f>'Закупка'!F18</f>
        <v>1</v>
      </c>
      <c r="F18" s="131" t="str">
        <f t="shared" si="1"/>
        <v/>
      </c>
      <c r="G18" s="132"/>
      <c r="H18" s="133"/>
      <c r="I18" s="134"/>
      <c r="J18" s="131"/>
      <c r="K18" s="135">
        <f>'Закупка'!T18</f>
        <v>84001038</v>
      </c>
      <c r="L18" s="136" t="str">
        <f>'Закупка'!U18</f>
        <v>NARCIS MASCOTA - planta  /17</v>
      </c>
      <c r="M18" s="137" t="str">
        <f>'Закупка'!V18</f>
        <v/>
      </c>
    </row>
    <row r="19" ht="45.0" customHeight="1">
      <c r="A19" s="126" t="str">
        <f>'Закупка'!A19</f>
        <v>1.16</v>
      </c>
      <c r="B19" s="127" t="str">
        <f>'Закупка'!B19</f>
        <v>ARR2 PL KER BAROK DRACENA</v>
      </c>
      <c r="C19" s="128" t="str">
        <f>'Закупка'!R19</f>
        <v/>
      </c>
      <c r="D19" s="129" t="str">
        <f t="array" ref="D19">INDEX('Закупка'!G19:K19, $A$2)</f>
        <v/>
      </c>
      <c r="E19" s="130" t="str">
        <f>'Закупка'!F19</f>
        <v>1</v>
      </c>
      <c r="F19" s="131" t="str">
        <f t="shared" si="1"/>
        <v/>
      </c>
      <c r="G19" s="132"/>
      <c r="H19" s="133"/>
      <c r="I19" s="134"/>
      <c r="J19" s="131"/>
      <c r="K19" s="135">
        <f>'Закупка'!T19</f>
        <v>84001154</v>
      </c>
      <c r="L19" s="136" t="str">
        <f>'Закупка'!U19</f>
        <v>COMPOSITION DE DRECENA - planta/38</v>
      </c>
      <c r="M19" s="137" t="str">
        <f>'Закупка'!V19</f>
        <v/>
      </c>
    </row>
    <row r="20" ht="45.0" customHeight="1">
      <c r="A20" s="126" t="str">
        <f>'Закупка'!A20</f>
        <v>1.17</v>
      </c>
      <c r="B20" s="127" t="str">
        <f>'Закупка'!B20</f>
        <v>ARR2 PL KER BAROK DRACENA</v>
      </c>
      <c r="C20" s="128" t="str">
        <f>'Закупка'!R20</f>
        <v/>
      </c>
      <c r="D20" s="129" t="str">
        <f t="array" ref="D20">INDEX('Закупка'!G20:K20, $A$2)</f>
        <v/>
      </c>
      <c r="E20" s="130" t="str">
        <f>'Закупка'!F20</f>
        <v>1</v>
      </c>
      <c r="F20" s="131" t="str">
        <f t="shared" si="1"/>
        <v/>
      </c>
      <c r="G20" s="132"/>
      <c r="H20" s="133"/>
      <c r="I20" s="134"/>
      <c r="J20" s="131"/>
      <c r="K20" s="135">
        <f>'Закупка'!T20</f>
        <v>84001154</v>
      </c>
      <c r="L20" s="136" t="str">
        <f>'Закупка'!U20</f>
        <v>COMPOSITION DE DRECENA - planta/38</v>
      </c>
      <c r="M20" s="137" t="str">
        <f>'Закупка'!V20</f>
        <v/>
      </c>
    </row>
    <row r="21" ht="45.0" customHeight="1">
      <c r="A21" s="126" t="str">
        <f>'Закупка'!A21</f>
        <v>1.18</v>
      </c>
      <c r="B21" s="127" t="str">
        <f>'Закупка'!B21</f>
        <v>ARR2 PL GLAS CILINDER PHAL PAARS</v>
      </c>
      <c r="C21" s="128" t="str">
        <f>'Закупка'!R21</f>
        <v/>
      </c>
      <c r="D21" s="129" t="str">
        <f t="array" ref="D21">INDEX('Закупка'!G21:K21, $A$2)</f>
        <v/>
      </c>
      <c r="E21" s="130" t="str">
        <f>'Закупка'!F21</f>
        <v>1</v>
      </c>
      <c r="F21" s="131" t="str">
        <f t="shared" si="1"/>
        <v/>
      </c>
      <c r="G21" s="132"/>
      <c r="H21" s="133"/>
      <c r="I21" s="134"/>
      <c r="J21" s="131"/>
      <c r="K21" s="135">
        <f>'Закупка'!T21</f>
        <v>84001153</v>
      </c>
      <c r="L21" s="136" t="str">
        <f>'Закупка'!U21</f>
        <v>ARRANGEMENT DE PHALAENOPSIS - composición/56</v>
      </c>
      <c r="M21" s="137" t="str">
        <f>'Закупка'!V21</f>
        <v/>
      </c>
    </row>
    <row r="22" ht="45.0" customHeight="1">
      <c r="A22" s="126" t="str">
        <f>'Закупка'!A22</f>
        <v>1.19</v>
      </c>
      <c r="B22" s="127" t="str">
        <f>'Закупка'!B22</f>
        <v>CRASSULA OVATA</v>
      </c>
      <c r="C22" s="128" t="str">
        <f>'Закупка'!R22</f>
        <v/>
      </c>
      <c r="D22" s="129" t="str">
        <f t="array" ref="D22">INDEX('Закупка'!G22:K22, $A$2)</f>
        <v/>
      </c>
      <c r="E22" s="130" t="str">
        <f>'Закупка'!F22</f>
        <v>1</v>
      </c>
      <c r="F22" s="131" t="str">
        <f t="shared" si="1"/>
        <v/>
      </c>
      <c r="G22" s="132"/>
      <c r="H22" s="133"/>
      <c r="I22" s="134"/>
      <c r="J22" s="131"/>
      <c r="K22" s="135">
        <f>'Закупка'!T22</f>
        <v>8400365</v>
      </c>
      <c r="L22" s="136" t="str">
        <f>'Закупка'!U22</f>
        <v>ARBOL DE JADE T25 -planta/120</v>
      </c>
      <c r="M22" s="137" t="str">
        <f>'Закупка'!V22</f>
        <v> ARBOL DE JADE GRANDE  (Crassula Ovata) T-25</v>
      </c>
    </row>
    <row r="23" ht="45.0" customHeight="1">
      <c r="A23" s="126" t="str">
        <f>'Закупка'!A23</f>
        <v>1.20</v>
      </c>
      <c r="B23" s="127" t="str">
        <f>'Закупка'!B23</f>
        <v>CRASSULA OVATA</v>
      </c>
      <c r="C23" s="128" t="str">
        <f>'Закупка'!R23</f>
        <v/>
      </c>
      <c r="D23" s="129" t="str">
        <f t="array" ref="D23">INDEX('Закупка'!G23:K23, $A$2)</f>
        <v/>
      </c>
      <c r="E23" s="130" t="str">
        <f>'Закупка'!F23</f>
        <v>1</v>
      </c>
      <c r="F23" s="131" t="str">
        <f t="shared" si="1"/>
        <v/>
      </c>
      <c r="G23" s="132"/>
      <c r="H23" s="133"/>
      <c r="I23" s="134"/>
      <c r="J23" s="131"/>
      <c r="K23" s="135">
        <f>'Закупка'!T23</f>
        <v>8400365</v>
      </c>
      <c r="L23" s="136" t="str">
        <f>'Закупка'!U23</f>
        <v>ARBOL DE JADE T25 -planta/188</v>
      </c>
      <c r="M23" s="137" t="str">
        <f>'Закупка'!V23</f>
        <v> ARBOL DE JADE GRANDE  (Crassula Ovata) T-25</v>
      </c>
    </row>
    <row r="24" ht="45.0" customHeight="1">
      <c r="A24" s="126" t="str">
        <f>'Закупка'!A24</f>
        <v>1.21</v>
      </c>
      <c r="B24" s="127" t="str">
        <f>'Закупка'!B24</f>
        <v>CODIAEUM VARI MRS ICETON</v>
      </c>
      <c r="C24" s="128" t="str">
        <f>'Закупка'!R24</f>
        <v/>
      </c>
      <c r="D24" s="129" t="str">
        <f t="array" ref="D24">INDEX('Закупка'!G24:K24, $A$2)</f>
        <v/>
      </c>
      <c r="E24" s="130" t="str">
        <f>'Закупка'!F24</f>
        <v>1</v>
      </c>
      <c r="F24" s="131" t="str">
        <f t="shared" si="1"/>
        <v/>
      </c>
      <c r="G24" s="132"/>
      <c r="H24" s="133"/>
      <c r="I24" s="134"/>
      <c r="J24" s="131"/>
      <c r="K24" s="135">
        <f>'Закупка'!T24</f>
        <v>8400558</v>
      </c>
      <c r="L24" s="136" t="str">
        <f>'Закупка'!U24</f>
        <v>CROTON 50cm - Petra - planta/36</v>
      </c>
      <c r="M24" s="137" t="str">
        <f>'Закупка'!V24</f>
        <v>81945, CROMA20</v>
      </c>
    </row>
    <row r="25" ht="45.0" customHeight="1">
      <c r="A25" s="126" t="str">
        <f>'Закупка'!A25</f>
        <v>1.22</v>
      </c>
      <c r="B25" s="127" t="str">
        <f>'Закупка'!B25</f>
        <v>LAVANDULA STOE ANOUK</v>
      </c>
      <c r="C25" s="128" t="str">
        <f>'Закупка'!R25</f>
        <v/>
      </c>
      <c r="D25" s="129" t="str">
        <f t="array" ref="D25">INDEX('Закупка'!G25:K25, $A$2)</f>
        <v/>
      </c>
      <c r="E25" s="130" t="str">
        <f>'Закупка'!F25</f>
        <v>1</v>
      </c>
      <c r="F25" s="131" t="str">
        <f t="shared" si="1"/>
        <v/>
      </c>
      <c r="G25" s="132"/>
      <c r="H25" s="133"/>
      <c r="I25" s="134"/>
      <c r="J25" s="131"/>
      <c r="K25" s="135">
        <f>'Закупка'!T25</f>
        <v>8400357</v>
      </c>
      <c r="L25" s="136" t="str">
        <f>'Закупка'!U25</f>
        <v>LAVANDULA T13 - planta</v>
      </c>
      <c r="M25" s="137" t="str">
        <f>'Закупка'!V25</f>
        <v>LAV13 LAVANDULA T-13, 42454</v>
      </c>
    </row>
    <row r="26" ht="45.0" customHeight="1">
      <c r="A26" s="126" t="str">
        <f>'Закупка'!A26</f>
        <v>1.23</v>
      </c>
      <c r="B26" s="127" t="str">
        <f>'Закупка'!B26</f>
        <v>KALANCHOE LUCKY BELLS</v>
      </c>
      <c r="C26" s="128" t="str">
        <f>'Закупка'!R26</f>
        <v/>
      </c>
      <c r="D26" s="129" t="str">
        <f t="array" ref="D26">INDEX('Закупка'!G26:K26, $A$2)</f>
        <v/>
      </c>
      <c r="E26" s="130" t="str">
        <f>'Закупка'!F26</f>
        <v>1</v>
      </c>
      <c r="F26" s="131" t="str">
        <f t="shared" si="1"/>
        <v/>
      </c>
      <c r="G26" s="132"/>
      <c r="H26" s="133"/>
      <c r="I26" s="134"/>
      <c r="J26" s="131"/>
      <c r="K26" s="135">
        <f>'Закупка'!T26</f>
        <v>8400448</v>
      </c>
      <c r="L26" s="136" t="str">
        <f>'Закупка'!U26</f>
        <v>KALANCHOE T25 - Pumila - planta/18</v>
      </c>
      <c r="M26" s="137" t="str">
        <f>'Закупка'!V26</f>
        <v>KAL-P  KALANCHOE PUMILA T-25 planta, KCALT</v>
      </c>
    </row>
    <row r="27" ht="45.0" customHeight="1">
      <c r="A27" s="126" t="str">
        <f>'Закупка'!A27</f>
        <v>1.24</v>
      </c>
      <c r="B27" s="127" t="str">
        <f>'Закупка'!B27</f>
        <v>EUPHORBIA TRIGONA</v>
      </c>
      <c r="C27" s="128" t="str">
        <f>'Закупка'!R27</f>
        <v/>
      </c>
      <c r="D27" s="129" t="str">
        <f t="array" ref="D27">INDEX('Закупка'!G27:K27, $A$2)</f>
        <v/>
      </c>
      <c r="E27" s="130" t="str">
        <f>'Закупка'!F27</f>
        <v>1</v>
      </c>
      <c r="F27" s="131" t="str">
        <f t="shared" si="1"/>
        <v/>
      </c>
      <c r="G27" s="132"/>
      <c r="H27" s="133"/>
      <c r="I27" s="134"/>
      <c r="J27" s="131"/>
      <c r="K27" s="135">
        <f>'Закупка'!T27</f>
        <v>8400556</v>
      </c>
      <c r="L27" s="136" t="str">
        <f>'Закупка'!U27</f>
        <v>EUPHORBIA 30cm -Milii - planta/22</v>
      </c>
      <c r="M27" s="137" t="str">
        <f>'Закупка'!V27</f>
        <v>174581, EUV</v>
      </c>
    </row>
    <row r="28" ht="45.0" customHeight="1">
      <c r="A28" s="126" t="str">
        <f>'Закупка'!A28</f>
        <v>1.25</v>
      </c>
      <c r="B28" s="127" t="str">
        <f>'Закупка'!B28</f>
        <v>PTPB6537 ARRANGEMENTEN PASEN</v>
      </c>
      <c r="C28" s="128" t="str">
        <f>'Закупка'!R28</f>
        <v/>
      </c>
      <c r="D28" s="129" t="str">
        <f t="array" ref="D28">INDEX('Закупка'!G28:K28, $A$2)</f>
        <v/>
      </c>
      <c r="E28" s="130" t="str">
        <f>'Закупка'!F28</f>
        <v>1</v>
      </c>
      <c r="F28" s="131" t="str">
        <f t="shared" si="1"/>
        <v/>
      </c>
      <c r="G28" s="132"/>
      <c r="H28" s="133"/>
      <c r="I28" s="134"/>
      <c r="J28" s="131"/>
      <c r="K28" s="135">
        <f>'Закупка'!T28</f>
        <v>84001153</v>
      </c>
      <c r="L28" s="136" t="str">
        <f>'Закупка'!U28</f>
        <v>ARRANGEMENT DE PHALAENOPSIS - composición/56</v>
      </c>
      <c r="M28" s="137" t="str">
        <f>'Закупка'!V28</f>
        <v/>
      </c>
    </row>
    <row r="29" ht="45.0" customHeight="1">
      <c r="A29" s="126" t="str">
        <f>'Закупка'!A29</f>
        <v>1.26</v>
      </c>
      <c r="B29" s="127" t="str">
        <f>'Закупка'!B29</f>
        <v>PTPB6525 ARRANGEMENTEN PASEN</v>
      </c>
      <c r="C29" s="128" t="str">
        <f>'Закупка'!R29</f>
        <v/>
      </c>
      <c r="D29" s="129" t="str">
        <f t="array" ref="D29">INDEX('Закупка'!G29:K29, $A$2)</f>
        <v/>
      </c>
      <c r="E29" s="130" t="str">
        <f>'Закупка'!F29</f>
        <v>1</v>
      </c>
      <c r="F29" s="131" t="str">
        <f t="shared" si="1"/>
        <v/>
      </c>
      <c r="G29" s="132"/>
      <c r="H29" s="133"/>
      <c r="I29" s="134"/>
      <c r="J29" s="131"/>
      <c r="K29" s="135">
        <f>'Закупка'!T29</f>
        <v>84001153</v>
      </c>
      <c r="L29" s="136" t="str">
        <f>'Закупка'!U29</f>
        <v>ARRANGEMENT DE PHALAENOPSIS - composición/56</v>
      </c>
      <c r="M29" s="137" t="str">
        <f>'Закупка'!V29</f>
        <v/>
      </c>
    </row>
    <row r="30" ht="45.0" customHeight="1">
      <c r="A30" s="126" t="str">
        <f>'Закупка'!A30</f>
        <v>1.27</v>
      </c>
      <c r="B30" s="127" t="str">
        <f>'Закупка'!B30</f>
        <v>PHALAENOPSIS OTHER YELLOW</v>
      </c>
      <c r="C30" s="128" t="str">
        <f>'Закупка'!R30</f>
        <v/>
      </c>
      <c r="D30" s="129" t="str">
        <f t="array" ref="D30">INDEX('Закупка'!G30:K30, $A$2)</f>
        <v/>
      </c>
      <c r="E30" s="130" t="str">
        <f>'Закупка'!F30</f>
        <v>1</v>
      </c>
      <c r="F30" s="131" t="str">
        <f t="shared" si="1"/>
        <v/>
      </c>
      <c r="G30" s="132"/>
      <c r="H30" s="133"/>
      <c r="I30" s="134"/>
      <c r="J30" s="131"/>
      <c r="K30" s="135">
        <f>'Закупка'!T30</f>
        <v>8400391</v>
      </c>
      <c r="L30" s="136" t="str">
        <f>'Закупка'!U30</f>
        <v>PHALAENOPSIS MIX - planta/28</v>
      </c>
      <c r="M30" s="137" t="str">
        <f>'Закупка'!V30</f>
        <v>161202, 179376, 144102, 179304, 191963, 135419, 182797, 127000, 191284</v>
      </c>
    </row>
    <row r="31" ht="45.0" customHeight="1">
      <c r="A31" s="126" t="str">
        <f>'Закупка'!A31</f>
        <v>1.28</v>
      </c>
      <c r="B31" s="127" t="str">
        <f>'Закупка'!B31</f>
        <v>SUCCULENTEN OTHER</v>
      </c>
      <c r="C31" s="128" t="str">
        <f>'Закупка'!R31</f>
        <v/>
      </c>
      <c r="D31" s="129" t="str">
        <f t="array" ref="D31">INDEX('Закупка'!G31:K31, $A$2)</f>
        <v/>
      </c>
      <c r="E31" s="130" t="str">
        <f>'Закупка'!F31</f>
        <v>1</v>
      </c>
      <c r="F31" s="131" t="str">
        <f t="shared" si="1"/>
        <v/>
      </c>
      <c r="G31" s="132"/>
      <c r="H31" s="133"/>
      <c r="I31" s="134"/>
      <c r="J31" s="131"/>
      <c r="K31" s="135">
        <f>'Закупка'!T31</f>
        <v>8400591</v>
      </c>
      <c r="L31" s="136" t="str">
        <f>'Закупка'!U31</f>
        <v>SUCCULENTUS OTHER - planta/28</v>
      </c>
      <c r="M31" s="137" t="str">
        <f>'Закупка'!V31</f>
        <v>CRASSCI-9, AEON.012</v>
      </c>
    </row>
    <row r="32" ht="45.0" customHeight="1">
      <c r="A32" s="126" t="str">
        <f>'Закупка'!A32</f>
        <v>1.29</v>
      </c>
      <c r="B32" s="127" t="str">
        <f>'Закупка'!B32</f>
        <v>RHIPSALIS MIX</v>
      </c>
      <c r="C32" s="128" t="str">
        <f>'Закупка'!R32</f>
        <v/>
      </c>
      <c r="D32" s="129" t="str">
        <f t="array" ref="D32">INDEX('Закупка'!G32:K32, $A$2)</f>
        <v/>
      </c>
      <c r="E32" s="130" t="str">
        <f>'Закупка'!F32</f>
        <v>1</v>
      </c>
      <c r="F32" s="131" t="str">
        <f t="shared" si="1"/>
        <v/>
      </c>
      <c r="G32" s="132"/>
      <c r="H32" s="133"/>
      <c r="I32" s="134"/>
      <c r="J32" s="131"/>
      <c r="K32" s="135">
        <f>'Закупка'!T32</f>
        <v>8400895</v>
      </c>
      <c r="L32" s="136" t="str">
        <f>'Закупка'!U32</f>
        <v>RHIPSALIS MIX - T17 planta colganta</v>
      </c>
      <c r="M32" s="137">
        <f>'Закупка'!V32</f>
        <v>83612</v>
      </c>
    </row>
    <row r="33" ht="45.0" customHeight="1">
      <c r="A33" s="126" t="str">
        <f>'Закупка'!A33</f>
        <v/>
      </c>
      <c r="B33" s="127" t="str">
        <f>'Закупка'!B33</f>
        <v/>
      </c>
      <c r="C33" s="128" t="str">
        <f>'Закупка'!R33</f>
        <v/>
      </c>
      <c r="D33" s="129" t="str">
        <f t="array" ref="D33">INDEX('Закупка'!G33:K33, $A$2)</f>
        <v/>
      </c>
      <c r="E33" s="130" t="str">
        <f>'Закупка'!F33</f>
        <v/>
      </c>
      <c r="F33" s="131" t="str">
        <f t="shared" si="1"/>
        <v/>
      </c>
      <c r="G33" s="132"/>
      <c r="H33" s="133"/>
      <c r="I33" s="134"/>
      <c r="J33" s="131"/>
      <c r="K33" s="135" t="str">
        <f>'Закупка'!T33</f>
        <v/>
      </c>
      <c r="L33" s="136" t="str">
        <f>'Закупка'!U33</f>
        <v/>
      </c>
      <c r="M33" s="137" t="str">
        <f>'Закупка'!V33</f>
        <v/>
      </c>
    </row>
    <row r="34" ht="45.0" customHeight="1">
      <c r="A34" s="126" t="str">
        <f>'Закупка'!A34</f>
        <v/>
      </c>
      <c r="B34" s="127" t="str">
        <f>'Закупка'!B34</f>
        <v/>
      </c>
      <c r="C34" s="128" t="str">
        <f>'Закупка'!R34</f>
        <v/>
      </c>
      <c r="D34" s="129" t="str">
        <f t="array" ref="D34">INDEX('Закупка'!G34:K34, $A$2)</f>
        <v/>
      </c>
      <c r="E34" s="130" t="str">
        <f>'Закупка'!F34</f>
        <v/>
      </c>
      <c r="F34" s="131" t="str">
        <f t="shared" si="1"/>
        <v/>
      </c>
      <c r="G34" s="132"/>
      <c r="H34" s="133"/>
      <c r="I34" s="134"/>
      <c r="J34" s="131"/>
      <c r="K34" s="135" t="str">
        <f>'Закупка'!T34</f>
        <v/>
      </c>
      <c r="L34" s="136" t="str">
        <f>'Закупка'!U34</f>
        <v/>
      </c>
      <c r="M34" s="137" t="str">
        <f>'Закупка'!V34</f>
        <v/>
      </c>
    </row>
    <row r="35" ht="45.0" customHeight="1">
      <c r="A35" s="126" t="str">
        <f>'Закупка'!A35</f>
        <v/>
      </c>
      <c r="B35" s="127" t="str">
        <f>'Закупка'!B35</f>
        <v/>
      </c>
      <c r="C35" s="128" t="str">
        <f>'Закупка'!R35</f>
        <v/>
      </c>
      <c r="D35" s="129" t="str">
        <f t="array" ref="D35">INDEX('Закупка'!G35:K35, $A$2)</f>
        <v/>
      </c>
      <c r="E35" s="130" t="str">
        <f>'Закупка'!F35</f>
        <v/>
      </c>
      <c r="F35" s="131" t="str">
        <f t="shared" si="1"/>
        <v/>
      </c>
      <c r="G35" s="132"/>
      <c r="H35" s="133"/>
      <c r="I35" s="134"/>
      <c r="J35" s="131"/>
      <c r="K35" s="135" t="str">
        <f>'Закупка'!T35</f>
        <v/>
      </c>
      <c r="L35" s="136" t="str">
        <f>'Закупка'!U35</f>
        <v/>
      </c>
      <c r="M35" s="137" t="str">
        <f>'Закупка'!V35</f>
        <v/>
      </c>
    </row>
    <row r="36" ht="45.0" customHeight="1">
      <c r="A36" s="126" t="str">
        <f>'Закупка'!A36</f>
        <v/>
      </c>
      <c r="B36" s="127" t="str">
        <f>'Закупка'!B36</f>
        <v/>
      </c>
      <c r="C36" s="128" t="str">
        <f>'Закупка'!R36</f>
        <v/>
      </c>
      <c r="D36" s="129" t="str">
        <f t="array" ref="D36">INDEX('Закупка'!G36:K36, $A$2)</f>
        <v/>
      </c>
      <c r="E36" s="130" t="str">
        <f>'Закупка'!F36</f>
        <v/>
      </c>
      <c r="F36" s="131" t="str">
        <f t="shared" si="1"/>
        <v/>
      </c>
      <c r="G36" s="132"/>
      <c r="H36" s="133"/>
      <c r="I36" s="134"/>
      <c r="J36" s="131"/>
      <c r="K36" s="135" t="str">
        <f>'Закупка'!T36</f>
        <v/>
      </c>
      <c r="L36" s="136" t="str">
        <f>'Закупка'!U36</f>
        <v/>
      </c>
      <c r="M36" s="137" t="str">
        <f>'Закупка'!V36</f>
        <v/>
      </c>
    </row>
    <row r="37" ht="45.0" customHeight="1">
      <c r="A37" s="126" t="str">
        <f>'Закупка'!A37</f>
        <v/>
      </c>
      <c r="B37" s="127" t="str">
        <f>'Закупка'!B37</f>
        <v/>
      </c>
      <c r="C37" s="128" t="str">
        <f>'Закупка'!R37</f>
        <v/>
      </c>
      <c r="D37" s="129" t="str">
        <f t="array" ref="D37">INDEX('Закупка'!G37:K37, $A$2)</f>
        <v/>
      </c>
      <c r="E37" s="130" t="str">
        <f>'Закупка'!F37</f>
        <v/>
      </c>
      <c r="F37" s="131" t="str">
        <f t="shared" si="1"/>
        <v/>
      </c>
      <c r="G37" s="132"/>
      <c r="H37" s="133"/>
      <c r="I37" s="134"/>
      <c r="J37" s="131"/>
      <c r="K37" s="135" t="str">
        <f>'Закупка'!T37</f>
        <v/>
      </c>
      <c r="L37" s="136" t="str">
        <f>'Закупка'!U37</f>
        <v/>
      </c>
      <c r="M37" s="137" t="str">
        <f>'Закупка'!V37</f>
        <v/>
      </c>
    </row>
    <row r="38" ht="45.0" customHeight="1">
      <c r="A38" s="126" t="str">
        <f>'Закупка'!A38</f>
        <v/>
      </c>
      <c r="B38" s="127" t="str">
        <f>'Закупка'!B38</f>
        <v/>
      </c>
      <c r="C38" s="128" t="str">
        <f>'Закупка'!R38</f>
        <v/>
      </c>
      <c r="D38" s="129" t="str">
        <f t="array" ref="D38">INDEX('Закупка'!G38:K38, $A$2)</f>
        <v/>
      </c>
      <c r="E38" s="130" t="str">
        <f>'Закупка'!F38</f>
        <v/>
      </c>
      <c r="F38" s="131" t="str">
        <f t="shared" si="1"/>
        <v/>
      </c>
      <c r="G38" s="132"/>
      <c r="H38" s="133"/>
      <c r="I38" s="134"/>
      <c r="J38" s="131"/>
      <c r="K38" s="135" t="str">
        <f>'Закупка'!T38</f>
        <v/>
      </c>
      <c r="L38" s="136" t="str">
        <f>'Закупка'!U38</f>
        <v/>
      </c>
      <c r="M38" s="137" t="str">
        <f>'Закупка'!V38</f>
        <v/>
      </c>
    </row>
    <row r="39" ht="45.0" customHeight="1">
      <c r="A39" s="126" t="str">
        <f>'Закупка'!A39</f>
        <v/>
      </c>
      <c r="B39" s="127" t="str">
        <f>'Закупка'!B39</f>
        <v/>
      </c>
      <c r="C39" s="128" t="str">
        <f>'Закупка'!R39</f>
        <v/>
      </c>
      <c r="D39" s="129" t="str">
        <f t="array" ref="D39">INDEX('Закупка'!G39:K39, $A$2)</f>
        <v/>
      </c>
      <c r="E39" s="130" t="str">
        <f>'Закупка'!F39</f>
        <v/>
      </c>
      <c r="F39" s="131" t="str">
        <f t="shared" si="1"/>
        <v/>
      </c>
      <c r="G39" s="132"/>
      <c r="H39" s="133"/>
      <c r="I39" s="134"/>
      <c r="J39" s="131"/>
      <c r="K39" s="135" t="str">
        <f>'Закупка'!T39</f>
        <v/>
      </c>
      <c r="L39" s="136" t="str">
        <f>'Закупка'!U39</f>
        <v/>
      </c>
      <c r="M39" s="137" t="str">
        <f>'Закупка'!V39</f>
        <v/>
      </c>
    </row>
    <row r="40" ht="45.0" customHeight="1">
      <c r="A40" s="126" t="str">
        <f>'Закупка'!A40</f>
        <v/>
      </c>
      <c r="B40" s="127" t="str">
        <f>'Закупка'!B40</f>
        <v/>
      </c>
      <c r="C40" s="128" t="str">
        <f>'Закупка'!R40</f>
        <v/>
      </c>
      <c r="D40" s="129" t="str">
        <f t="array" ref="D40">INDEX('Закупка'!G40:K40, $A$2)</f>
        <v/>
      </c>
      <c r="E40" s="130" t="str">
        <f>'Закупка'!F40</f>
        <v/>
      </c>
      <c r="F40" s="131" t="str">
        <f t="shared" si="1"/>
        <v/>
      </c>
      <c r="G40" s="132"/>
      <c r="H40" s="133"/>
      <c r="I40" s="134"/>
      <c r="J40" s="131"/>
      <c r="K40" s="135" t="str">
        <f>'Закупка'!T40</f>
        <v/>
      </c>
      <c r="L40" s="136" t="str">
        <f>'Закупка'!U40</f>
        <v/>
      </c>
      <c r="M40" s="137" t="str">
        <f>'Закупка'!V40</f>
        <v/>
      </c>
    </row>
    <row r="41" ht="45.0" customHeight="1">
      <c r="A41" s="126" t="str">
        <f>'Закупка'!A41</f>
        <v/>
      </c>
      <c r="B41" s="127" t="str">
        <f>'Закупка'!B41</f>
        <v/>
      </c>
      <c r="C41" s="128" t="str">
        <f>'Закупка'!R41</f>
        <v/>
      </c>
      <c r="D41" s="129" t="str">
        <f t="array" ref="D41">INDEX('Закупка'!G41:K41, $A$2)</f>
        <v/>
      </c>
      <c r="E41" s="130" t="str">
        <f>'Закупка'!F41</f>
        <v/>
      </c>
      <c r="F41" s="131" t="str">
        <f t="shared" si="1"/>
        <v/>
      </c>
      <c r="G41" s="132"/>
      <c r="H41" s="133"/>
      <c r="I41" s="134"/>
      <c r="J41" s="131"/>
      <c r="K41" s="135" t="str">
        <f>'Закупка'!T41</f>
        <v/>
      </c>
      <c r="L41" s="136" t="str">
        <f>'Закупка'!U41</f>
        <v/>
      </c>
      <c r="M41" s="137" t="str">
        <f>'Закупка'!V41</f>
        <v/>
      </c>
    </row>
    <row r="42" ht="45.0" customHeight="1">
      <c r="A42" s="126" t="str">
        <f>'Закупка'!A42</f>
        <v/>
      </c>
      <c r="B42" s="127" t="str">
        <f>'Закупка'!B42</f>
        <v/>
      </c>
      <c r="C42" s="128" t="str">
        <f>'Закупка'!R42</f>
        <v/>
      </c>
      <c r="D42" s="129" t="str">
        <f t="array" ref="D42">INDEX('Закупка'!G42:K42, $A$2)</f>
        <v/>
      </c>
      <c r="E42" s="130" t="str">
        <f>'Закупка'!F42</f>
        <v/>
      </c>
      <c r="F42" s="131" t="str">
        <f t="shared" si="1"/>
        <v/>
      </c>
      <c r="G42" s="132"/>
      <c r="H42" s="133"/>
      <c r="I42" s="134"/>
      <c r="J42" s="131"/>
      <c r="K42" s="135" t="str">
        <f>'Закупка'!T42</f>
        <v/>
      </c>
      <c r="L42" s="136" t="str">
        <f>'Закупка'!U42</f>
        <v/>
      </c>
      <c r="M42" s="137" t="str">
        <f>'Закупка'!V42</f>
        <v/>
      </c>
    </row>
    <row r="43" ht="45.0" customHeight="1">
      <c r="A43" s="126" t="str">
        <f>'Закупка'!A43</f>
        <v/>
      </c>
      <c r="B43" s="127" t="str">
        <f>'Закупка'!B43</f>
        <v/>
      </c>
      <c r="C43" s="128" t="str">
        <f>'Закупка'!R43</f>
        <v/>
      </c>
      <c r="D43" s="129" t="str">
        <f t="array" ref="D43">INDEX('Закупка'!G43:K43, $A$2)</f>
        <v/>
      </c>
      <c r="E43" s="130" t="str">
        <f>'Закупка'!F43</f>
        <v/>
      </c>
      <c r="F43" s="131" t="str">
        <f t="shared" si="1"/>
        <v/>
      </c>
      <c r="G43" s="132"/>
      <c r="H43" s="133"/>
      <c r="I43" s="134"/>
      <c r="J43" s="131"/>
      <c r="K43" s="135" t="str">
        <f>'Закупка'!T43</f>
        <v/>
      </c>
      <c r="L43" s="136" t="str">
        <f>'Закупка'!U43</f>
        <v/>
      </c>
      <c r="M43" s="137" t="str">
        <f>'Закупка'!V43</f>
        <v/>
      </c>
    </row>
    <row r="44" ht="45.0" customHeight="1">
      <c r="A44" s="126" t="str">
        <f>'Закупка'!A44</f>
        <v/>
      </c>
      <c r="B44" s="127" t="str">
        <f>'Закупка'!B44</f>
        <v/>
      </c>
      <c r="C44" s="128" t="str">
        <f>'Закупка'!R44</f>
        <v/>
      </c>
      <c r="D44" s="129" t="str">
        <f t="array" ref="D44">INDEX('Закупка'!G44:K44, $A$2)</f>
        <v/>
      </c>
      <c r="E44" s="130" t="str">
        <f>'Закупка'!F44</f>
        <v/>
      </c>
      <c r="F44" s="131" t="str">
        <f t="shared" si="1"/>
        <v/>
      </c>
      <c r="G44" s="132"/>
      <c r="H44" s="133"/>
      <c r="I44" s="134"/>
      <c r="J44" s="131"/>
      <c r="K44" s="135" t="str">
        <f>'Закупка'!T44</f>
        <v/>
      </c>
      <c r="L44" s="136" t="str">
        <f>'Закупка'!U44</f>
        <v/>
      </c>
      <c r="M44" s="137" t="str">
        <f>'Закупка'!V44</f>
        <v/>
      </c>
    </row>
    <row r="45" ht="45.0" customHeight="1">
      <c r="A45" s="126" t="str">
        <f>'Закупка'!A45</f>
        <v/>
      </c>
      <c r="B45" s="127" t="str">
        <f>'Закупка'!B45</f>
        <v/>
      </c>
      <c r="C45" s="128" t="str">
        <f>'Закупка'!R45</f>
        <v/>
      </c>
      <c r="D45" s="129" t="str">
        <f t="array" ref="D45">INDEX('Закупка'!G45:K45, $A$2)</f>
        <v/>
      </c>
      <c r="E45" s="130" t="str">
        <f>'Закупка'!F45</f>
        <v/>
      </c>
      <c r="F45" s="131" t="str">
        <f t="shared" si="1"/>
        <v/>
      </c>
      <c r="G45" s="132"/>
      <c r="H45" s="133"/>
      <c r="I45" s="134"/>
      <c r="J45" s="131"/>
      <c r="K45" s="135" t="str">
        <f>'Закупка'!T45</f>
        <v/>
      </c>
      <c r="L45" s="136" t="str">
        <f>'Закупка'!U45</f>
        <v/>
      </c>
      <c r="M45" s="137" t="str">
        <f>'Закупка'!V45</f>
        <v/>
      </c>
    </row>
    <row r="46" ht="45.0" customHeight="1">
      <c r="A46" s="126" t="str">
        <f>'Закупка'!A46</f>
        <v/>
      </c>
      <c r="B46" s="127" t="str">
        <f>'Закупка'!B46</f>
        <v/>
      </c>
      <c r="C46" s="128" t="str">
        <f>'Закупка'!R46</f>
        <v/>
      </c>
      <c r="D46" s="129" t="str">
        <f t="array" ref="D46">INDEX('Закупка'!G46:K46, $A$2)</f>
        <v/>
      </c>
      <c r="E46" s="130" t="str">
        <f>'Закупка'!F46</f>
        <v/>
      </c>
      <c r="F46" s="131" t="str">
        <f t="shared" si="1"/>
        <v/>
      </c>
      <c r="G46" s="132"/>
      <c r="H46" s="133"/>
      <c r="I46" s="134"/>
      <c r="J46" s="131"/>
      <c r="K46" s="135" t="str">
        <f>'Закупка'!T46</f>
        <v/>
      </c>
      <c r="L46" s="136" t="str">
        <f>'Закупка'!U46</f>
        <v/>
      </c>
      <c r="M46" s="137" t="str">
        <f>'Закупка'!V46</f>
        <v/>
      </c>
    </row>
    <row r="47" ht="45.0" customHeight="1">
      <c r="A47" s="126" t="str">
        <f>'Закупка'!A47</f>
        <v/>
      </c>
      <c r="B47" s="127" t="str">
        <f>'Закупка'!B47</f>
        <v/>
      </c>
      <c r="C47" s="128" t="str">
        <f>'Закупка'!R47</f>
        <v/>
      </c>
      <c r="D47" s="129" t="str">
        <f t="array" ref="D47">INDEX('Закупка'!G47:K47, $A$2)</f>
        <v/>
      </c>
      <c r="E47" s="130" t="str">
        <f>'Закупка'!F47</f>
        <v/>
      </c>
      <c r="F47" s="131" t="str">
        <f t="shared" si="1"/>
        <v/>
      </c>
      <c r="G47" s="132"/>
      <c r="H47" s="133"/>
      <c r="I47" s="134"/>
      <c r="J47" s="131"/>
      <c r="K47" s="135" t="str">
        <f>'Закупка'!T47</f>
        <v/>
      </c>
      <c r="L47" s="136" t="str">
        <f>'Закупка'!U47</f>
        <v/>
      </c>
      <c r="M47" s="137" t="str">
        <f>'Закупка'!V47</f>
        <v/>
      </c>
    </row>
    <row r="48" ht="45.0" customHeight="1">
      <c r="A48" s="126" t="str">
        <f>'Закупка'!A48</f>
        <v/>
      </c>
      <c r="B48" s="127" t="str">
        <f>'Закупка'!B48</f>
        <v/>
      </c>
      <c r="C48" s="128" t="str">
        <f>'Закупка'!R48</f>
        <v/>
      </c>
      <c r="D48" s="129" t="str">
        <f t="array" ref="D48">INDEX('Закупка'!G48:K48, $A$2)</f>
        <v/>
      </c>
      <c r="E48" s="130" t="str">
        <f>'Закупка'!F48</f>
        <v/>
      </c>
      <c r="F48" s="131" t="str">
        <f t="shared" si="1"/>
        <v/>
      </c>
      <c r="G48" s="132"/>
      <c r="H48" s="133"/>
      <c r="I48" s="134"/>
      <c r="J48" s="131"/>
      <c r="K48" s="135" t="str">
        <f>'Закупка'!T48</f>
        <v/>
      </c>
      <c r="L48" s="136" t="str">
        <f>'Закупка'!U48</f>
        <v/>
      </c>
      <c r="M48" s="137" t="str">
        <f>'Закупка'!V48</f>
        <v/>
      </c>
    </row>
    <row r="49" ht="45.0" customHeight="1">
      <c r="A49" s="126" t="str">
        <f>'Закупка'!A49</f>
        <v/>
      </c>
      <c r="B49" s="127" t="str">
        <f>'Закупка'!B49</f>
        <v/>
      </c>
      <c r="C49" s="128" t="str">
        <f>'Закупка'!R49</f>
        <v/>
      </c>
      <c r="D49" s="129" t="str">
        <f t="array" ref="D49">INDEX('Закупка'!G49:K49, $A$2)</f>
        <v/>
      </c>
      <c r="E49" s="130" t="str">
        <f>'Закупка'!F49</f>
        <v/>
      </c>
      <c r="F49" s="131" t="str">
        <f t="shared" si="1"/>
        <v/>
      </c>
      <c r="G49" s="132"/>
      <c r="H49" s="133"/>
      <c r="I49" s="134"/>
      <c r="J49" s="131"/>
      <c r="K49" s="135" t="str">
        <f>'Закупка'!T49</f>
        <v/>
      </c>
      <c r="L49" s="136" t="str">
        <f>'Закупка'!U49</f>
        <v/>
      </c>
      <c r="M49" s="137" t="str">
        <f>'Закупка'!V49</f>
        <v/>
      </c>
    </row>
    <row r="50" ht="45.0" customHeight="1">
      <c r="A50" s="126" t="str">
        <f>'Закупка'!A50</f>
        <v/>
      </c>
      <c r="B50" s="127" t="str">
        <f>'Закупка'!B50</f>
        <v/>
      </c>
      <c r="C50" s="128" t="str">
        <f>'Закупка'!R50</f>
        <v/>
      </c>
      <c r="D50" s="129" t="str">
        <f t="array" ref="D50">INDEX('Закупка'!G50:K50, $A$2)</f>
        <v/>
      </c>
      <c r="E50" s="130" t="str">
        <f>'Закупка'!F50</f>
        <v/>
      </c>
      <c r="F50" s="131" t="str">
        <f t="shared" si="1"/>
        <v/>
      </c>
      <c r="G50" s="132"/>
      <c r="H50" s="133"/>
      <c r="I50" s="134"/>
      <c r="J50" s="131"/>
      <c r="K50" s="135" t="str">
        <f>'Закупка'!T50</f>
        <v/>
      </c>
      <c r="L50" s="136" t="str">
        <f>'Закупка'!U50</f>
        <v/>
      </c>
      <c r="M50" s="137" t="str">
        <f>'Закупка'!V50</f>
        <v/>
      </c>
    </row>
    <row r="51" ht="45.0" customHeight="1">
      <c r="A51" s="126" t="str">
        <f>'Закупка'!A51</f>
        <v/>
      </c>
      <c r="B51" s="127" t="str">
        <f>'Закупка'!B51</f>
        <v/>
      </c>
      <c r="C51" s="128" t="str">
        <f>'Закупка'!R51</f>
        <v/>
      </c>
      <c r="D51" s="129" t="str">
        <f t="array" ref="D51">INDEX('Закупка'!G51:K51, $A$2)</f>
        <v/>
      </c>
      <c r="E51" s="130" t="str">
        <f>'Закупка'!F51</f>
        <v/>
      </c>
      <c r="F51" s="131" t="str">
        <f t="shared" si="1"/>
        <v/>
      </c>
      <c r="G51" s="132"/>
      <c r="H51" s="133"/>
      <c r="I51" s="134"/>
      <c r="J51" s="131"/>
      <c r="K51" s="135" t="str">
        <f>'Закупка'!T51</f>
        <v/>
      </c>
      <c r="L51" s="136" t="str">
        <f>'Закупка'!U51</f>
        <v/>
      </c>
      <c r="M51" s="137" t="str">
        <f>'Закупка'!V51</f>
        <v/>
      </c>
    </row>
    <row r="52" ht="45.0" customHeight="1">
      <c r="A52" s="126" t="str">
        <f>'Закупка'!A52</f>
        <v/>
      </c>
      <c r="B52" s="127" t="str">
        <f>'Закупка'!B52</f>
        <v/>
      </c>
      <c r="C52" s="128" t="str">
        <f>'Закупка'!R52</f>
        <v/>
      </c>
      <c r="D52" s="129" t="str">
        <f t="array" ref="D52">INDEX('Закупка'!G52:K52, $A$2)</f>
        <v/>
      </c>
      <c r="E52" s="130" t="str">
        <f>'Закупка'!F52</f>
        <v/>
      </c>
      <c r="F52" s="131" t="str">
        <f t="shared" si="1"/>
        <v/>
      </c>
      <c r="G52" s="132"/>
      <c r="H52" s="133"/>
      <c r="I52" s="134"/>
      <c r="J52" s="131"/>
      <c r="K52" s="135" t="str">
        <f>'Закупка'!T52</f>
        <v/>
      </c>
      <c r="L52" s="136" t="str">
        <f>'Закупка'!U52</f>
        <v/>
      </c>
      <c r="M52" s="137" t="str">
        <f>'Закупка'!V52</f>
        <v/>
      </c>
    </row>
    <row r="53" ht="45.0" customHeight="1">
      <c r="A53" s="126" t="str">
        <f>'Закупка'!A53</f>
        <v/>
      </c>
      <c r="B53" s="127" t="str">
        <f>'Закупка'!B53</f>
        <v/>
      </c>
      <c r="C53" s="128" t="str">
        <f>'Закупка'!R53</f>
        <v/>
      </c>
      <c r="D53" s="129" t="str">
        <f t="array" ref="D53">INDEX('Закупка'!G53:K53, $A$2)</f>
        <v/>
      </c>
      <c r="E53" s="130" t="str">
        <f>'Закупка'!F53</f>
        <v/>
      </c>
      <c r="F53" s="131" t="str">
        <f t="shared" si="1"/>
        <v/>
      </c>
      <c r="G53" s="132"/>
      <c r="H53" s="133"/>
      <c r="I53" s="134"/>
      <c r="J53" s="131"/>
      <c r="K53" s="135" t="str">
        <f>'Закупка'!T53</f>
        <v/>
      </c>
      <c r="L53" s="136" t="str">
        <f>'Закупка'!U53</f>
        <v/>
      </c>
      <c r="M53" s="137" t="str">
        <f>'Закупка'!V53</f>
        <v/>
      </c>
    </row>
    <row r="54" ht="45.0" customHeight="1">
      <c r="A54" s="126" t="str">
        <f>'Закупка'!A54</f>
        <v/>
      </c>
      <c r="B54" s="127" t="str">
        <f>'Закупка'!B54</f>
        <v/>
      </c>
      <c r="C54" s="128" t="str">
        <f>'Закупка'!R54</f>
        <v/>
      </c>
      <c r="D54" s="129" t="str">
        <f t="array" ref="D54">INDEX('Закупка'!G54:K54, $A$2)</f>
        <v/>
      </c>
      <c r="E54" s="130" t="str">
        <f>'Закупка'!F54</f>
        <v/>
      </c>
      <c r="F54" s="131" t="str">
        <f t="shared" si="1"/>
        <v/>
      </c>
      <c r="G54" s="132"/>
      <c r="H54" s="133"/>
      <c r="I54" s="134"/>
      <c r="J54" s="131"/>
      <c r="K54" s="135" t="str">
        <f>'Закупка'!T54</f>
        <v/>
      </c>
      <c r="L54" s="136" t="str">
        <f>'Закупка'!U54</f>
        <v/>
      </c>
      <c r="M54" s="137" t="str">
        <f>'Закупка'!V54</f>
        <v/>
      </c>
    </row>
    <row r="55" ht="45.0" customHeight="1">
      <c r="A55" s="126" t="str">
        <f>'Закупка'!A55</f>
        <v/>
      </c>
      <c r="B55" s="127" t="str">
        <f>'Закупка'!B55</f>
        <v/>
      </c>
      <c r="C55" s="128" t="str">
        <f>'Закупка'!R55</f>
        <v/>
      </c>
      <c r="D55" s="129" t="str">
        <f t="array" ref="D55">INDEX('Закупка'!G55:K55, $A$2)</f>
        <v/>
      </c>
      <c r="E55" s="130" t="str">
        <f>'Закупка'!F55</f>
        <v/>
      </c>
      <c r="F55" s="131" t="str">
        <f t="shared" si="1"/>
        <v/>
      </c>
      <c r="G55" s="132"/>
      <c r="H55" s="133"/>
      <c r="I55" s="134"/>
      <c r="J55" s="131"/>
      <c r="K55" s="135" t="str">
        <f>'Закупка'!T55</f>
        <v/>
      </c>
      <c r="L55" s="136" t="str">
        <f>'Закупка'!U55</f>
        <v/>
      </c>
      <c r="M55" s="137" t="str">
        <f>'Закупка'!V55</f>
        <v/>
      </c>
    </row>
    <row r="56" ht="45.0" customHeight="1">
      <c r="A56" s="126" t="str">
        <f>'Закупка'!A56</f>
        <v/>
      </c>
      <c r="B56" s="127" t="str">
        <f>'Закупка'!B56</f>
        <v/>
      </c>
      <c r="C56" s="128" t="str">
        <f>'Закупка'!R56</f>
        <v/>
      </c>
      <c r="D56" s="129" t="str">
        <f t="array" ref="D56">INDEX('Закупка'!G56:K56, $A$2)</f>
        <v/>
      </c>
      <c r="E56" s="130" t="str">
        <f>'Закупка'!F56</f>
        <v/>
      </c>
      <c r="F56" s="131" t="str">
        <f t="shared" si="1"/>
        <v/>
      </c>
      <c r="G56" s="132"/>
      <c r="H56" s="133"/>
      <c r="I56" s="134"/>
      <c r="J56" s="131"/>
      <c r="K56" s="135" t="str">
        <f>'Закупка'!T56</f>
        <v/>
      </c>
      <c r="L56" s="136" t="str">
        <f>'Закупка'!U56</f>
        <v/>
      </c>
      <c r="M56" s="137" t="str">
        <f>'Закупка'!V56</f>
        <v/>
      </c>
    </row>
    <row r="57" ht="45.0" customHeight="1">
      <c r="A57" s="126" t="str">
        <f>'Закупка'!A57</f>
        <v/>
      </c>
      <c r="B57" s="127" t="str">
        <f>'Закупка'!B57</f>
        <v/>
      </c>
      <c r="C57" s="128" t="str">
        <f>'Закупка'!R57</f>
        <v/>
      </c>
      <c r="D57" s="129" t="str">
        <f t="array" ref="D57">INDEX('Закупка'!G57:K57, $A$2)</f>
        <v/>
      </c>
      <c r="E57" s="130" t="str">
        <f>'Закупка'!F57</f>
        <v/>
      </c>
      <c r="F57" s="131" t="str">
        <f t="shared" si="1"/>
        <v/>
      </c>
      <c r="G57" s="132"/>
      <c r="H57" s="133"/>
      <c r="I57" s="134"/>
      <c r="J57" s="131"/>
      <c r="K57" s="135" t="str">
        <f>'Закупка'!T57</f>
        <v/>
      </c>
      <c r="L57" s="136" t="str">
        <f>'Закупка'!U57</f>
        <v/>
      </c>
      <c r="M57" s="137" t="str">
        <f>'Закупка'!V57</f>
        <v/>
      </c>
    </row>
    <row r="58" ht="45.0" customHeight="1">
      <c r="A58" s="126" t="str">
        <f>'Закупка'!A58</f>
        <v/>
      </c>
      <c r="B58" s="127" t="str">
        <f>'Закупка'!B58</f>
        <v/>
      </c>
      <c r="C58" s="128" t="str">
        <f>'Закупка'!R58</f>
        <v/>
      </c>
      <c r="D58" s="129" t="str">
        <f t="array" ref="D58">INDEX('Закупка'!G58:K58, $A$2)</f>
        <v/>
      </c>
      <c r="E58" s="130" t="str">
        <f>'Закупка'!F58</f>
        <v/>
      </c>
      <c r="F58" s="131" t="str">
        <f t="shared" si="1"/>
        <v/>
      </c>
      <c r="G58" s="132"/>
      <c r="H58" s="133"/>
      <c r="I58" s="134"/>
      <c r="J58" s="131"/>
      <c r="K58" s="135" t="str">
        <f>'Закупка'!T58</f>
        <v/>
      </c>
      <c r="L58" s="136" t="str">
        <f>'Закупка'!U58</f>
        <v/>
      </c>
      <c r="M58" s="137" t="str">
        <f>'Закупка'!V58</f>
        <v/>
      </c>
    </row>
    <row r="59" ht="45.0" customHeight="1">
      <c r="A59" s="126" t="str">
        <f>'Закупка'!A59</f>
        <v/>
      </c>
      <c r="B59" s="127" t="str">
        <f>'Закупка'!B59</f>
        <v/>
      </c>
      <c r="C59" s="128" t="str">
        <f>'Закупка'!R59</f>
        <v/>
      </c>
      <c r="D59" s="129" t="str">
        <f t="array" ref="D59">INDEX('Закупка'!G59:K59, $A$2)</f>
        <v/>
      </c>
      <c r="E59" s="130" t="str">
        <f>'Закупка'!F59</f>
        <v/>
      </c>
      <c r="F59" s="131" t="str">
        <f t="shared" si="1"/>
        <v/>
      </c>
      <c r="G59" s="132"/>
      <c r="H59" s="133"/>
      <c r="I59" s="134"/>
      <c r="J59" s="131"/>
      <c r="K59" s="135" t="str">
        <f>'Закупка'!T59</f>
        <v/>
      </c>
      <c r="L59" s="136" t="str">
        <f>'Закупка'!U59</f>
        <v/>
      </c>
      <c r="M59" s="137" t="str">
        <f>'Закупка'!V59</f>
        <v/>
      </c>
    </row>
    <row r="60" ht="45.0" customHeight="1">
      <c r="A60" s="126" t="str">
        <f>'Закупка'!A60</f>
        <v/>
      </c>
      <c r="B60" s="127" t="str">
        <f>'Закупка'!B60</f>
        <v/>
      </c>
      <c r="C60" s="128" t="str">
        <f>'Закупка'!R60</f>
        <v/>
      </c>
      <c r="D60" s="129" t="str">
        <f t="array" ref="D60">INDEX('Закупка'!G60:K60, $A$2)</f>
        <v/>
      </c>
      <c r="E60" s="130" t="str">
        <f>'Закупка'!F60</f>
        <v/>
      </c>
      <c r="F60" s="131" t="str">
        <f t="shared" si="1"/>
        <v/>
      </c>
      <c r="G60" s="132"/>
      <c r="H60" s="133"/>
      <c r="I60" s="134"/>
      <c r="J60" s="131"/>
      <c r="K60" s="135" t="str">
        <f>'Закупка'!T60</f>
        <v/>
      </c>
      <c r="L60" s="136" t="str">
        <f>'Закупка'!U60</f>
        <v/>
      </c>
      <c r="M60" s="137" t="str">
        <f>'Закупка'!V60</f>
        <v/>
      </c>
    </row>
    <row r="61" ht="45.0" customHeight="1">
      <c r="A61" s="126" t="str">
        <f>'Закупка'!A61</f>
        <v/>
      </c>
      <c r="B61" s="127" t="str">
        <f>'Закупка'!B61</f>
        <v/>
      </c>
      <c r="C61" s="128" t="str">
        <f>'Закупка'!R61</f>
        <v/>
      </c>
      <c r="D61" s="129" t="str">
        <f t="array" ref="D61">INDEX('Закупка'!G61:K61, $A$2)</f>
        <v/>
      </c>
      <c r="E61" s="130" t="str">
        <f>'Закупка'!F61</f>
        <v/>
      </c>
      <c r="F61" s="131" t="str">
        <f t="shared" si="1"/>
        <v/>
      </c>
      <c r="G61" s="132"/>
      <c r="H61" s="133"/>
      <c r="I61" s="134"/>
      <c r="J61" s="131"/>
      <c r="K61" s="135" t="str">
        <f>'Закупка'!T61</f>
        <v/>
      </c>
      <c r="L61" s="136" t="str">
        <f>'Закупка'!U61</f>
        <v/>
      </c>
      <c r="M61" s="137" t="str">
        <f>'Закупка'!V61</f>
        <v/>
      </c>
    </row>
    <row r="62" ht="45.0" customHeight="1">
      <c r="A62" s="126" t="str">
        <f>'Закупка'!A62</f>
        <v/>
      </c>
      <c r="B62" s="127" t="str">
        <f>'Закупка'!B62</f>
        <v/>
      </c>
      <c r="C62" s="128" t="str">
        <f>'Закупка'!R62</f>
        <v/>
      </c>
      <c r="D62" s="129" t="str">
        <f t="array" ref="D62">INDEX('Закупка'!G62:K62, $A$2)</f>
        <v/>
      </c>
      <c r="E62" s="130" t="str">
        <f>'Закупка'!F62</f>
        <v/>
      </c>
      <c r="F62" s="131" t="str">
        <f t="shared" si="1"/>
        <v/>
      </c>
      <c r="G62" s="132"/>
      <c r="H62" s="133"/>
      <c r="I62" s="134"/>
      <c r="J62" s="131"/>
      <c r="K62" s="135" t="str">
        <f>'Закупка'!T62</f>
        <v/>
      </c>
      <c r="L62" s="136" t="str">
        <f>'Закупка'!U62</f>
        <v/>
      </c>
      <c r="M62" s="137" t="str">
        <f>'Закупка'!V62</f>
        <v/>
      </c>
    </row>
    <row r="63" ht="45.0" customHeight="1">
      <c r="A63" s="126" t="str">
        <f>'Закупка'!A63</f>
        <v/>
      </c>
      <c r="B63" s="127" t="str">
        <f>'Закупка'!B63</f>
        <v/>
      </c>
      <c r="C63" s="128" t="str">
        <f>'Закупка'!R63</f>
        <v/>
      </c>
      <c r="D63" s="129" t="str">
        <f t="array" ref="D63">INDEX('Закупка'!G63:K63, $A$2)</f>
        <v/>
      </c>
      <c r="E63" s="130" t="str">
        <f>'Закупка'!F63</f>
        <v/>
      </c>
      <c r="F63" s="131" t="str">
        <f t="shared" si="1"/>
        <v/>
      </c>
      <c r="G63" s="132"/>
      <c r="H63" s="133"/>
      <c r="I63" s="134"/>
      <c r="J63" s="131"/>
      <c r="K63" s="135" t="str">
        <f>'Закупка'!T63</f>
        <v/>
      </c>
      <c r="L63" s="136" t="str">
        <f>'Закупка'!U63</f>
        <v/>
      </c>
      <c r="M63" s="137" t="str">
        <f>'Закупка'!V63</f>
        <v/>
      </c>
    </row>
    <row r="64" ht="45.0" customHeight="1">
      <c r="A64" s="126" t="str">
        <f>'Закупка'!A64</f>
        <v/>
      </c>
      <c r="B64" s="127" t="str">
        <f>'Закупка'!B64</f>
        <v/>
      </c>
      <c r="C64" s="128" t="str">
        <f>'Закупка'!R64</f>
        <v/>
      </c>
      <c r="D64" s="129" t="str">
        <f t="array" ref="D64">INDEX('Закупка'!G64:K64, $A$2)</f>
        <v/>
      </c>
      <c r="E64" s="130" t="str">
        <f>'Закупка'!F64</f>
        <v/>
      </c>
      <c r="F64" s="131" t="str">
        <f t="shared" si="1"/>
        <v/>
      </c>
      <c r="G64" s="132"/>
      <c r="H64" s="133"/>
      <c r="I64" s="134"/>
      <c r="J64" s="131"/>
      <c r="K64" s="135" t="str">
        <f>'Закупка'!T64</f>
        <v/>
      </c>
      <c r="L64" s="136" t="str">
        <f>'Закупка'!U64</f>
        <v/>
      </c>
      <c r="M64" s="137" t="str">
        <f>'Закупка'!V64</f>
        <v/>
      </c>
    </row>
    <row r="65" ht="45.0" customHeight="1">
      <c r="A65" s="126" t="str">
        <f>'Закупка'!A65</f>
        <v/>
      </c>
      <c r="B65" s="127" t="str">
        <f>'Закупка'!B65</f>
        <v/>
      </c>
      <c r="C65" s="128" t="str">
        <f>'Закупка'!R65</f>
        <v/>
      </c>
      <c r="D65" s="129" t="str">
        <f t="array" ref="D65">INDEX('Закупка'!G65:K65, $A$2)</f>
        <v/>
      </c>
      <c r="E65" s="130" t="str">
        <f>'Закупка'!F65</f>
        <v/>
      </c>
      <c r="F65" s="131" t="str">
        <f t="shared" si="1"/>
        <v/>
      </c>
      <c r="G65" s="132"/>
      <c r="H65" s="133"/>
      <c r="I65" s="134"/>
      <c r="J65" s="131"/>
      <c r="K65" s="135" t="str">
        <f>'Закупка'!T65</f>
        <v/>
      </c>
      <c r="L65" s="136" t="str">
        <f>'Закупка'!U65</f>
        <v/>
      </c>
      <c r="M65" s="137" t="str">
        <f>'Закупка'!V65</f>
        <v/>
      </c>
    </row>
    <row r="66" ht="45.0" customHeight="1">
      <c r="A66" s="126" t="str">
        <f>'Закупка'!A66</f>
        <v/>
      </c>
      <c r="B66" s="127" t="str">
        <f>'Закупка'!B66</f>
        <v/>
      </c>
      <c r="C66" s="128" t="str">
        <f>'Закупка'!R66</f>
        <v/>
      </c>
      <c r="D66" s="129" t="str">
        <f t="array" ref="D66">INDEX('Закупка'!G66:K66, $A$2)</f>
        <v/>
      </c>
      <c r="E66" s="130" t="str">
        <f>'Закупка'!F66</f>
        <v/>
      </c>
      <c r="F66" s="131" t="str">
        <f t="shared" si="1"/>
        <v/>
      </c>
      <c r="G66" s="132"/>
      <c r="H66" s="133"/>
      <c r="I66" s="134"/>
      <c r="J66" s="131"/>
      <c r="K66" s="135" t="str">
        <f>'Закупка'!T66</f>
        <v/>
      </c>
      <c r="L66" s="136" t="str">
        <f>'Закупка'!U66</f>
        <v/>
      </c>
      <c r="M66" s="137" t="str">
        <f>'Закупка'!V66</f>
        <v/>
      </c>
    </row>
    <row r="67" ht="45.0" customHeight="1">
      <c r="A67" s="126" t="str">
        <f>'Закупка'!A67</f>
        <v/>
      </c>
      <c r="B67" s="127" t="str">
        <f>'Закупка'!B67</f>
        <v/>
      </c>
      <c r="C67" s="128" t="str">
        <f>'Закупка'!R67</f>
        <v/>
      </c>
      <c r="D67" s="129" t="str">
        <f t="array" ref="D67">INDEX('Закупка'!G67:K67, $A$2)</f>
        <v/>
      </c>
      <c r="E67" s="130" t="str">
        <f>'Закупка'!F67</f>
        <v/>
      </c>
      <c r="F67" s="131" t="str">
        <f t="shared" si="1"/>
        <v/>
      </c>
      <c r="G67" s="132"/>
      <c r="H67" s="133"/>
      <c r="I67" s="134"/>
      <c r="J67" s="131"/>
      <c r="K67" s="135" t="str">
        <f>'Закупка'!T67</f>
        <v/>
      </c>
      <c r="L67" s="136" t="str">
        <f>'Закупка'!U67</f>
        <v/>
      </c>
      <c r="M67" s="137" t="str">
        <f>'Закупка'!V67</f>
        <v/>
      </c>
    </row>
    <row r="68" ht="45.0" customHeight="1">
      <c r="A68" s="126" t="str">
        <f>'Закупка'!A68</f>
        <v/>
      </c>
      <c r="B68" s="127" t="str">
        <f>'Закупка'!B68</f>
        <v/>
      </c>
      <c r="C68" s="128" t="str">
        <f>'Закупка'!R68</f>
        <v/>
      </c>
      <c r="D68" s="129" t="str">
        <f t="array" ref="D68">INDEX('Закупка'!G68:K68, $A$2)</f>
        <v/>
      </c>
      <c r="E68" s="130" t="str">
        <f>'Закупка'!F68</f>
        <v/>
      </c>
      <c r="F68" s="131" t="str">
        <f t="shared" si="1"/>
        <v/>
      </c>
      <c r="G68" s="132"/>
      <c r="H68" s="133"/>
      <c r="I68" s="134"/>
      <c r="J68" s="131"/>
      <c r="K68" s="135" t="str">
        <f>'Закупка'!T68</f>
        <v/>
      </c>
      <c r="L68" s="136" t="str">
        <f>'Закупка'!U68</f>
        <v/>
      </c>
      <c r="M68" s="137" t="str">
        <f>'Закупка'!V68</f>
        <v/>
      </c>
    </row>
    <row r="69" ht="45.0" customHeight="1">
      <c r="A69" s="126" t="str">
        <f>'Закупка'!A69</f>
        <v/>
      </c>
      <c r="B69" s="127" t="str">
        <f>'Закупка'!B69</f>
        <v/>
      </c>
      <c r="C69" s="128" t="str">
        <f>'Закупка'!R69</f>
        <v/>
      </c>
      <c r="D69" s="129" t="str">
        <f t="array" ref="D69">INDEX('Закупка'!G69:K69, $A$2)</f>
        <v/>
      </c>
      <c r="E69" s="130" t="str">
        <f>'Закупка'!F69</f>
        <v/>
      </c>
      <c r="F69" s="131" t="str">
        <f t="shared" si="1"/>
        <v/>
      </c>
      <c r="G69" s="132"/>
      <c r="H69" s="133"/>
      <c r="I69" s="134"/>
      <c r="J69" s="131"/>
      <c r="K69" s="135" t="str">
        <f>'Закупка'!T69</f>
        <v/>
      </c>
      <c r="L69" s="136" t="str">
        <f>'Закупка'!U69</f>
        <v/>
      </c>
      <c r="M69" s="137" t="str">
        <f>'Закупка'!V69</f>
        <v/>
      </c>
    </row>
    <row r="70" ht="45.0" customHeight="1">
      <c r="A70" s="126" t="str">
        <f>'Закупка'!A70</f>
        <v/>
      </c>
      <c r="B70" s="127" t="str">
        <f>'Закупка'!B70</f>
        <v/>
      </c>
      <c r="C70" s="128" t="str">
        <f>'Закупка'!R70</f>
        <v/>
      </c>
      <c r="D70" s="129" t="str">
        <f t="array" ref="D70">INDEX('Закупка'!G70:K70, $A$2)</f>
        <v/>
      </c>
      <c r="E70" s="130" t="str">
        <f>'Закупка'!F70</f>
        <v/>
      </c>
      <c r="F70" s="131" t="str">
        <f t="shared" si="1"/>
        <v/>
      </c>
      <c r="G70" s="132"/>
      <c r="H70" s="133"/>
      <c r="I70" s="134"/>
      <c r="J70" s="131"/>
      <c r="K70" s="135" t="str">
        <f>'Закупка'!T70</f>
        <v/>
      </c>
      <c r="L70" s="136" t="str">
        <f>'Закупка'!U70</f>
        <v/>
      </c>
      <c r="M70" s="137" t="str">
        <f>'Закупка'!V70</f>
        <v/>
      </c>
    </row>
    <row r="71" ht="45.0" customHeight="1">
      <c r="A71" s="126" t="str">
        <f>'Закупка'!A71</f>
        <v/>
      </c>
      <c r="B71" s="127" t="str">
        <f>'Закупка'!B71</f>
        <v/>
      </c>
      <c r="C71" s="128" t="str">
        <f>'Закупка'!R71</f>
        <v/>
      </c>
      <c r="D71" s="129" t="str">
        <f t="array" ref="D71">INDEX('Закупка'!G71:K71, $A$2)</f>
        <v/>
      </c>
      <c r="E71" s="130" t="str">
        <f>'Закупка'!F71</f>
        <v/>
      </c>
      <c r="F71" s="131" t="str">
        <f t="shared" si="1"/>
        <v/>
      </c>
      <c r="G71" s="132"/>
      <c r="H71" s="133"/>
      <c r="I71" s="134"/>
      <c r="J71" s="131"/>
      <c r="K71" s="135" t="str">
        <f>'Закупка'!T71</f>
        <v/>
      </c>
      <c r="L71" s="136" t="str">
        <f>'Закупка'!U71</f>
        <v/>
      </c>
      <c r="M71" s="137" t="str">
        <f>'Закупка'!V71</f>
        <v/>
      </c>
    </row>
    <row r="72" ht="45.0" customHeight="1">
      <c r="A72" s="126" t="str">
        <f>'Закупка'!A72</f>
        <v/>
      </c>
      <c r="B72" s="127" t="str">
        <f>'Закупка'!B72</f>
        <v/>
      </c>
      <c r="C72" s="128" t="str">
        <f>'Закупка'!R72</f>
        <v/>
      </c>
      <c r="D72" s="129" t="str">
        <f t="array" ref="D72">INDEX('Закупка'!G72:K72, $A$2)</f>
        <v/>
      </c>
      <c r="E72" s="130" t="str">
        <f>'Закупка'!F72</f>
        <v/>
      </c>
      <c r="F72" s="131" t="str">
        <f t="shared" si="1"/>
        <v/>
      </c>
      <c r="G72" s="132"/>
      <c r="H72" s="133"/>
      <c r="I72" s="134"/>
      <c r="J72" s="131"/>
      <c r="K72" s="135" t="str">
        <f>'Закупка'!T72</f>
        <v/>
      </c>
      <c r="L72" s="136" t="str">
        <f>'Закупка'!U72</f>
        <v/>
      </c>
      <c r="M72" s="137" t="str">
        <f>'Закупка'!V72</f>
        <v/>
      </c>
    </row>
    <row r="73" ht="45.0" customHeight="1">
      <c r="A73" s="126" t="str">
        <f>'Закупка'!A73</f>
        <v/>
      </c>
      <c r="B73" s="127" t="str">
        <f>'Закупка'!B73</f>
        <v/>
      </c>
      <c r="C73" s="128" t="str">
        <f>'Закупка'!R73</f>
        <v/>
      </c>
      <c r="D73" s="129" t="str">
        <f t="array" ref="D73">INDEX('Закупка'!G73:K73, $A$2)</f>
        <v/>
      </c>
      <c r="E73" s="130" t="str">
        <f>'Закупка'!F73</f>
        <v/>
      </c>
      <c r="F73" s="131" t="str">
        <f t="shared" si="1"/>
        <v/>
      </c>
      <c r="G73" s="132"/>
      <c r="H73" s="133"/>
      <c r="I73" s="134"/>
      <c r="J73" s="131"/>
      <c r="K73" s="135" t="str">
        <f>'Закупка'!T73</f>
        <v/>
      </c>
      <c r="L73" s="136" t="str">
        <f>'Закупка'!U73</f>
        <v/>
      </c>
      <c r="M73" s="137" t="str">
        <f>'Закупка'!V73</f>
        <v/>
      </c>
    </row>
    <row r="74" ht="45.0" customHeight="1">
      <c r="A74" s="126" t="str">
        <f>'Закупка'!A74</f>
        <v/>
      </c>
      <c r="B74" s="127" t="str">
        <f>'Закупка'!B74</f>
        <v/>
      </c>
      <c r="C74" s="128" t="str">
        <f>'Закупка'!R74</f>
        <v/>
      </c>
      <c r="D74" s="129" t="str">
        <f t="array" ref="D74">INDEX('Закупка'!G74:K74, $A$2)</f>
        <v/>
      </c>
      <c r="E74" s="130" t="str">
        <f>'Закупка'!F74</f>
        <v/>
      </c>
      <c r="F74" s="131" t="str">
        <f t="shared" si="1"/>
        <v/>
      </c>
      <c r="G74" s="132"/>
      <c r="H74" s="133"/>
      <c r="I74" s="134"/>
      <c r="J74" s="131"/>
      <c r="K74" s="135" t="str">
        <f>'Закупка'!T74</f>
        <v/>
      </c>
      <c r="L74" s="136" t="str">
        <f>'Закупка'!U74</f>
        <v/>
      </c>
      <c r="M74" s="137" t="str">
        <f>'Закупка'!V74</f>
        <v/>
      </c>
    </row>
    <row r="75" ht="45.0" customHeight="1">
      <c r="A75" s="126" t="str">
        <f>'Закупка'!A75</f>
        <v/>
      </c>
      <c r="B75" s="127" t="str">
        <f>'Закупка'!B75</f>
        <v/>
      </c>
      <c r="C75" s="128" t="str">
        <f>'Закупка'!R75</f>
        <v/>
      </c>
      <c r="D75" s="129" t="str">
        <f t="array" ref="D75">INDEX('Закупка'!G75:K75, $A$2)</f>
        <v/>
      </c>
      <c r="E75" s="130" t="str">
        <f>'Закупка'!F75</f>
        <v/>
      </c>
      <c r="F75" s="131" t="str">
        <f t="shared" si="1"/>
        <v/>
      </c>
      <c r="G75" s="132"/>
      <c r="H75" s="133"/>
      <c r="I75" s="134"/>
      <c r="J75" s="131"/>
      <c r="K75" s="135" t="str">
        <f>'Закупка'!T75</f>
        <v/>
      </c>
      <c r="L75" s="136" t="str">
        <f>'Закупка'!U75</f>
        <v/>
      </c>
      <c r="M75" s="137" t="str">
        <f>'Закупка'!V75</f>
        <v/>
      </c>
    </row>
    <row r="76" ht="45.0" customHeight="1">
      <c r="A76" s="126" t="str">
        <f>'Закупка'!A76</f>
        <v/>
      </c>
      <c r="B76" s="127" t="str">
        <f>'Закупка'!B76</f>
        <v/>
      </c>
      <c r="C76" s="128" t="str">
        <f>'Закупка'!R76</f>
        <v/>
      </c>
      <c r="D76" s="129" t="str">
        <f t="array" ref="D76">INDEX('Закупка'!G76:K76, $A$2)</f>
        <v/>
      </c>
      <c r="E76" s="130" t="str">
        <f>'Закупка'!F76</f>
        <v/>
      </c>
      <c r="F76" s="131" t="str">
        <f t="shared" si="1"/>
        <v/>
      </c>
      <c r="G76" s="132"/>
      <c r="H76" s="133"/>
      <c r="I76" s="134"/>
      <c r="J76" s="131"/>
      <c r="K76" s="135" t="str">
        <f>'Закупка'!T76</f>
        <v/>
      </c>
      <c r="L76" s="136" t="str">
        <f>'Закупка'!U76</f>
        <v/>
      </c>
      <c r="M76" s="137" t="str">
        <f>'Закупка'!V76</f>
        <v/>
      </c>
    </row>
    <row r="77" ht="45.0" customHeight="1">
      <c r="A77" s="126" t="str">
        <f>'Закупка'!A77</f>
        <v/>
      </c>
      <c r="B77" s="127" t="str">
        <f>'Закупка'!B77</f>
        <v/>
      </c>
      <c r="C77" s="128" t="str">
        <f>'Закупка'!R77</f>
        <v/>
      </c>
      <c r="D77" s="129" t="str">
        <f t="array" ref="D77">INDEX('Закупка'!G77:K77, $A$2)</f>
        <v/>
      </c>
      <c r="E77" s="130" t="str">
        <f>'Закупка'!F77</f>
        <v/>
      </c>
      <c r="F77" s="131" t="str">
        <f t="shared" si="1"/>
        <v/>
      </c>
      <c r="G77" s="132"/>
      <c r="H77" s="133"/>
      <c r="I77" s="134"/>
      <c r="J77" s="131"/>
      <c r="K77" s="135" t="str">
        <f>'Закупка'!T77</f>
        <v/>
      </c>
      <c r="L77" s="136" t="str">
        <f>'Закупка'!U77</f>
        <v/>
      </c>
      <c r="M77" s="137" t="str">
        <f>'Закупка'!V77</f>
        <v/>
      </c>
    </row>
    <row r="78" ht="45.0" customHeight="1">
      <c r="A78" s="126" t="str">
        <f>'Закупка'!A78</f>
        <v/>
      </c>
      <c r="B78" s="127" t="str">
        <f>'Закупка'!B78</f>
        <v/>
      </c>
      <c r="C78" s="128" t="str">
        <f>'Закупка'!R78</f>
        <v/>
      </c>
      <c r="D78" s="129" t="str">
        <f t="array" ref="D78">INDEX('Закупка'!G78:K78, $A$2)</f>
        <v/>
      </c>
      <c r="E78" s="130" t="str">
        <f>'Закупка'!F78</f>
        <v/>
      </c>
      <c r="F78" s="131" t="str">
        <f t="shared" si="1"/>
        <v/>
      </c>
      <c r="G78" s="132"/>
      <c r="H78" s="133"/>
      <c r="I78" s="134"/>
      <c r="J78" s="131"/>
      <c r="K78" s="135" t="str">
        <f>'Закупка'!T78</f>
        <v/>
      </c>
      <c r="L78" s="136" t="str">
        <f>'Закупка'!U78</f>
        <v/>
      </c>
      <c r="M78" s="137" t="str">
        <f>'Закупка'!V78</f>
        <v/>
      </c>
    </row>
    <row r="79" ht="45.0" customHeight="1">
      <c r="A79" s="126" t="str">
        <f>'Закупка'!A79</f>
        <v/>
      </c>
      <c r="B79" s="127" t="str">
        <f>'Закупка'!B79</f>
        <v/>
      </c>
      <c r="C79" s="128" t="str">
        <f>'Закупка'!R79</f>
        <v/>
      </c>
      <c r="D79" s="129" t="str">
        <f t="array" ref="D79">INDEX('Закупка'!G79:K79, $A$2)</f>
        <v/>
      </c>
      <c r="E79" s="130" t="str">
        <f>'Закупка'!F79</f>
        <v/>
      </c>
      <c r="F79" s="131" t="str">
        <f t="shared" si="1"/>
        <v/>
      </c>
      <c r="G79" s="132"/>
      <c r="H79" s="133"/>
      <c r="I79" s="134"/>
      <c r="J79" s="131"/>
      <c r="K79" s="135" t="str">
        <f>'Закупка'!T79</f>
        <v/>
      </c>
      <c r="L79" s="136" t="str">
        <f>'Закупка'!U79</f>
        <v/>
      </c>
      <c r="M79" s="137" t="str">
        <f>'Закупка'!V79</f>
        <v/>
      </c>
    </row>
    <row r="80" ht="45.0" customHeight="1">
      <c r="A80" s="126" t="str">
        <f>'Закупка'!A80</f>
        <v/>
      </c>
      <c r="B80" s="127" t="str">
        <f>'Закупка'!B80</f>
        <v/>
      </c>
      <c r="C80" s="128" t="str">
        <f>'Закупка'!R80</f>
        <v/>
      </c>
      <c r="D80" s="129" t="str">
        <f t="array" ref="D80">INDEX('Закупка'!G80:K80, $A$2)</f>
        <v/>
      </c>
      <c r="E80" s="130" t="str">
        <f>'Закупка'!F80</f>
        <v/>
      </c>
      <c r="F80" s="131" t="str">
        <f t="shared" si="1"/>
        <v/>
      </c>
      <c r="G80" s="132"/>
      <c r="H80" s="133"/>
      <c r="I80" s="134"/>
      <c r="J80" s="131"/>
      <c r="K80" s="135" t="str">
        <f>'Закупка'!T80</f>
        <v/>
      </c>
      <c r="L80" s="136" t="str">
        <f>'Закупка'!U80</f>
        <v/>
      </c>
      <c r="M80" s="137" t="str">
        <f>'Закупка'!V80</f>
        <v/>
      </c>
    </row>
    <row r="81" ht="45.0" customHeight="1">
      <c r="A81" s="126" t="str">
        <f>'Закупка'!A81</f>
        <v/>
      </c>
      <c r="B81" s="127" t="str">
        <f>'Закупка'!B81</f>
        <v/>
      </c>
      <c r="C81" s="128" t="str">
        <f>'Закупка'!R81</f>
        <v/>
      </c>
      <c r="D81" s="129" t="str">
        <f t="array" ref="D81">INDEX('Закупка'!G81:K81, $A$2)</f>
        <v/>
      </c>
      <c r="E81" s="130" t="str">
        <f>'Закупка'!F81</f>
        <v/>
      </c>
      <c r="F81" s="131" t="str">
        <f t="shared" si="1"/>
        <v/>
      </c>
      <c r="G81" s="132"/>
      <c r="H81" s="133"/>
      <c r="I81" s="134"/>
      <c r="J81" s="131"/>
      <c r="K81" s="135" t="str">
        <f>'Закупка'!T81</f>
        <v/>
      </c>
      <c r="L81" s="136" t="str">
        <f>'Закупка'!U81</f>
        <v/>
      </c>
      <c r="M81" s="137" t="str">
        <f>'Закупка'!V81</f>
        <v/>
      </c>
    </row>
    <row r="82" ht="45.0" customHeight="1">
      <c r="A82" s="126" t="str">
        <f>'Закупка'!A82</f>
        <v/>
      </c>
      <c r="B82" s="127" t="str">
        <f>'Закупка'!B82</f>
        <v/>
      </c>
      <c r="C82" s="128" t="str">
        <f>'Закупка'!R82</f>
        <v/>
      </c>
      <c r="D82" s="129" t="str">
        <f t="array" ref="D82">INDEX('Закупка'!G82:K82, $A$2)</f>
        <v/>
      </c>
      <c r="E82" s="130" t="str">
        <f>'Закупка'!F82</f>
        <v/>
      </c>
      <c r="F82" s="131" t="str">
        <f t="shared" si="1"/>
        <v/>
      </c>
      <c r="G82" s="132"/>
      <c r="H82" s="133"/>
      <c r="I82" s="134"/>
      <c r="J82" s="131"/>
      <c r="K82" s="135" t="str">
        <f>'Закупка'!T82</f>
        <v/>
      </c>
      <c r="L82" s="136" t="str">
        <f>'Закупка'!U82</f>
        <v/>
      </c>
      <c r="M82" s="137" t="str">
        <f>'Закупка'!V82</f>
        <v/>
      </c>
    </row>
    <row r="83" ht="45.0" customHeight="1">
      <c r="A83" s="126" t="str">
        <f>'Закупка'!A83</f>
        <v/>
      </c>
      <c r="B83" s="127" t="str">
        <f>'Закупка'!B83</f>
        <v/>
      </c>
      <c r="C83" s="128" t="str">
        <f>'Закупка'!R83</f>
        <v/>
      </c>
      <c r="D83" s="129" t="str">
        <f t="array" ref="D83">INDEX('Закупка'!G83:K83, $A$2)</f>
        <v/>
      </c>
      <c r="E83" s="130" t="str">
        <f>'Закупка'!F83</f>
        <v/>
      </c>
      <c r="F83" s="131" t="str">
        <f t="shared" si="1"/>
        <v/>
      </c>
      <c r="G83" s="132"/>
      <c r="H83" s="133"/>
      <c r="I83" s="134"/>
      <c r="J83" s="131"/>
      <c r="K83" s="135" t="str">
        <f>'Закупка'!T83</f>
        <v/>
      </c>
      <c r="L83" s="136" t="str">
        <f>'Закупка'!U83</f>
        <v/>
      </c>
      <c r="M83" s="137" t="str">
        <f>'Закупка'!V83</f>
        <v/>
      </c>
    </row>
    <row r="84" ht="45.0" customHeight="1">
      <c r="A84" s="126" t="str">
        <f>'Закупка'!A84</f>
        <v/>
      </c>
      <c r="B84" s="127" t="str">
        <f>'Закупка'!B84</f>
        <v/>
      </c>
      <c r="C84" s="128" t="str">
        <f>'Закупка'!R84</f>
        <v/>
      </c>
      <c r="D84" s="129" t="str">
        <f t="array" ref="D84">INDEX('Закупка'!G84:K84, $A$2)</f>
        <v/>
      </c>
      <c r="E84" s="130" t="str">
        <f>'Закупка'!F84</f>
        <v/>
      </c>
      <c r="F84" s="131" t="str">
        <f t="shared" si="1"/>
        <v/>
      </c>
      <c r="G84" s="132"/>
      <c r="H84" s="133"/>
      <c r="I84" s="134"/>
      <c r="J84" s="131"/>
      <c r="K84" s="135" t="str">
        <f>'Закупка'!T84</f>
        <v/>
      </c>
      <c r="L84" s="136" t="str">
        <f>'Закупка'!U84</f>
        <v/>
      </c>
      <c r="M84" s="137" t="str">
        <f>'Закупка'!V84</f>
        <v/>
      </c>
    </row>
    <row r="85" ht="45.0" customHeight="1">
      <c r="A85" s="126" t="str">
        <f>'Закупка'!A85</f>
        <v/>
      </c>
      <c r="B85" s="127" t="str">
        <f>'Закупка'!B85</f>
        <v/>
      </c>
      <c r="C85" s="128" t="str">
        <f>'Закупка'!R85</f>
        <v/>
      </c>
      <c r="D85" s="129" t="str">
        <f t="array" ref="D85">INDEX('Закупка'!G85:K85, $A$2)</f>
        <v/>
      </c>
      <c r="E85" s="130" t="str">
        <f>'Закупка'!F85</f>
        <v/>
      </c>
      <c r="F85" s="131" t="str">
        <f t="shared" si="1"/>
        <v/>
      </c>
      <c r="G85" s="132"/>
      <c r="H85" s="133"/>
      <c r="I85" s="134"/>
      <c r="J85" s="131"/>
      <c r="K85" s="135" t="str">
        <f>'Закупка'!T85</f>
        <v/>
      </c>
      <c r="L85" s="136" t="str">
        <f>'Закупка'!U85</f>
        <v/>
      </c>
      <c r="M85" s="137" t="str">
        <f>'Закупка'!V85</f>
        <v/>
      </c>
    </row>
    <row r="86" ht="45.0" customHeight="1">
      <c r="A86" s="126" t="str">
        <f>'Закупка'!A86</f>
        <v/>
      </c>
      <c r="B86" s="127" t="str">
        <f>'Закупка'!B86</f>
        <v/>
      </c>
      <c r="C86" s="128" t="str">
        <f>'Закупка'!R86</f>
        <v/>
      </c>
      <c r="D86" s="129" t="str">
        <f t="array" ref="D86">INDEX('Закупка'!G86:K86, $A$2)</f>
        <v/>
      </c>
      <c r="E86" s="130" t="str">
        <f>'Закупка'!F86</f>
        <v/>
      </c>
      <c r="F86" s="131" t="str">
        <f t="shared" si="1"/>
        <v/>
      </c>
      <c r="G86" s="132"/>
      <c r="H86" s="133"/>
      <c r="I86" s="134"/>
      <c r="J86" s="131"/>
      <c r="K86" s="135" t="str">
        <f>'Закупка'!T86</f>
        <v/>
      </c>
      <c r="L86" s="136" t="str">
        <f>'Закупка'!U86</f>
        <v/>
      </c>
      <c r="M86" s="137" t="str">
        <f>'Закупка'!V86</f>
        <v/>
      </c>
    </row>
    <row r="87" ht="45.0" customHeight="1">
      <c r="A87" s="126" t="str">
        <f>'Закупка'!A87</f>
        <v/>
      </c>
      <c r="B87" s="127" t="str">
        <f>'Закупка'!B87</f>
        <v/>
      </c>
      <c r="C87" s="128" t="str">
        <f>'Закупка'!R87</f>
        <v/>
      </c>
      <c r="D87" s="129" t="str">
        <f t="array" ref="D87">INDEX('Закупка'!G87:K87, $A$2)</f>
        <v/>
      </c>
      <c r="E87" s="130" t="str">
        <f>'Закупка'!F87</f>
        <v/>
      </c>
      <c r="F87" s="131" t="str">
        <f t="shared" si="1"/>
        <v/>
      </c>
      <c r="G87" s="132"/>
      <c r="H87" s="133"/>
      <c r="I87" s="134"/>
      <c r="J87" s="131"/>
      <c r="K87" s="135" t="str">
        <f>'Закупка'!T87</f>
        <v/>
      </c>
      <c r="L87" s="136" t="str">
        <f>'Закупка'!U87</f>
        <v/>
      </c>
      <c r="M87" s="137" t="str">
        <f>'Закупка'!V87</f>
        <v/>
      </c>
    </row>
    <row r="88" ht="45.0" customHeight="1">
      <c r="A88" s="126" t="str">
        <f>'Закупка'!A88</f>
        <v/>
      </c>
      <c r="B88" s="127" t="str">
        <f>'Закупка'!B88</f>
        <v/>
      </c>
      <c r="C88" s="128" t="str">
        <f>'Закупка'!R88</f>
        <v/>
      </c>
      <c r="D88" s="129" t="str">
        <f t="array" ref="D88">INDEX('Закупка'!G88:K88, $A$2)</f>
        <v/>
      </c>
      <c r="E88" s="130" t="str">
        <f>'Закупка'!F88</f>
        <v/>
      </c>
      <c r="F88" s="131" t="str">
        <f t="shared" si="1"/>
        <v/>
      </c>
      <c r="G88" s="132"/>
      <c r="H88" s="133"/>
      <c r="I88" s="134"/>
      <c r="J88" s="131"/>
      <c r="K88" s="135" t="str">
        <f>'Закупка'!T88</f>
        <v/>
      </c>
      <c r="L88" s="136" t="str">
        <f>'Закупка'!U88</f>
        <v/>
      </c>
      <c r="M88" s="137" t="str">
        <f>'Закупка'!V88</f>
        <v/>
      </c>
    </row>
    <row r="89" ht="45.0" customHeight="1">
      <c r="A89" s="126" t="str">
        <f>'Закупка'!A89</f>
        <v/>
      </c>
      <c r="B89" s="127" t="str">
        <f>'Закупка'!B89</f>
        <v/>
      </c>
      <c r="C89" s="128" t="str">
        <f>'Закупка'!R89</f>
        <v/>
      </c>
      <c r="D89" s="129" t="str">
        <f t="array" ref="D89">INDEX('Закупка'!G89:K89, $A$2)</f>
        <v/>
      </c>
      <c r="E89" s="130" t="str">
        <f>'Закупка'!F89</f>
        <v/>
      </c>
      <c r="F89" s="131" t="str">
        <f t="shared" si="1"/>
        <v/>
      </c>
      <c r="G89" s="132"/>
      <c r="H89" s="133"/>
      <c r="I89" s="134"/>
      <c r="J89" s="131"/>
      <c r="K89" s="135" t="str">
        <f>'Закупка'!T89</f>
        <v/>
      </c>
      <c r="L89" s="136" t="str">
        <f>'Закупка'!U89</f>
        <v/>
      </c>
      <c r="M89" s="137" t="str">
        <f>'Закупка'!V89</f>
        <v/>
      </c>
    </row>
    <row r="90" ht="45.0" customHeight="1">
      <c r="A90" s="126" t="str">
        <f>'Закупка'!A90</f>
        <v/>
      </c>
      <c r="B90" s="127" t="str">
        <f>'Закупка'!B90</f>
        <v/>
      </c>
      <c r="C90" s="128" t="str">
        <f>'Закупка'!R90</f>
        <v/>
      </c>
      <c r="D90" s="129" t="str">
        <f t="array" ref="D90">INDEX('Закупка'!G90:K90, $A$2)</f>
        <v/>
      </c>
      <c r="E90" s="130" t="str">
        <f>'Закупка'!F90</f>
        <v/>
      </c>
      <c r="F90" s="131" t="str">
        <f t="shared" si="1"/>
        <v/>
      </c>
      <c r="G90" s="132"/>
      <c r="H90" s="133"/>
      <c r="I90" s="134"/>
      <c r="J90" s="131"/>
      <c r="K90" s="135" t="str">
        <f>'Закупка'!T90</f>
        <v/>
      </c>
      <c r="L90" s="136" t="str">
        <f>'Закупка'!U90</f>
        <v/>
      </c>
      <c r="M90" s="137" t="str">
        <f>'Закупка'!V90</f>
        <v/>
      </c>
    </row>
    <row r="91" ht="45.0" customHeight="1">
      <c r="A91" s="126" t="str">
        <f>'Закупка'!A91</f>
        <v/>
      </c>
      <c r="B91" s="127" t="str">
        <f>'Закупка'!B91</f>
        <v/>
      </c>
      <c r="C91" s="128" t="str">
        <f>'Закупка'!R91</f>
        <v/>
      </c>
      <c r="D91" s="129" t="str">
        <f t="array" ref="D91">INDEX('Закупка'!G91:K91, $A$2)</f>
        <v/>
      </c>
      <c r="E91" s="130" t="str">
        <f>'Закупка'!F91</f>
        <v/>
      </c>
      <c r="F91" s="131" t="str">
        <f t="shared" si="1"/>
        <v/>
      </c>
      <c r="G91" s="132"/>
      <c r="H91" s="133"/>
      <c r="I91" s="134"/>
      <c r="J91" s="131"/>
      <c r="K91" s="135" t="str">
        <f>'Закупка'!T91</f>
        <v/>
      </c>
      <c r="L91" s="136" t="str">
        <f>'Закупка'!U91</f>
        <v/>
      </c>
      <c r="M91" s="137" t="str">
        <f>'Закупка'!V91</f>
        <v/>
      </c>
    </row>
    <row r="92" ht="45.0" customHeight="1">
      <c r="A92" s="126" t="str">
        <f>'Закупка'!A92</f>
        <v/>
      </c>
      <c r="B92" s="127" t="str">
        <f>'Закупка'!B92</f>
        <v/>
      </c>
      <c r="C92" s="128" t="str">
        <f>'Закупка'!R92</f>
        <v/>
      </c>
      <c r="D92" s="129" t="str">
        <f t="array" ref="D92">INDEX('Закупка'!G92:K92, $A$2)</f>
        <v/>
      </c>
      <c r="E92" s="130" t="str">
        <f>'Закупка'!F92</f>
        <v/>
      </c>
      <c r="F92" s="131" t="str">
        <f t="shared" si="1"/>
        <v/>
      </c>
      <c r="G92" s="132"/>
      <c r="H92" s="133"/>
      <c r="I92" s="134"/>
      <c r="J92" s="131"/>
      <c r="K92" s="135" t="str">
        <f>'Закупка'!T92</f>
        <v/>
      </c>
      <c r="L92" s="136" t="str">
        <f>'Закупка'!U92</f>
        <v/>
      </c>
      <c r="M92" s="137" t="str">
        <f>'Закупка'!V92</f>
        <v/>
      </c>
    </row>
    <row r="93" ht="45.0" customHeight="1">
      <c r="A93" s="126" t="str">
        <f>'Закупка'!A93</f>
        <v/>
      </c>
      <c r="B93" s="127" t="str">
        <f>'Закупка'!B93</f>
        <v/>
      </c>
      <c r="C93" s="128" t="str">
        <f>'Закупка'!R93</f>
        <v/>
      </c>
      <c r="D93" s="129" t="str">
        <f t="array" ref="D93">INDEX('Закупка'!G93:K93, $A$2)</f>
        <v/>
      </c>
      <c r="E93" s="130" t="str">
        <f>'Закупка'!F93</f>
        <v/>
      </c>
      <c r="F93" s="131" t="str">
        <f t="shared" si="1"/>
        <v/>
      </c>
      <c r="G93" s="132"/>
      <c r="H93" s="133"/>
      <c r="I93" s="134"/>
      <c r="J93" s="131"/>
      <c r="K93" s="135" t="str">
        <f>'Закупка'!T93</f>
        <v/>
      </c>
      <c r="L93" s="136" t="str">
        <f>'Закупка'!U93</f>
        <v/>
      </c>
      <c r="M93" s="137" t="str">
        <f>'Закупка'!V93</f>
        <v/>
      </c>
    </row>
    <row r="94" ht="45.0" customHeight="1">
      <c r="A94" s="126" t="str">
        <f>'Закупка'!A94</f>
        <v/>
      </c>
      <c r="B94" s="127" t="str">
        <f>'Закупка'!B94</f>
        <v/>
      </c>
      <c r="C94" s="128" t="str">
        <f>'Закупка'!R94</f>
        <v/>
      </c>
      <c r="D94" s="129" t="str">
        <f t="array" ref="D94">INDEX('Закупка'!G94:K94, $A$2)</f>
        <v/>
      </c>
      <c r="E94" s="130" t="str">
        <f>'Закупка'!F94</f>
        <v/>
      </c>
      <c r="F94" s="131" t="str">
        <f t="shared" si="1"/>
        <v/>
      </c>
      <c r="G94" s="132"/>
      <c r="H94" s="133"/>
      <c r="I94" s="134"/>
      <c r="J94" s="131"/>
      <c r="K94" s="135" t="str">
        <f>'Закупка'!T94</f>
        <v/>
      </c>
      <c r="L94" s="136" t="str">
        <f>'Закупка'!U94</f>
        <v/>
      </c>
      <c r="M94" s="137" t="str">
        <f>'Закупка'!V94</f>
        <v/>
      </c>
    </row>
    <row r="95" ht="45.0" customHeight="1">
      <c r="A95" s="126" t="str">
        <f>'Закупка'!A95</f>
        <v/>
      </c>
      <c r="B95" s="127" t="str">
        <f>'Закупка'!B95</f>
        <v/>
      </c>
      <c r="C95" s="128" t="str">
        <f>'Закупка'!R95</f>
        <v/>
      </c>
      <c r="D95" s="129" t="str">
        <f t="array" ref="D95">INDEX('Закупка'!G95:K95, $A$2)</f>
        <v/>
      </c>
      <c r="E95" s="130" t="str">
        <f>'Закупка'!F95</f>
        <v/>
      </c>
      <c r="F95" s="131" t="str">
        <f t="shared" si="1"/>
        <v/>
      </c>
      <c r="G95" s="132"/>
      <c r="H95" s="133"/>
      <c r="I95" s="134"/>
      <c r="J95" s="131"/>
      <c r="K95" s="135" t="str">
        <f>'Закупка'!T95</f>
        <v/>
      </c>
      <c r="L95" s="136" t="str">
        <f>'Закупка'!U95</f>
        <v/>
      </c>
      <c r="M95" s="137" t="str">
        <f>'Закупка'!V95</f>
        <v/>
      </c>
    </row>
    <row r="96" ht="45.0" customHeight="1">
      <c r="A96" s="126" t="str">
        <f>'Закупка'!A96</f>
        <v/>
      </c>
      <c r="B96" s="127" t="str">
        <f>'Закупка'!B96</f>
        <v/>
      </c>
      <c r="C96" s="128" t="str">
        <f>'Закупка'!R96</f>
        <v/>
      </c>
      <c r="D96" s="129" t="str">
        <f t="array" ref="D96">INDEX('Закупка'!G96:K96, $A$2)</f>
        <v/>
      </c>
      <c r="E96" s="130" t="str">
        <f>'Закупка'!F96</f>
        <v/>
      </c>
      <c r="F96" s="131" t="str">
        <f t="shared" si="1"/>
        <v/>
      </c>
      <c r="G96" s="132"/>
      <c r="H96" s="133"/>
      <c r="I96" s="134"/>
      <c r="J96" s="131"/>
      <c r="K96" s="135" t="str">
        <f>'Закупка'!T96</f>
        <v/>
      </c>
      <c r="L96" s="136" t="str">
        <f>'Закупка'!U96</f>
        <v/>
      </c>
      <c r="M96" s="137" t="str">
        <f>'Закупка'!V96</f>
        <v/>
      </c>
    </row>
    <row r="97" ht="45.0" customHeight="1">
      <c r="A97" s="126" t="str">
        <f>'Закупка'!A97</f>
        <v/>
      </c>
      <c r="B97" s="127" t="str">
        <f>'Закупка'!B97</f>
        <v/>
      </c>
      <c r="C97" s="128" t="str">
        <f>'Закупка'!R97</f>
        <v/>
      </c>
      <c r="D97" s="129" t="str">
        <f t="array" ref="D97">INDEX('Закупка'!G97:K97, $A$2)</f>
        <v/>
      </c>
      <c r="E97" s="130" t="str">
        <f>'Закупка'!F97</f>
        <v/>
      </c>
      <c r="F97" s="131" t="str">
        <f t="shared" si="1"/>
        <v/>
      </c>
      <c r="G97" s="132"/>
      <c r="H97" s="133"/>
      <c r="I97" s="134"/>
      <c r="J97" s="131"/>
      <c r="K97" s="135" t="str">
        <f>'Закупка'!T97</f>
        <v/>
      </c>
      <c r="L97" s="136" t="str">
        <f>'Закупка'!U97</f>
        <v/>
      </c>
      <c r="M97" s="137" t="str">
        <f>'Закупка'!V97</f>
        <v/>
      </c>
    </row>
    <row r="98" ht="45.0" customHeight="1">
      <c r="A98" s="126" t="str">
        <f>'Закупка'!A98</f>
        <v/>
      </c>
      <c r="B98" s="127" t="str">
        <f>'Закупка'!B98</f>
        <v/>
      </c>
      <c r="C98" s="128" t="str">
        <f>'Закупка'!R98</f>
        <v/>
      </c>
      <c r="D98" s="129" t="str">
        <f t="array" ref="D98">INDEX('Закупка'!G98:K98, $A$2)</f>
        <v/>
      </c>
      <c r="E98" s="130" t="str">
        <f>'Закупка'!F98</f>
        <v/>
      </c>
      <c r="F98" s="131" t="str">
        <f t="shared" si="1"/>
        <v/>
      </c>
      <c r="G98" s="132"/>
      <c r="H98" s="133"/>
      <c r="I98" s="134"/>
      <c r="J98" s="131"/>
      <c r="K98" s="135" t="str">
        <f>'Закупка'!T98</f>
        <v/>
      </c>
      <c r="L98" s="136" t="str">
        <f>'Закупка'!U98</f>
        <v/>
      </c>
      <c r="M98" s="137" t="str">
        <f>'Закупка'!V98</f>
        <v/>
      </c>
    </row>
    <row r="99" ht="45.0" customHeight="1">
      <c r="A99" s="126" t="str">
        <f>'Закупка'!A99</f>
        <v/>
      </c>
      <c r="B99" s="127" t="str">
        <f>'Закупка'!B99</f>
        <v/>
      </c>
      <c r="C99" s="128" t="str">
        <f>'Закупка'!R99</f>
        <v/>
      </c>
      <c r="D99" s="129" t="str">
        <f t="array" ref="D99">INDEX('Закупка'!G99:K99, $A$2)</f>
        <v/>
      </c>
      <c r="E99" s="130" t="str">
        <f>'Закупка'!F99</f>
        <v/>
      </c>
      <c r="F99" s="131" t="str">
        <f t="shared" si="1"/>
        <v/>
      </c>
      <c r="G99" s="132"/>
      <c r="H99" s="133"/>
      <c r="I99" s="134"/>
      <c r="J99" s="131"/>
      <c r="K99" s="135" t="str">
        <f>'Закупка'!T99</f>
        <v/>
      </c>
      <c r="L99" s="136" t="str">
        <f>'Закупка'!U99</f>
        <v/>
      </c>
      <c r="M99" s="137" t="str">
        <f>'Закупка'!V99</f>
        <v/>
      </c>
    </row>
    <row r="100" ht="45.0" customHeight="1">
      <c r="A100" s="126" t="str">
        <f>'Закупка'!A100</f>
        <v/>
      </c>
      <c r="B100" s="127" t="str">
        <f>'Закупка'!B100</f>
        <v/>
      </c>
      <c r="C100" s="128" t="str">
        <f>'Закупка'!R100</f>
        <v/>
      </c>
      <c r="D100" s="129" t="str">
        <f t="array" ref="D100">INDEX('Закупка'!G100:K100, $A$2)</f>
        <v/>
      </c>
      <c r="E100" s="130" t="str">
        <f>'Закупка'!F100</f>
        <v/>
      </c>
      <c r="F100" s="131" t="str">
        <f t="shared" si="1"/>
        <v/>
      </c>
      <c r="G100" s="132"/>
      <c r="H100" s="133"/>
      <c r="I100" s="134"/>
      <c r="J100" s="131"/>
      <c r="K100" s="135" t="str">
        <f>'Закупка'!T100</f>
        <v/>
      </c>
      <c r="L100" s="136" t="str">
        <f>'Закупка'!U100</f>
        <v/>
      </c>
      <c r="M100" s="137" t="str">
        <f>'Закупка'!V100</f>
        <v/>
      </c>
    </row>
    <row r="101" ht="45.0" customHeight="1">
      <c r="A101" s="126" t="str">
        <f>'Закупка'!A101</f>
        <v/>
      </c>
      <c r="B101" s="127" t="str">
        <f>'Закупка'!B101</f>
        <v/>
      </c>
      <c r="C101" s="128" t="str">
        <f>'Закупка'!R101</f>
        <v/>
      </c>
      <c r="D101" s="129" t="str">
        <f t="array" ref="D101">INDEX('Закупка'!G101:K101, $A$2)</f>
        <v/>
      </c>
      <c r="E101" s="130" t="str">
        <f>'Закупка'!F101</f>
        <v/>
      </c>
      <c r="F101" s="131" t="str">
        <f t="shared" si="1"/>
        <v/>
      </c>
      <c r="G101" s="132"/>
      <c r="H101" s="133"/>
      <c r="I101" s="134"/>
      <c r="J101" s="131" t="str">
        <f t="shared" ref="J101:J199" si="2">IF(H101&lt;&gt;"", H101-F101,)</f>
        <v/>
      </c>
      <c r="K101" s="135" t="str">
        <f>'Закупка'!T101</f>
        <v/>
      </c>
      <c r="L101" s="136" t="str">
        <f>'Закупка'!U101</f>
        <v/>
      </c>
      <c r="M101" s="137" t="str">
        <f>'Закупка'!V101</f>
        <v/>
      </c>
    </row>
    <row r="102" ht="45.0" customHeight="1">
      <c r="A102" s="126" t="str">
        <f>'Закупка'!A102</f>
        <v/>
      </c>
      <c r="B102" s="127" t="str">
        <f>'Закупка'!B102</f>
        <v/>
      </c>
      <c r="C102" s="128" t="str">
        <f>'Закупка'!R102</f>
        <v/>
      </c>
      <c r="D102" s="129" t="str">
        <f t="array" ref="D102">INDEX('Закупка'!G102:K102, $A$2)</f>
        <v/>
      </c>
      <c r="E102" s="130" t="str">
        <f>'Закупка'!F102</f>
        <v/>
      </c>
      <c r="F102" s="131" t="str">
        <f t="shared" si="1"/>
        <v/>
      </c>
      <c r="G102" s="132"/>
      <c r="H102" s="133"/>
      <c r="I102" s="134"/>
      <c r="J102" s="131" t="str">
        <f t="shared" si="2"/>
        <v/>
      </c>
      <c r="K102" s="135" t="str">
        <f>'Закупка'!T102</f>
        <v/>
      </c>
      <c r="L102" s="136" t="str">
        <f>'Закупка'!U102</f>
        <v/>
      </c>
      <c r="M102" s="137" t="str">
        <f>'Закупка'!V102</f>
        <v/>
      </c>
    </row>
    <row r="103" ht="45.0" customHeight="1">
      <c r="A103" s="126" t="str">
        <f>'Закупка'!A103</f>
        <v/>
      </c>
      <c r="B103" s="127" t="str">
        <f>'Закупка'!B103</f>
        <v/>
      </c>
      <c r="C103" s="128" t="str">
        <f>'Закупка'!R103</f>
        <v/>
      </c>
      <c r="D103" s="129" t="str">
        <f t="array" ref="D103">INDEX('Закупка'!G103:K103, $A$2)</f>
        <v/>
      </c>
      <c r="E103" s="130" t="str">
        <f>'Закупка'!F103</f>
        <v/>
      </c>
      <c r="F103" s="131" t="str">
        <f t="shared" si="1"/>
        <v/>
      </c>
      <c r="G103" s="132"/>
      <c r="H103" s="133"/>
      <c r="I103" s="134"/>
      <c r="J103" s="131" t="str">
        <f t="shared" si="2"/>
        <v/>
      </c>
      <c r="K103" s="135" t="str">
        <f>'Закупка'!T103</f>
        <v/>
      </c>
      <c r="L103" s="136" t="str">
        <f>'Закупка'!U103</f>
        <v/>
      </c>
      <c r="M103" s="137" t="str">
        <f>'Закупка'!V103</f>
        <v/>
      </c>
    </row>
    <row r="104" ht="45.0" customHeight="1">
      <c r="A104" s="126" t="str">
        <f>'Закупка'!A104</f>
        <v/>
      </c>
      <c r="B104" s="127" t="str">
        <f>'Закупка'!B104</f>
        <v/>
      </c>
      <c r="C104" s="128" t="str">
        <f>'Закупка'!R104</f>
        <v/>
      </c>
      <c r="D104" s="129" t="str">
        <f t="array" ref="D104">INDEX('Закупка'!G104:K104, $A$2)</f>
        <v/>
      </c>
      <c r="E104" s="130" t="str">
        <f>'Закупка'!F104</f>
        <v/>
      </c>
      <c r="F104" s="131" t="str">
        <f t="shared" si="1"/>
        <v/>
      </c>
      <c r="G104" s="132"/>
      <c r="H104" s="133"/>
      <c r="I104" s="134"/>
      <c r="J104" s="131" t="str">
        <f t="shared" si="2"/>
        <v/>
      </c>
      <c r="K104" s="135" t="str">
        <f>'Закупка'!T104</f>
        <v/>
      </c>
      <c r="L104" s="136" t="str">
        <f>'Закупка'!U104</f>
        <v/>
      </c>
      <c r="M104" s="137" t="str">
        <f>'Закупка'!V104</f>
        <v/>
      </c>
    </row>
    <row r="105" ht="45.0" customHeight="1">
      <c r="A105" s="126" t="str">
        <f>'Закупка'!A105</f>
        <v/>
      </c>
      <c r="B105" s="127" t="str">
        <f>'Закупка'!B105</f>
        <v/>
      </c>
      <c r="C105" s="128" t="str">
        <f>'Закупка'!R105</f>
        <v/>
      </c>
      <c r="D105" s="129" t="str">
        <f t="array" ref="D105">INDEX('Закупка'!G105:K105, $A$2)</f>
        <v/>
      </c>
      <c r="E105" s="130" t="str">
        <f>'Закупка'!F105</f>
        <v/>
      </c>
      <c r="F105" s="131" t="str">
        <f t="shared" si="1"/>
        <v/>
      </c>
      <c r="G105" s="132"/>
      <c r="H105" s="133"/>
      <c r="I105" s="134"/>
      <c r="J105" s="131" t="str">
        <f t="shared" si="2"/>
        <v/>
      </c>
      <c r="K105" s="135" t="str">
        <f>'Закупка'!T105</f>
        <v/>
      </c>
      <c r="L105" s="136" t="str">
        <f>'Закупка'!U105</f>
        <v/>
      </c>
      <c r="M105" s="137" t="str">
        <f>'Закупка'!V105</f>
        <v/>
      </c>
    </row>
    <row r="106" ht="45.0" customHeight="1">
      <c r="A106" s="126" t="str">
        <f>'Закупка'!A106</f>
        <v/>
      </c>
      <c r="B106" s="127" t="str">
        <f>'Закупка'!B106</f>
        <v/>
      </c>
      <c r="C106" s="128" t="str">
        <f>'Закупка'!R106</f>
        <v/>
      </c>
      <c r="D106" s="129" t="str">
        <f t="array" ref="D106">INDEX('Закупка'!G106:K106, $A$2)</f>
        <v/>
      </c>
      <c r="E106" s="130" t="str">
        <f>'Закупка'!F106</f>
        <v/>
      </c>
      <c r="F106" s="131" t="str">
        <f t="shared" si="1"/>
        <v/>
      </c>
      <c r="G106" s="132"/>
      <c r="H106" s="133"/>
      <c r="I106" s="134"/>
      <c r="J106" s="131" t="str">
        <f t="shared" si="2"/>
        <v/>
      </c>
      <c r="K106" s="135" t="str">
        <f>'Закупка'!T106</f>
        <v/>
      </c>
      <c r="L106" s="136" t="str">
        <f>'Закупка'!U106</f>
        <v/>
      </c>
      <c r="M106" s="137" t="str">
        <f>'Закупка'!V106</f>
        <v/>
      </c>
    </row>
    <row r="107" ht="45.0" customHeight="1">
      <c r="A107" s="126" t="str">
        <f>'Закупка'!A107</f>
        <v/>
      </c>
      <c r="B107" s="127" t="str">
        <f>'Закупка'!B107</f>
        <v/>
      </c>
      <c r="C107" s="128" t="str">
        <f>'Закупка'!R107</f>
        <v/>
      </c>
      <c r="D107" s="129" t="str">
        <f t="array" ref="D107">INDEX('Закупка'!G107:K107, $A$2)</f>
        <v/>
      </c>
      <c r="E107" s="130" t="str">
        <f>'Закупка'!F107</f>
        <v/>
      </c>
      <c r="F107" s="131" t="str">
        <f t="shared" si="1"/>
        <v/>
      </c>
      <c r="G107" s="132"/>
      <c r="H107" s="133"/>
      <c r="I107" s="134"/>
      <c r="J107" s="131" t="str">
        <f t="shared" si="2"/>
        <v/>
      </c>
      <c r="K107" s="135" t="str">
        <f>'Закупка'!T107</f>
        <v/>
      </c>
      <c r="L107" s="136" t="str">
        <f>'Закупка'!U107</f>
        <v/>
      </c>
      <c r="M107" s="137" t="str">
        <f>'Закупка'!V107</f>
        <v/>
      </c>
    </row>
    <row r="108" ht="45.0" customHeight="1">
      <c r="A108" s="126" t="str">
        <f>'Закупка'!A108</f>
        <v/>
      </c>
      <c r="B108" s="127" t="str">
        <f>'Закупка'!B108</f>
        <v/>
      </c>
      <c r="C108" s="128" t="str">
        <f>'Закупка'!R108</f>
        <v/>
      </c>
      <c r="D108" s="129" t="str">
        <f t="array" ref="D108">INDEX('Закупка'!G108:K108, $A$2)</f>
        <v/>
      </c>
      <c r="E108" s="130" t="str">
        <f>'Закупка'!F108</f>
        <v/>
      </c>
      <c r="F108" s="131" t="str">
        <f t="shared" si="1"/>
        <v/>
      </c>
      <c r="G108" s="132"/>
      <c r="H108" s="133"/>
      <c r="I108" s="134"/>
      <c r="J108" s="131" t="str">
        <f t="shared" si="2"/>
        <v/>
      </c>
      <c r="K108" s="135" t="str">
        <f>'Закупка'!T108</f>
        <v/>
      </c>
      <c r="L108" s="136" t="str">
        <f>'Закупка'!U108</f>
        <v/>
      </c>
      <c r="M108" s="137" t="str">
        <f>'Закупка'!V108</f>
        <v/>
      </c>
    </row>
    <row r="109" ht="45.0" customHeight="1">
      <c r="A109" s="126" t="str">
        <f>'Закупка'!A109</f>
        <v/>
      </c>
      <c r="B109" s="127" t="str">
        <f>'Закупка'!B109</f>
        <v/>
      </c>
      <c r="C109" s="128" t="str">
        <f>'Закупка'!R109</f>
        <v/>
      </c>
      <c r="D109" s="129" t="str">
        <f t="array" ref="D109">INDEX('Закупка'!G109:K109, $A$2)</f>
        <v/>
      </c>
      <c r="E109" s="130" t="str">
        <f>'Закупка'!F109</f>
        <v/>
      </c>
      <c r="F109" s="131" t="str">
        <f t="shared" si="1"/>
        <v/>
      </c>
      <c r="G109" s="132"/>
      <c r="H109" s="133"/>
      <c r="I109" s="134"/>
      <c r="J109" s="131" t="str">
        <f t="shared" si="2"/>
        <v/>
      </c>
      <c r="K109" s="135" t="str">
        <f>'Закупка'!T109</f>
        <v/>
      </c>
      <c r="L109" s="136" t="str">
        <f>'Закупка'!U109</f>
        <v/>
      </c>
      <c r="M109" s="137" t="str">
        <f>'Закупка'!V109</f>
        <v/>
      </c>
    </row>
    <row r="110" ht="45.0" customHeight="1">
      <c r="A110" s="126" t="str">
        <f>'Закупка'!A110</f>
        <v/>
      </c>
      <c r="B110" s="127" t="str">
        <f>'Закупка'!B110</f>
        <v/>
      </c>
      <c r="C110" s="128" t="str">
        <f>'Закупка'!R110</f>
        <v/>
      </c>
      <c r="D110" s="129" t="str">
        <f t="array" ref="D110">INDEX('Закупка'!G110:K110, $A$2)</f>
        <v/>
      </c>
      <c r="E110" s="130" t="str">
        <f>'Закупка'!F110</f>
        <v/>
      </c>
      <c r="F110" s="131" t="str">
        <f t="shared" si="1"/>
        <v/>
      </c>
      <c r="G110" s="132"/>
      <c r="H110" s="133"/>
      <c r="I110" s="134"/>
      <c r="J110" s="131" t="str">
        <f t="shared" si="2"/>
        <v/>
      </c>
      <c r="K110" s="135" t="str">
        <f>'Закупка'!T110</f>
        <v/>
      </c>
      <c r="L110" s="136" t="str">
        <f>'Закупка'!U110</f>
        <v/>
      </c>
      <c r="M110" s="137" t="str">
        <f>'Закупка'!V110</f>
        <v/>
      </c>
    </row>
    <row r="111" ht="45.0" customHeight="1">
      <c r="A111" s="126" t="str">
        <f>'Закупка'!A111</f>
        <v/>
      </c>
      <c r="B111" s="127" t="str">
        <f>'Закупка'!B111</f>
        <v/>
      </c>
      <c r="C111" s="128" t="str">
        <f>'Закупка'!R111</f>
        <v/>
      </c>
      <c r="D111" s="129" t="str">
        <f t="array" ref="D111">INDEX('Закупка'!G111:K111, $A$2)</f>
        <v/>
      </c>
      <c r="E111" s="130" t="str">
        <f>'Закупка'!F111</f>
        <v/>
      </c>
      <c r="F111" s="131" t="str">
        <f t="shared" si="1"/>
        <v/>
      </c>
      <c r="G111" s="132"/>
      <c r="H111" s="133"/>
      <c r="I111" s="134"/>
      <c r="J111" s="131" t="str">
        <f t="shared" si="2"/>
        <v/>
      </c>
      <c r="K111" s="135" t="str">
        <f>'Закупка'!T111</f>
        <v/>
      </c>
      <c r="L111" s="136" t="str">
        <f>'Закупка'!U111</f>
        <v/>
      </c>
      <c r="M111" s="137" t="str">
        <f>'Закупка'!V111</f>
        <v/>
      </c>
    </row>
    <row r="112" ht="45.0" customHeight="1">
      <c r="A112" s="126" t="str">
        <f>'Закупка'!A112</f>
        <v/>
      </c>
      <c r="B112" s="127" t="str">
        <f>'Закупка'!B112</f>
        <v/>
      </c>
      <c r="C112" s="128" t="str">
        <f>'Закупка'!R112</f>
        <v/>
      </c>
      <c r="D112" s="129" t="str">
        <f t="array" ref="D112">INDEX('Закупка'!G112:K112, $A$2)</f>
        <v/>
      </c>
      <c r="E112" s="130" t="str">
        <f>'Закупка'!F112</f>
        <v/>
      </c>
      <c r="F112" s="131" t="str">
        <f t="shared" si="1"/>
        <v/>
      </c>
      <c r="G112" s="132"/>
      <c r="H112" s="133"/>
      <c r="I112" s="134"/>
      <c r="J112" s="131" t="str">
        <f t="shared" si="2"/>
        <v/>
      </c>
      <c r="K112" s="135" t="str">
        <f>'Закупка'!T112</f>
        <v/>
      </c>
      <c r="L112" s="136" t="str">
        <f>'Закупка'!U112</f>
        <v/>
      </c>
      <c r="M112" s="137" t="str">
        <f>'Закупка'!V112</f>
        <v/>
      </c>
    </row>
    <row r="113" ht="45.0" customHeight="1">
      <c r="A113" s="126" t="str">
        <f>'Закупка'!A113</f>
        <v/>
      </c>
      <c r="B113" s="127" t="str">
        <f>'Закупка'!B113</f>
        <v/>
      </c>
      <c r="C113" s="128" t="str">
        <f>'Закупка'!R113</f>
        <v/>
      </c>
      <c r="D113" s="129" t="str">
        <f t="array" ref="D113">INDEX('Закупка'!G113:K113, $A$2)</f>
        <v/>
      </c>
      <c r="E113" s="130" t="str">
        <f>'Закупка'!F113</f>
        <v/>
      </c>
      <c r="F113" s="131" t="str">
        <f t="shared" si="1"/>
        <v/>
      </c>
      <c r="G113" s="132"/>
      <c r="H113" s="133"/>
      <c r="I113" s="134"/>
      <c r="J113" s="131" t="str">
        <f t="shared" si="2"/>
        <v/>
      </c>
      <c r="K113" s="135" t="str">
        <f>'Закупка'!T113</f>
        <v/>
      </c>
      <c r="L113" s="136" t="str">
        <f>'Закупка'!U113</f>
        <v/>
      </c>
      <c r="M113" s="137" t="str">
        <f>'Закупка'!V113</f>
        <v/>
      </c>
    </row>
    <row r="114" ht="45.0" customHeight="1">
      <c r="A114" s="126" t="str">
        <f>'Закупка'!A114</f>
        <v/>
      </c>
      <c r="B114" s="127" t="str">
        <f>'Закупка'!B114</f>
        <v/>
      </c>
      <c r="C114" s="128" t="str">
        <f>'Закупка'!R114</f>
        <v/>
      </c>
      <c r="D114" s="129" t="str">
        <f t="array" ref="D114">INDEX('Закупка'!G114:K114, $A$2)</f>
        <v/>
      </c>
      <c r="E114" s="130" t="str">
        <f>'Закупка'!F114</f>
        <v/>
      </c>
      <c r="F114" s="131" t="str">
        <f t="shared" si="1"/>
        <v/>
      </c>
      <c r="G114" s="132"/>
      <c r="H114" s="133"/>
      <c r="I114" s="134"/>
      <c r="J114" s="131" t="str">
        <f t="shared" si="2"/>
        <v/>
      </c>
      <c r="K114" s="135" t="str">
        <f>'Закупка'!T114</f>
        <v/>
      </c>
      <c r="L114" s="136" t="str">
        <f>'Закупка'!U114</f>
        <v/>
      </c>
      <c r="M114" s="137" t="str">
        <f>'Закупка'!V114</f>
        <v/>
      </c>
    </row>
    <row r="115" ht="45.0" customHeight="1">
      <c r="A115" s="126" t="str">
        <f>'Закупка'!A115</f>
        <v/>
      </c>
      <c r="B115" s="127" t="str">
        <f>'Закупка'!B115</f>
        <v/>
      </c>
      <c r="C115" s="128" t="str">
        <f>'Закупка'!R115</f>
        <v/>
      </c>
      <c r="D115" s="129" t="str">
        <f t="array" ref="D115">INDEX('Закупка'!G115:K115, $A$2)</f>
        <v/>
      </c>
      <c r="E115" s="130" t="str">
        <f>'Закупка'!F115</f>
        <v/>
      </c>
      <c r="F115" s="131" t="str">
        <f t="shared" si="1"/>
        <v/>
      </c>
      <c r="G115" s="132"/>
      <c r="H115" s="133"/>
      <c r="I115" s="134"/>
      <c r="J115" s="131" t="str">
        <f t="shared" si="2"/>
        <v/>
      </c>
      <c r="K115" s="135" t="str">
        <f>'Закупка'!T115</f>
        <v/>
      </c>
      <c r="L115" s="136" t="str">
        <f>'Закупка'!U115</f>
        <v/>
      </c>
      <c r="M115" s="137" t="str">
        <f>'Закупка'!V115</f>
        <v/>
      </c>
    </row>
    <row r="116" ht="45.0" customHeight="1">
      <c r="A116" s="126" t="str">
        <f>'Закупка'!A116</f>
        <v/>
      </c>
      <c r="B116" s="127" t="str">
        <f>'Закупка'!B116</f>
        <v/>
      </c>
      <c r="C116" s="128" t="str">
        <f>'Закупка'!R116</f>
        <v/>
      </c>
      <c r="D116" s="129" t="str">
        <f t="array" ref="D116">INDEX('Закупка'!G116:K116, $A$2)</f>
        <v/>
      </c>
      <c r="E116" s="130" t="str">
        <f>'Закупка'!F116</f>
        <v/>
      </c>
      <c r="F116" s="131" t="str">
        <f t="shared" si="1"/>
        <v/>
      </c>
      <c r="G116" s="132"/>
      <c r="H116" s="133"/>
      <c r="I116" s="134"/>
      <c r="J116" s="131" t="str">
        <f t="shared" si="2"/>
        <v/>
      </c>
      <c r="K116" s="135" t="str">
        <f>'Закупка'!T116</f>
        <v/>
      </c>
      <c r="L116" s="136" t="str">
        <f>'Закупка'!U116</f>
        <v/>
      </c>
      <c r="M116" s="137" t="str">
        <f>'Закупка'!V116</f>
        <v/>
      </c>
    </row>
    <row r="117" ht="45.0" customHeight="1">
      <c r="A117" s="126" t="str">
        <f>'Закупка'!A117</f>
        <v/>
      </c>
      <c r="B117" s="127" t="str">
        <f>'Закупка'!B117</f>
        <v/>
      </c>
      <c r="C117" s="128" t="str">
        <f>'Закупка'!R117</f>
        <v/>
      </c>
      <c r="D117" s="129" t="str">
        <f t="array" ref="D117">INDEX('Закупка'!G117:K117, $A$2)</f>
        <v/>
      </c>
      <c r="E117" s="130" t="str">
        <f>'Закупка'!F117</f>
        <v/>
      </c>
      <c r="F117" s="131" t="str">
        <f t="shared" si="1"/>
        <v/>
      </c>
      <c r="G117" s="132"/>
      <c r="H117" s="133"/>
      <c r="I117" s="134"/>
      <c r="J117" s="131" t="str">
        <f t="shared" si="2"/>
        <v/>
      </c>
      <c r="K117" s="135" t="str">
        <f>'Закупка'!T117</f>
        <v/>
      </c>
      <c r="L117" s="136" t="str">
        <f>'Закупка'!U117</f>
        <v/>
      </c>
      <c r="M117" s="137" t="str">
        <f>'Закупка'!V117</f>
        <v/>
      </c>
    </row>
    <row r="118" ht="45.0" customHeight="1">
      <c r="A118" s="126" t="str">
        <f>'Закупка'!A118</f>
        <v/>
      </c>
      <c r="B118" s="127" t="str">
        <f>'Закупка'!B118</f>
        <v/>
      </c>
      <c r="C118" s="128" t="str">
        <f>'Закупка'!R118</f>
        <v/>
      </c>
      <c r="D118" s="129" t="str">
        <f t="array" ref="D118">INDEX('Закупка'!G118:K118, $A$2)</f>
        <v/>
      </c>
      <c r="E118" s="130" t="str">
        <f>'Закупка'!F118</f>
        <v/>
      </c>
      <c r="F118" s="131" t="str">
        <f t="shared" si="1"/>
        <v/>
      </c>
      <c r="G118" s="132"/>
      <c r="H118" s="133"/>
      <c r="I118" s="134"/>
      <c r="J118" s="131" t="str">
        <f t="shared" si="2"/>
        <v/>
      </c>
      <c r="K118" s="135" t="str">
        <f>'Закупка'!T118</f>
        <v/>
      </c>
      <c r="L118" s="136" t="str">
        <f>'Закупка'!U118</f>
        <v/>
      </c>
      <c r="M118" s="137" t="str">
        <f>'Закупка'!V118</f>
        <v/>
      </c>
    </row>
    <row r="119" ht="45.0" customHeight="1">
      <c r="A119" s="126" t="str">
        <f>'Закупка'!A119</f>
        <v/>
      </c>
      <c r="B119" s="127" t="str">
        <f>'Закупка'!B119</f>
        <v/>
      </c>
      <c r="C119" s="128" t="str">
        <f>'Закупка'!R119</f>
        <v/>
      </c>
      <c r="D119" s="129" t="str">
        <f t="array" ref="D119">INDEX('Закупка'!G119:K119, $A$2)</f>
        <v/>
      </c>
      <c r="E119" s="130" t="str">
        <f>'Закупка'!F119</f>
        <v/>
      </c>
      <c r="F119" s="131" t="str">
        <f t="shared" si="1"/>
        <v/>
      </c>
      <c r="G119" s="132"/>
      <c r="H119" s="133"/>
      <c r="I119" s="134"/>
      <c r="J119" s="131" t="str">
        <f t="shared" si="2"/>
        <v/>
      </c>
      <c r="K119" s="135" t="str">
        <f>'Закупка'!T119</f>
        <v/>
      </c>
      <c r="L119" s="136" t="str">
        <f>'Закупка'!U119</f>
        <v/>
      </c>
      <c r="M119" s="137" t="str">
        <f>'Закупка'!V119</f>
        <v/>
      </c>
    </row>
    <row r="120" ht="45.0" customHeight="1">
      <c r="A120" s="126" t="str">
        <f>'Закупка'!A120</f>
        <v/>
      </c>
      <c r="B120" s="127" t="str">
        <f>'Закупка'!B120</f>
        <v/>
      </c>
      <c r="C120" s="128" t="str">
        <f>'Закупка'!R120</f>
        <v/>
      </c>
      <c r="D120" s="129" t="str">
        <f t="array" ref="D120">INDEX('Закупка'!G120:K120, $A$2)</f>
        <v/>
      </c>
      <c r="E120" s="130" t="str">
        <f>'Закупка'!F120</f>
        <v/>
      </c>
      <c r="F120" s="131" t="str">
        <f t="shared" si="1"/>
        <v/>
      </c>
      <c r="G120" s="132"/>
      <c r="H120" s="133"/>
      <c r="I120" s="134"/>
      <c r="J120" s="131" t="str">
        <f t="shared" si="2"/>
        <v/>
      </c>
      <c r="K120" s="135" t="str">
        <f>'Закупка'!T120</f>
        <v/>
      </c>
      <c r="L120" s="136" t="str">
        <f>'Закупка'!U120</f>
        <v/>
      </c>
      <c r="M120" s="137" t="str">
        <f>'Закупка'!V120</f>
        <v/>
      </c>
    </row>
    <row r="121" ht="45.0" customHeight="1">
      <c r="A121" s="126" t="str">
        <f>'Закупка'!A121</f>
        <v/>
      </c>
      <c r="B121" s="127" t="str">
        <f>'Закупка'!B121</f>
        <v/>
      </c>
      <c r="C121" s="128" t="str">
        <f>'Закупка'!R121</f>
        <v/>
      </c>
      <c r="D121" s="129" t="str">
        <f t="array" ref="D121">INDEX('Закупка'!G121:K121, $A$2)</f>
        <v/>
      </c>
      <c r="E121" s="130" t="str">
        <f>'Закупка'!F121</f>
        <v/>
      </c>
      <c r="F121" s="131" t="str">
        <f t="shared" si="1"/>
        <v/>
      </c>
      <c r="G121" s="132"/>
      <c r="H121" s="133"/>
      <c r="I121" s="134"/>
      <c r="J121" s="131" t="str">
        <f t="shared" si="2"/>
        <v/>
      </c>
      <c r="K121" s="135" t="str">
        <f>'Закупка'!T121</f>
        <v/>
      </c>
      <c r="L121" s="136" t="str">
        <f>'Закупка'!U121</f>
        <v/>
      </c>
      <c r="M121" s="137" t="str">
        <f>'Закупка'!V121</f>
        <v/>
      </c>
    </row>
    <row r="122" ht="45.0" customHeight="1">
      <c r="A122" s="126" t="str">
        <f>'Закупка'!A122</f>
        <v/>
      </c>
      <c r="B122" s="127" t="str">
        <f>'Закупка'!B122</f>
        <v/>
      </c>
      <c r="C122" s="128" t="str">
        <f>'Закупка'!R122</f>
        <v/>
      </c>
      <c r="D122" s="129" t="str">
        <f t="array" ref="D122">INDEX('Закупка'!G122:K122, $A$2)</f>
        <v/>
      </c>
      <c r="E122" s="130" t="str">
        <f>'Закупка'!F122</f>
        <v/>
      </c>
      <c r="F122" s="131" t="str">
        <f t="shared" si="1"/>
        <v/>
      </c>
      <c r="G122" s="132"/>
      <c r="H122" s="133"/>
      <c r="I122" s="134"/>
      <c r="J122" s="131" t="str">
        <f t="shared" si="2"/>
        <v/>
      </c>
      <c r="K122" s="135" t="str">
        <f>'Закупка'!T122</f>
        <v/>
      </c>
      <c r="L122" s="136" t="str">
        <f>'Закупка'!U122</f>
        <v/>
      </c>
      <c r="M122" s="137" t="str">
        <f>'Закупка'!V122</f>
        <v/>
      </c>
    </row>
    <row r="123" ht="45.0" customHeight="1">
      <c r="A123" s="126" t="str">
        <f>'Закупка'!A123</f>
        <v/>
      </c>
      <c r="B123" s="127" t="str">
        <f>'Закупка'!B123</f>
        <v/>
      </c>
      <c r="C123" s="128" t="str">
        <f>'Закупка'!R123</f>
        <v/>
      </c>
      <c r="D123" s="129" t="str">
        <f t="array" ref="D123">INDEX('Закупка'!G123:K123, $A$2)</f>
        <v/>
      </c>
      <c r="E123" s="130" t="str">
        <f>'Закупка'!F123</f>
        <v/>
      </c>
      <c r="F123" s="131" t="str">
        <f t="shared" si="1"/>
        <v/>
      </c>
      <c r="G123" s="132"/>
      <c r="H123" s="133"/>
      <c r="I123" s="134"/>
      <c r="J123" s="131" t="str">
        <f t="shared" si="2"/>
        <v/>
      </c>
      <c r="K123" s="135" t="str">
        <f>'Закупка'!T123</f>
        <v/>
      </c>
      <c r="L123" s="136" t="str">
        <f>'Закупка'!U123</f>
        <v/>
      </c>
      <c r="M123" s="137" t="str">
        <f>'Закупка'!V123</f>
        <v/>
      </c>
    </row>
    <row r="124" ht="45.0" customHeight="1">
      <c r="A124" s="126" t="str">
        <f>'Закупка'!A124</f>
        <v/>
      </c>
      <c r="B124" s="127" t="str">
        <f>'Закупка'!B124</f>
        <v/>
      </c>
      <c r="C124" s="128" t="str">
        <f>'Закупка'!R124</f>
        <v/>
      </c>
      <c r="D124" s="129" t="str">
        <f t="array" ref="D124">INDEX('Закупка'!G124:K124, $A$2)</f>
        <v/>
      </c>
      <c r="E124" s="130" t="str">
        <f>'Закупка'!F124</f>
        <v/>
      </c>
      <c r="F124" s="131" t="str">
        <f t="shared" si="1"/>
        <v/>
      </c>
      <c r="G124" s="132"/>
      <c r="H124" s="133"/>
      <c r="I124" s="134"/>
      <c r="J124" s="131" t="str">
        <f t="shared" si="2"/>
        <v/>
      </c>
      <c r="K124" s="135" t="str">
        <f>'Закупка'!T124</f>
        <v/>
      </c>
      <c r="L124" s="136" t="str">
        <f>'Закупка'!U124</f>
        <v/>
      </c>
      <c r="M124" s="137" t="str">
        <f>'Закупка'!V124</f>
        <v/>
      </c>
    </row>
    <row r="125" ht="45.0" customHeight="1">
      <c r="A125" s="126" t="str">
        <f>'Закупка'!A125</f>
        <v/>
      </c>
      <c r="B125" s="127" t="str">
        <f>'Закупка'!B125</f>
        <v/>
      </c>
      <c r="C125" s="128" t="str">
        <f>'Закупка'!R125</f>
        <v/>
      </c>
      <c r="D125" s="129" t="str">
        <f t="array" ref="D125">INDEX('Закупка'!G125:K125, $A$2)</f>
        <v/>
      </c>
      <c r="E125" s="130" t="str">
        <f>'Закупка'!F125</f>
        <v/>
      </c>
      <c r="F125" s="131" t="str">
        <f t="shared" si="1"/>
        <v/>
      </c>
      <c r="G125" s="132"/>
      <c r="H125" s="133"/>
      <c r="I125" s="134"/>
      <c r="J125" s="131" t="str">
        <f t="shared" si="2"/>
        <v/>
      </c>
      <c r="K125" s="135" t="str">
        <f>'Закупка'!T125</f>
        <v/>
      </c>
      <c r="L125" s="136" t="str">
        <f>'Закупка'!U125</f>
        <v/>
      </c>
      <c r="M125" s="137" t="str">
        <f>'Закупка'!V125</f>
        <v/>
      </c>
    </row>
    <row r="126" ht="45.0" customHeight="1">
      <c r="A126" s="126" t="str">
        <f>'Закупка'!A126</f>
        <v/>
      </c>
      <c r="B126" s="127" t="str">
        <f>'Закупка'!B126</f>
        <v/>
      </c>
      <c r="C126" s="128" t="str">
        <f>'Закупка'!R126</f>
        <v/>
      </c>
      <c r="D126" s="129" t="str">
        <f t="array" ref="D126">INDEX('Закупка'!G126:K126, $A$2)</f>
        <v/>
      </c>
      <c r="E126" s="130" t="str">
        <f>'Закупка'!F126</f>
        <v/>
      </c>
      <c r="F126" s="131" t="str">
        <f t="shared" si="1"/>
        <v/>
      </c>
      <c r="G126" s="132"/>
      <c r="H126" s="133"/>
      <c r="I126" s="134"/>
      <c r="J126" s="131" t="str">
        <f t="shared" si="2"/>
        <v/>
      </c>
      <c r="K126" s="135" t="str">
        <f>'Закупка'!T126</f>
        <v/>
      </c>
      <c r="L126" s="136" t="str">
        <f>'Закупка'!U126</f>
        <v/>
      </c>
      <c r="M126" s="137" t="str">
        <f>'Закупка'!V126</f>
        <v/>
      </c>
    </row>
    <row r="127" ht="45.0" customHeight="1">
      <c r="A127" s="126" t="str">
        <f>'Закупка'!A127</f>
        <v/>
      </c>
      <c r="B127" s="127" t="str">
        <f>'Закупка'!B127</f>
        <v/>
      </c>
      <c r="C127" s="128" t="str">
        <f>'Закупка'!R127</f>
        <v/>
      </c>
      <c r="D127" s="129" t="str">
        <f t="array" ref="D127">INDEX('Закупка'!G127:K127, $A$2)</f>
        <v/>
      </c>
      <c r="E127" s="130" t="str">
        <f>'Закупка'!F127</f>
        <v/>
      </c>
      <c r="F127" s="131" t="str">
        <f t="shared" si="1"/>
        <v/>
      </c>
      <c r="G127" s="132"/>
      <c r="H127" s="133"/>
      <c r="I127" s="134"/>
      <c r="J127" s="131" t="str">
        <f t="shared" si="2"/>
        <v/>
      </c>
      <c r="K127" s="135" t="str">
        <f>'Закупка'!T127</f>
        <v/>
      </c>
      <c r="L127" s="136" t="str">
        <f>'Закупка'!U127</f>
        <v/>
      </c>
      <c r="M127" s="137" t="str">
        <f>'Закупка'!V127</f>
        <v/>
      </c>
    </row>
    <row r="128" ht="45.0" customHeight="1">
      <c r="A128" s="126" t="str">
        <f>'Закупка'!A128</f>
        <v/>
      </c>
      <c r="B128" s="127" t="str">
        <f>'Закупка'!B128</f>
        <v/>
      </c>
      <c r="C128" s="128" t="str">
        <f>'Закупка'!R128</f>
        <v/>
      </c>
      <c r="D128" s="129" t="str">
        <f t="array" ref="D128">INDEX('Закупка'!G128:K128, $A$2)</f>
        <v/>
      </c>
      <c r="E128" s="130" t="str">
        <f>'Закупка'!F128</f>
        <v/>
      </c>
      <c r="F128" s="131" t="str">
        <f t="shared" si="1"/>
        <v/>
      </c>
      <c r="G128" s="132"/>
      <c r="H128" s="133"/>
      <c r="I128" s="134"/>
      <c r="J128" s="131" t="str">
        <f t="shared" si="2"/>
        <v/>
      </c>
      <c r="K128" s="135" t="str">
        <f>'Закупка'!T128</f>
        <v/>
      </c>
      <c r="L128" s="136" t="str">
        <f>'Закупка'!U128</f>
        <v/>
      </c>
      <c r="M128" s="137" t="str">
        <f>'Закупка'!V128</f>
        <v/>
      </c>
    </row>
    <row r="129" ht="45.0" customHeight="1">
      <c r="A129" s="126" t="str">
        <f>'Закупка'!A129</f>
        <v/>
      </c>
      <c r="B129" s="127" t="str">
        <f>'Закупка'!B129</f>
        <v/>
      </c>
      <c r="C129" s="128" t="str">
        <f>'Закупка'!R129</f>
        <v/>
      </c>
      <c r="D129" s="129" t="str">
        <f t="array" ref="D129">INDEX('Закупка'!G129:K129, $A$2)</f>
        <v/>
      </c>
      <c r="E129" s="130" t="str">
        <f>'Закупка'!F129</f>
        <v/>
      </c>
      <c r="F129" s="131" t="str">
        <f t="shared" si="1"/>
        <v/>
      </c>
      <c r="G129" s="132"/>
      <c r="H129" s="133"/>
      <c r="I129" s="134"/>
      <c r="J129" s="131" t="str">
        <f t="shared" si="2"/>
        <v/>
      </c>
      <c r="K129" s="135" t="str">
        <f>'Закупка'!T129</f>
        <v/>
      </c>
      <c r="L129" s="136" t="str">
        <f>'Закупка'!U129</f>
        <v/>
      </c>
      <c r="M129" s="137" t="str">
        <f>'Закупка'!V129</f>
        <v/>
      </c>
    </row>
    <row r="130" ht="45.0" customHeight="1">
      <c r="A130" s="126" t="str">
        <f>'Закупка'!A130</f>
        <v/>
      </c>
      <c r="B130" s="127" t="str">
        <f>'Закупка'!B130</f>
        <v/>
      </c>
      <c r="C130" s="128" t="str">
        <f>'Закупка'!R130</f>
        <v/>
      </c>
      <c r="D130" s="129" t="str">
        <f t="array" ref="D130">INDEX('Закупка'!G130:K130, $A$2)</f>
        <v/>
      </c>
      <c r="E130" s="130" t="str">
        <f>'Закупка'!F130</f>
        <v/>
      </c>
      <c r="F130" s="131" t="str">
        <f t="shared" si="1"/>
        <v/>
      </c>
      <c r="G130" s="132"/>
      <c r="H130" s="133"/>
      <c r="I130" s="134"/>
      <c r="J130" s="131" t="str">
        <f t="shared" si="2"/>
        <v/>
      </c>
      <c r="K130" s="135" t="str">
        <f>'Закупка'!T130</f>
        <v/>
      </c>
      <c r="L130" s="136" t="str">
        <f>'Закупка'!U130</f>
        <v/>
      </c>
      <c r="M130" s="137" t="str">
        <f>'Закупка'!V130</f>
        <v/>
      </c>
    </row>
    <row r="131" ht="45.0" customHeight="1">
      <c r="A131" s="126" t="str">
        <f>'Закупка'!A131</f>
        <v/>
      </c>
      <c r="B131" s="127" t="str">
        <f>'Закупка'!B131</f>
        <v/>
      </c>
      <c r="C131" s="128" t="str">
        <f>'Закупка'!R131</f>
        <v/>
      </c>
      <c r="D131" s="129" t="str">
        <f t="array" ref="D131">INDEX('Закупка'!G131:K131, $A$2)</f>
        <v/>
      </c>
      <c r="E131" s="130" t="str">
        <f>'Закупка'!F131</f>
        <v/>
      </c>
      <c r="F131" s="131" t="str">
        <f t="shared" si="1"/>
        <v/>
      </c>
      <c r="G131" s="132"/>
      <c r="H131" s="133"/>
      <c r="I131" s="134"/>
      <c r="J131" s="131" t="str">
        <f t="shared" si="2"/>
        <v/>
      </c>
      <c r="K131" s="135" t="str">
        <f>'Закупка'!T131</f>
        <v/>
      </c>
      <c r="L131" s="136" t="str">
        <f>'Закупка'!U131</f>
        <v/>
      </c>
      <c r="M131" s="137" t="str">
        <f>'Закупка'!V131</f>
        <v/>
      </c>
    </row>
    <row r="132" ht="45.0" customHeight="1">
      <c r="A132" s="126" t="str">
        <f>'Закупка'!A132</f>
        <v/>
      </c>
      <c r="B132" s="127" t="str">
        <f>'Закупка'!B132</f>
        <v/>
      </c>
      <c r="C132" s="128" t="str">
        <f>'Закупка'!R132</f>
        <v/>
      </c>
      <c r="D132" s="129" t="str">
        <f t="array" ref="D132">INDEX('Закупка'!G132:K132, $A$2)</f>
        <v/>
      </c>
      <c r="E132" s="130" t="str">
        <f>'Закупка'!F132</f>
        <v/>
      </c>
      <c r="F132" s="131" t="str">
        <f t="shared" si="1"/>
        <v/>
      </c>
      <c r="G132" s="132"/>
      <c r="H132" s="133"/>
      <c r="I132" s="134"/>
      <c r="J132" s="131" t="str">
        <f t="shared" si="2"/>
        <v/>
      </c>
      <c r="K132" s="135" t="str">
        <f>'Закупка'!T132</f>
        <v/>
      </c>
      <c r="L132" s="136" t="str">
        <f>'Закупка'!U132</f>
        <v/>
      </c>
      <c r="M132" s="137" t="str">
        <f>'Закупка'!V132</f>
        <v/>
      </c>
    </row>
    <row r="133" ht="45.0" customHeight="1">
      <c r="A133" s="126" t="str">
        <f>'Закупка'!A133</f>
        <v/>
      </c>
      <c r="B133" s="127" t="str">
        <f>'Закупка'!B133</f>
        <v/>
      </c>
      <c r="C133" s="128" t="str">
        <f>'Закупка'!R133</f>
        <v/>
      </c>
      <c r="D133" s="129" t="str">
        <f t="array" ref="D133">INDEX('Закупка'!G133:K133, $A$2)</f>
        <v/>
      </c>
      <c r="E133" s="130" t="str">
        <f>'Закупка'!F133</f>
        <v/>
      </c>
      <c r="F133" s="131" t="str">
        <f t="shared" si="1"/>
        <v/>
      </c>
      <c r="G133" s="132"/>
      <c r="H133" s="133"/>
      <c r="I133" s="134"/>
      <c r="J133" s="131" t="str">
        <f t="shared" si="2"/>
        <v/>
      </c>
      <c r="K133" s="135" t="str">
        <f>'Закупка'!T133</f>
        <v/>
      </c>
      <c r="L133" s="136" t="str">
        <f>'Закупка'!U133</f>
        <v/>
      </c>
      <c r="M133" s="137" t="str">
        <f>'Закупка'!V133</f>
        <v/>
      </c>
    </row>
    <row r="134" ht="45.0" customHeight="1">
      <c r="A134" s="126" t="str">
        <f>'Закупка'!A134</f>
        <v/>
      </c>
      <c r="B134" s="127" t="str">
        <f>'Закупка'!B134</f>
        <v/>
      </c>
      <c r="C134" s="128" t="str">
        <f>'Закупка'!R134</f>
        <v/>
      </c>
      <c r="D134" s="129" t="str">
        <f t="array" ref="D134">INDEX('Закупка'!G134:K134, $A$2)</f>
        <v/>
      </c>
      <c r="E134" s="130" t="str">
        <f>'Закупка'!F134</f>
        <v/>
      </c>
      <c r="F134" s="131" t="str">
        <f t="shared" si="1"/>
        <v/>
      </c>
      <c r="G134" s="132"/>
      <c r="H134" s="133"/>
      <c r="I134" s="134"/>
      <c r="J134" s="131" t="str">
        <f t="shared" si="2"/>
        <v/>
      </c>
      <c r="K134" s="135" t="str">
        <f>'Закупка'!T134</f>
        <v/>
      </c>
      <c r="L134" s="136" t="str">
        <f>'Закупка'!U134</f>
        <v/>
      </c>
      <c r="M134" s="137" t="str">
        <f>'Закупка'!V134</f>
        <v/>
      </c>
    </row>
    <row r="135" ht="45.0" customHeight="1">
      <c r="A135" s="126" t="str">
        <f>'Закупка'!A135</f>
        <v/>
      </c>
      <c r="B135" s="127" t="str">
        <f>'Закупка'!B135</f>
        <v/>
      </c>
      <c r="C135" s="128" t="str">
        <f>'Закупка'!R135</f>
        <v/>
      </c>
      <c r="D135" s="129" t="str">
        <f t="array" ref="D135">INDEX('Закупка'!G135:K135, $A$2)</f>
        <v/>
      </c>
      <c r="E135" s="130" t="str">
        <f>'Закупка'!F135</f>
        <v/>
      </c>
      <c r="F135" s="131" t="str">
        <f t="shared" si="1"/>
        <v/>
      </c>
      <c r="G135" s="132"/>
      <c r="H135" s="133"/>
      <c r="I135" s="134"/>
      <c r="J135" s="131" t="str">
        <f t="shared" si="2"/>
        <v/>
      </c>
      <c r="K135" s="135" t="str">
        <f>'Закупка'!T135</f>
        <v/>
      </c>
      <c r="L135" s="136" t="str">
        <f>'Закупка'!U135</f>
        <v/>
      </c>
      <c r="M135" s="137" t="str">
        <f>'Закупка'!V135</f>
        <v/>
      </c>
    </row>
    <row r="136" ht="45.0" customHeight="1">
      <c r="A136" s="126" t="str">
        <f>'Закупка'!A136</f>
        <v/>
      </c>
      <c r="B136" s="127" t="str">
        <f>'Закупка'!B136</f>
        <v/>
      </c>
      <c r="C136" s="128" t="str">
        <f>'Закупка'!R136</f>
        <v/>
      </c>
      <c r="D136" s="129" t="str">
        <f t="array" ref="D136">INDEX('Закупка'!G136:K136, $A$2)</f>
        <v/>
      </c>
      <c r="E136" s="130" t="str">
        <f>'Закупка'!F136</f>
        <v/>
      </c>
      <c r="F136" s="131" t="str">
        <f t="shared" si="1"/>
        <v/>
      </c>
      <c r="G136" s="132"/>
      <c r="H136" s="133"/>
      <c r="I136" s="134"/>
      <c r="J136" s="131" t="str">
        <f t="shared" si="2"/>
        <v/>
      </c>
      <c r="K136" s="135" t="str">
        <f>'Закупка'!T136</f>
        <v/>
      </c>
      <c r="L136" s="136" t="str">
        <f>'Закупка'!U136</f>
        <v/>
      </c>
      <c r="M136" s="137" t="str">
        <f>'Закупка'!V136</f>
        <v/>
      </c>
    </row>
    <row r="137" ht="45.0" customHeight="1">
      <c r="A137" s="126" t="str">
        <f>'Закупка'!A137</f>
        <v/>
      </c>
      <c r="B137" s="127" t="str">
        <f>'Закупка'!B137</f>
        <v/>
      </c>
      <c r="C137" s="128" t="str">
        <f>'Закупка'!R137</f>
        <v/>
      </c>
      <c r="D137" s="129" t="str">
        <f t="array" ref="D137">INDEX('Закупка'!G137:K137, $A$2)</f>
        <v/>
      </c>
      <c r="E137" s="130" t="str">
        <f>'Закупка'!F137</f>
        <v/>
      </c>
      <c r="F137" s="131" t="str">
        <f t="shared" si="1"/>
        <v/>
      </c>
      <c r="G137" s="132"/>
      <c r="H137" s="133"/>
      <c r="I137" s="134"/>
      <c r="J137" s="131" t="str">
        <f t="shared" si="2"/>
        <v/>
      </c>
      <c r="K137" s="135" t="str">
        <f>'Закупка'!T137</f>
        <v/>
      </c>
      <c r="L137" s="136" t="str">
        <f>'Закупка'!U137</f>
        <v/>
      </c>
      <c r="M137" s="137" t="str">
        <f>'Закупка'!V137</f>
        <v/>
      </c>
    </row>
    <row r="138" ht="45.0" customHeight="1">
      <c r="A138" s="126" t="str">
        <f>'Закупка'!A138</f>
        <v/>
      </c>
      <c r="B138" s="127" t="str">
        <f>'Закупка'!B138</f>
        <v/>
      </c>
      <c r="C138" s="128" t="str">
        <f>'Закупка'!R138</f>
        <v/>
      </c>
      <c r="D138" s="129" t="str">
        <f t="array" ref="D138">INDEX('Закупка'!G138:K138, $A$2)</f>
        <v/>
      </c>
      <c r="E138" s="130" t="str">
        <f>'Закупка'!F138</f>
        <v/>
      </c>
      <c r="F138" s="131" t="str">
        <f t="shared" si="1"/>
        <v/>
      </c>
      <c r="G138" s="132"/>
      <c r="H138" s="133"/>
      <c r="I138" s="134"/>
      <c r="J138" s="131" t="str">
        <f t="shared" si="2"/>
        <v/>
      </c>
      <c r="K138" s="135" t="str">
        <f>'Закупка'!T138</f>
        <v/>
      </c>
      <c r="L138" s="136" t="str">
        <f>'Закупка'!U138</f>
        <v/>
      </c>
      <c r="M138" s="137" t="str">
        <f>'Закупка'!V138</f>
        <v/>
      </c>
    </row>
    <row r="139" ht="45.0" customHeight="1">
      <c r="A139" s="126" t="str">
        <f>'Закупка'!A139</f>
        <v/>
      </c>
      <c r="B139" s="127" t="str">
        <f>'Закупка'!B139</f>
        <v/>
      </c>
      <c r="C139" s="128" t="str">
        <f>'Закупка'!R139</f>
        <v/>
      </c>
      <c r="D139" s="129" t="str">
        <f t="array" ref="D139">INDEX('Закупка'!G139:K139, $A$2)</f>
        <v/>
      </c>
      <c r="E139" s="130" t="str">
        <f>'Закупка'!F139</f>
        <v/>
      </c>
      <c r="F139" s="131" t="str">
        <f t="shared" si="1"/>
        <v/>
      </c>
      <c r="G139" s="132"/>
      <c r="H139" s="133"/>
      <c r="I139" s="134"/>
      <c r="J139" s="131" t="str">
        <f t="shared" si="2"/>
        <v/>
      </c>
      <c r="K139" s="135" t="str">
        <f>'Закупка'!T139</f>
        <v/>
      </c>
      <c r="L139" s="136" t="str">
        <f>'Закупка'!U139</f>
        <v/>
      </c>
      <c r="M139" s="137" t="str">
        <f>'Закупка'!V139</f>
        <v/>
      </c>
    </row>
    <row r="140" ht="45.0" customHeight="1">
      <c r="A140" s="126" t="str">
        <f>'Закупка'!A140</f>
        <v/>
      </c>
      <c r="B140" s="127" t="str">
        <f>'Закупка'!B140</f>
        <v/>
      </c>
      <c r="C140" s="128" t="str">
        <f>'Закупка'!R140</f>
        <v/>
      </c>
      <c r="D140" s="129" t="str">
        <f t="array" ref="D140">INDEX('Закупка'!G140:K140, $A$2)</f>
        <v/>
      </c>
      <c r="E140" s="130" t="str">
        <f>'Закупка'!F140</f>
        <v/>
      </c>
      <c r="F140" s="131" t="str">
        <f t="shared" si="1"/>
        <v/>
      </c>
      <c r="G140" s="132"/>
      <c r="H140" s="133"/>
      <c r="I140" s="134"/>
      <c r="J140" s="131" t="str">
        <f t="shared" si="2"/>
        <v/>
      </c>
      <c r="K140" s="135" t="str">
        <f>'Закупка'!T140</f>
        <v/>
      </c>
      <c r="L140" s="136" t="str">
        <f>'Закупка'!U140</f>
        <v/>
      </c>
      <c r="M140" s="137" t="str">
        <f>'Закупка'!V140</f>
        <v/>
      </c>
    </row>
    <row r="141" ht="45.0" customHeight="1">
      <c r="A141" s="126" t="str">
        <f>'Закупка'!A141</f>
        <v/>
      </c>
      <c r="B141" s="127" t="str">
        <f>'Закупка'!B141</f>
        <v/>
      </c>
      <c r="C141" s="128" t="str">
        <f>'Закупка'!R141</f>
        <v/>
      </c>
      <c r="D141" s="129" t="str">
        <f t="array" ref="D141">INDEX('Закупка'!G141:K141, $A$2)</f>
        <v/>
      </c>
      <c r="E141" s="130" t="str">
        <f>'Закупка'!F141</f>
        <v/>
      </c>
      <c r="F141" s="131" t="str">
        <f t="shared" si="1"/>
        <v/>
      </c>
      <c r="G141" s="132"/>
      <c r="H141" s="133"/>
      <c r="I141" s="134"/>
      <c r="J141" s="131" t="str">
        <f t="shared" si="2"/>
        <v/>
      </c>
      <c r="K141" s="135" t="str">
        <f>'Закупка'!T141</f>
        <v/>
      </c>
      <c r="L141" s="136" t="str">
        <f>'Закупка'!U141</f>
        <v/>
      </c>
      <c r="M141" s="137" t="str">
        <f>'Закупка'!V141</f>
        <v/>
      </c>
    </row>
    <row r="142" ht="45.0" customHeight="1">
      <c r="A142" s="126" t="str">
        <f>'Закупка'!A142</f>
        <v/>
      </c>
      <c r="B142" s="127" t="str">
        <f>'Закупка'!B142</f>
        <v/>
      </c>
      <c r="C142" s="128" t="str">
        <f>'Закупка'!R142</f>
        <v/>
      </c>
      <c r="D142" s="129" t="str">
        <f t="array" ref="D142">INDEX('Закупка'!G142:K142, $A$2)</f>
        <v/>
      </c>
      <c r="E142" s="130" t="str">
        <f>'Закупка'!F142</f>
        <v/>
      </c>
      <c r="F142" s="131" t="str">
        <f t="shared" si="1"/>
        <v/>
      </c>
      <c r="G142" s="132"/>
      <c r="H142" s="133"/>
      <c r="I142" s="134"/>
      <c r="J142" s="131" t="str">
        <f t="shared" si="2"/>
        <v/>
      </c>
      <c r="K142" s="135" t="str">
        <f>'Закупка'!T142</f>
        <v/>
      </c>
      <c r="L142" s="136" t="str">
        <f>'Закупка'!U142</f>
        <v/>
      </c>
      <c r="M142" s="137" t="str">
        <f>'Закупка'!V142</f>
        <v/>
      </c>
    </row>
    <row r="143" ht="45.0" customHeight="1">
      <c r="A143" s="126" t="str">
        <f>'Закупка'!A143</f>
        <v/>
      </c>
      <c r="B143" s="127" t="str">
        <f>'Закупка'!B143</f>
        <v/>
      </c>
      <c r="C143" s="128" t="str">
        <f>'Закупка'!R143</f>
        <v/>
      </c>
      <c r="D143" s="129" t="str">
        <f t="array" ref="D143">INDEX('Закупка'!G143:K143, $A$2)</f>
        <v/>
      </c>
      <c r="E143" s="130" t="str">
        <f>'Закупка'!F143</f>
        <v/>
      </c>
      <c r="F143" s="131" t="str">
        <f t="shared" si="1"/>
        <v/>
      </c>
      <c r="G143" s="132"/>
      <c r="H143" s="133"/>
      <c r="I143" s="134"/>
      <c r="J143" s="131" t="str">
        <f t="shared" si="2"/>
        <v/>
      </c>
      <c r="K143" s="135" t="str">
        <f>'Закупка'!T143</f>
        <v/>
      </c>
      <c r="L143" s="136" t="str">
        <f>'Закупка'!U143</f>
        <v/>
      </c>
      <c r="M143" s="137" t="str">
        <f>'Закупка'!V143</f>
        <v/>
      </c>
    </row>
    <row r="144" ht="45.0" customHeight="1">
      <c r="A144" s="126" t="str">
        <f>'Закупка'!A144</f>
        <v/>
      </c>
      <c r="B144" s="127" t="str">
        <f>'Закупка'!B144</f>
        <v/>
      </c>
      <c r="C144" s="128" t="str">
        <f>'Закупка'!R144</f>
        <v/>
      </c>
      <c r="D144" s="129" t="str">
        <f t="array" ref="D144">INDEX('Закупка'!G144:K144, $A$2)</f>
        <v/>
      </c>
      <c r="E144" s="130" t="str">
        <f>'Закупка'!F144</f>
        <v/>
      </c>
      <c r="F144" s="131" t="str">
        <f t="shared" si="1"/>
        <v/>
      </c>
      <c r="G144" s="132"/>
      <c r="H144" s="133"/>
      <c r="I144" s="134"/>
      <c r="J144" s="131" t="str">
        <f t="shared" si="2"/>
        <v/>
      </c>
      <c r="K144" s="135" t="str">
        <f>'Закупка'!T144</f>
        <v/>
      </c>
      <c r="L144" s="136" t="str">
        <f>'Закупка'!U144</f>
        <v/>
      </c>
      <c r="M144" s="137" t="str">
        <f>'Закупка'!V144</f>
        <v/>
      </c>
    </row>
    <row r="145" ht="45.0" customHeight="1">
      <c r="A145" s="126" t="str">
        <f>'Закупка'!A145</f>
        <v/>
      </c>
      <c r="B145" s="127" t="str">
        <f>'Закупка'!B145</f>
        <v/>
      </c>
      <c r="C145" s="128" t="str">
        <f>'Закупка'!R145</f>
        <v/>
      </c>
      <c r="D145" s="129" t="str">
        <f t="array" ref="D145">INDEX('Закупка'!G145:K145, $A$2)</f>
        <v/>
      </c>
      <c r="E145" s="130" t="str">
        <f>'Закупка'!F145</f>
        <v/>
      </c>
      <c r="F145" s="131" t="str">
        <f t="shared" si="1"/>
        <v/>
      </c>
      <c r="G145" s="132"/>
      <c r="H145" s="133"/>
      <c r="I145" s="134"/>
      <c r="J145" s="131" t="str">
        <f t="shared" si="2"/>
        <v/>
      </c>
      <c r="K145" s="135" t="str">
        <f>'Закупка'!T145</f>
        <v/>
      </c>
      <c r="L145" s="136" t="str">
        <f>'Закупка'!U145</f>
        <v/>
      </c>
      <c r="M145" s="137" t="str">
        <f>'Закупка'!V145</f>
        <v/>
      </c>
    </row>
    <row r="146" ht="45.0" customHeight="1">
      <c r="A146" s="126" t="str">
        <f>'Закупка'!A146</f>
        <v/>
      </c>
      <c r="B146" s="127" t="str">
        <f>'Закупка'!B146</f>
        <v/>
      </c>
      <c r="C146" s="128" t="str">
        <f>'Закупка'!R146</f>
        <v/>
      </c>
      <c r="D146" s="129" t="str">
        <f t="array" ref="D146">INDEX('Закупка'!G146:K146, $A$2)</f>
        <v/>
      </c>
      <c r="E146" s="130" t="str">
        <f>'Закупка'!F146</f>
        <v/>
      </c>
      <c r="F146" s="131" t="str">
        <f t="shared" si="1"/>
        <v/>
      </c>
      <c r="G146" s="132"/>
      <c r="H146" s="133"/>
      <c r="I146" s="134"/>
      <c r="J146" s="131" t="str">
        <f t="shared" si="2"/>
        <v/>
      </c>
      <c r="K146" s="135" t="str">
        <f>'Закупка'!T146</f>
        <v/>
      </c>
      <c r="L146" s="136" t="str">
        <f>'Закупка'!U146</f>
        <v/>
      </c>
      <c r="M146" s="137" t="str">
        <f>'Закупка'!V146</f>
        <v/>
      </c>
    </row>
    <row r="147" ht="45.0" customHeight="1">
      <c r="A147" s="126" t="str">
        <f>'Закупка'!A147</f>
        <v/>
      </c>
      <c r="B147" s="127" t="str">
        <f>'Закупка'!B147</f>
        <v/>
      </c>
      <c r="C147" s="128" t="str">
        <f>'Закупка'!R147</f>
        <v/>
      </c>
      <c r="D147" s="129" t="str">
        <f t="array" ref="D147">INDEX('Закупка'!G147:K147, $A$2)</f>
        <v/>
      </c>
      <c r="E147" s="130" t="str">
        <f>'Закупка'!F147</f>
        <v/>
      </c>
      <c r="F147" s="131" t="str">
        <f t="shared" si="1"/>
        <v/>
      </c>
      <c r="G147" s="132"/>
      <c r="H147" s="133"/>
      <c r="I147" s="134"/>
      <c r="J147" s="131" t="str">
        <f t="shared" si="2"/>
        <v/>
      </c>
      <c r="K147" s="135" t="str">
        <f>'Закупка'!T147</f>
        <v/>
      </c>
      <c r="L147" s="136" t="str">
        <f>'Закупка'!U147</f>
        <v/>
      </c>
      <c r="M147" s="137" t="str">
        <f>'Закупка'!V147</f>
        <v/>
      </c>
    </row>
    <row r="148" ht="45.0" customHeight="1">
      <c r="A148" s="126" t="str">
        <f>'Закупка'!A148</f>
        <v/>
      </c>
      <c r="B148" s="127" t="str">
        <f>'Закупка'!B148</f>
        <v/>
      </c>
      <c r="C148" s="128" t="str">
        <f>'Закупка'!R148</f>
        <v/>
      </c>
      <c r="D148" s="129" t="str">
        <f t="array" ref="D148">INDEX('Закупка'!G148:K148, $A$2)</f>
        <v/>
      </c>
      <c r="E148" s="130" t="str">
        <f>'Закупка'!F148</f>
        <v/>
      </c>
      <c r="F148" s="131" t="str">
        <f t="shared" si="1"/>
        <v/>
      </c>
      <c r="G148" s="132"/>
      <c r="H148" s="133"/>
      <c r="I148" s="134"/>
      <c r="J148" s="131" t="str">
        <f t="shared" si="2"/>
        <v/>
      </c>
      <c r="K148" s="135" t="str">
        <f>'Закупка'!T148</f>
        <v/>
      </c>
      <c r="L148" s="136" t="str">
        <f>'Закупка'!U148</f>
        <v/>
      </c>
      <c r="M148" s="137" t="str">
        <f>'Закупка'!V148</f>
        <v/>
      </c>
    </row>
    <row r="149" ht="45.0" customHeight="1">
      <c r="A149" s="126" t="str">
        <f>'Закупка'!A149</f>
        <v/>
      </c>
      <c r="B149" s="127" t="str">
        <f>'Закупка'!B149</f>
        <v/>
      </c>
      <c r="C149" s="128" t="str">
        <f>'Закупка'!R149</f>
        <v/>
      </c>
      <c r="D149" s="129" t="str">
        <f t="array" ref="D149">INDEX('Закупка'!G149:K149, $A$2)</f>
        <v/>
      </c>
      <c r="E149" s="130" t="str">
        <f>'Закупка'!F149</f>
        <v/>
      </c>
      <c r="F149" s="131" t="str">
        <f t="shared" si="1"/>
        <v/>
      </c>
      <c r="G149" s="132"/>
      <c r="H149" s="133"/>
      <c r="I149" s="134"/>
      <c r="J149" s="131" t="str">
        <f t="shared" si="2"/>
        <v/>
      </c>
      <c r="K149" s="135" t="str">
        <f>'Закупка'!T149</f>
        <v/>
      </c>
      <c r="L149" s="136" t="str">
        <f>'Закупка'!U149</f>
        <v/>
      </c>
      <c r="M149" s="137" t="str">
        <f>'Закупка'!V149</f>
        <v/>
      </c>
    </row>
    <row r="150" ht="45.0" customHeight="1">
      <c r="A150" s="126" t="str">
        <f>'Закупка'!A150</f>
        <v/>
      </c>
      <c r="B150" s="127" t="str">
        <f>'Закупка'!B150</f>
        <v/>
      </c>
      <c r="C150" s="128" t="str">
        <f>'Закупка'!R150</f>
        <v/>
      </c>
      <c r="D150" s="129" t="str">
        <f t="array" ref="D150">INDEX('Закупка'!G150:K150, $A$2)</f>
        <v/>
      </c>
      <c r="E150" s="130" t="str">
        <f>'Закупка'!F150</f>
        <v/>
      </c>
      <c r="F150" s="131" t="str">
        <f t="shared" si="1"/>
        <v/>
      </c>
      <c r="G150" s="132"/>
      <c r="H150" s="133"/>
      <c r="I150" s="134"/>
      <c r="J150" s="131" t="str">
        <f t="shared" si="2"/>
        <v/>
      </c>
      <c r="K150" s="135" t="str">
        <f>'Закупка'!T150</f>
        <v/>
      </c>
      <c r="L150" s="136" t="str">
        <f>'Закупка'!U150</f>
        <v/>
      </c>
      <c r="M150" s="137" t="str">
        <f>'Закупка'!V150</f>
        <v/>
      </c>
    </row>
    <row r="151" ht="45.0" customHeight="1">
      <c r="A151" s="126" t="str">
        <f>'Закупка'!A151</f>
        <v/>
      </c>
      <c r="B151" s="127" t="str">
        <f>'Закупка'!B151</f>
        <v/>
      </c>
      <c r="C151" s="128" t="str">
        <f>'Закупка'!R151</f>
        <v/>
      </c>
      <c r="D151" s="129" t="str">
        <f t="array" ref="D151">INDEX('Закупка'!G151:K151, $A$2)</f>
        <v/>
      </c>
      <c r="E151" s="130" t="str">
        <f>'Закупка'!F151</f>
        <v/>
      </c>
      <c r="F151" s="131" t="str">
        <f t="shared" si="1"/>
        <v/>
      </c>
      <c r="G151" s="132"/>
      <c r="H151" s="133"/>
      <c r="I151" s="134"/>
      <c r="J151" s="131" t="str">
        <f t="shared" si="2"/>
        <v/>
      </c>
      <c r="K151" s="135" t="str">
        <f>'Закупка'!T151</f>
        <v/>
      </c>
      <c r="L151" s="136" t="str">
        <f>'Закупка'!U151</f>
        <v/>
      </c>
      <c r="M151" s="137" t="str">
        <f>'Закупка'!V151</f>
        <v/>
      </c>
    </row>
    <row r="152" ht="45.0" customHeight="1">
      <c r="A152" s="126" t="str">
        <f>'Закупка'!A152</f>
        <v/>
      </c>
      <c r="B152" s="127" t="str">
        <f>'Закупка'!B152</f>
        <v/>
      </c>
      <c r="C152" s="128" t="str">
        <f>'Закупка'!R152</f>
        <v/>
      </c>
      <c r="D152" s="129" t="str">
        <f t="array" ref="D152">INDEX('Закупка'!G152:K152, $A$2)</f>
        <v/>
      </c>
      <c r="E152" s="130" t="str">
        <f>'Закупка'!F152</f>
        <v/>
      </c>
      <c r="F152" s="131" t="str">
        <f t="shared" si="1"/>
        <v/>
      </c>
      <c r="G152" s="132"/>
      <c r="H152" s="133"/>
      <c r="I152" s="134"/>
      <c r="J152" s="131" t="str">
        <f t="shared" si="2"/>
        <v/>
      </c>
      <c r="K152" s="135" t="str">
        <f>'Закупка'!T152</f>
        <v/>
      </c>
      <c r="L152" s="136" t="str">
        <f>'Закупка'!U152</f>
        <v/>
      </c>
      <c r="M152" s="137" t="str">
        <f>'Закупка'!V152</f>
        <v/>
      </c>
    </row>
    <row r="153" ht="45.0" customHeight="1">
      <c r="A153" s="126" t="str">
        <f>'Закупка'!A153</f>
        <v/>
      </c>
      <c r="B153" s="127" t="str">
        <f>'Закупка'!B153</f>
        <v/>
      </c>
      <c r="C153" s="128" t="str">
        <f>'Закупка'!R153</f>
        <v/>
      </c>
      <c r="D153" s="129" t="str">
        <f t="array" ref="D153">INDEX('Закупка'!G153:K153, $A$2)</f>
        <v/>
      </c>
      <c r="E153" s="130" t="str">
        <f>'Закупка'!F153</f>
        <v/>
      </c>
      <c r="F153" s="131" t="str">
        <f t="shared" si="1"/>
        <v/>
      </c>
      <c r="G153" s="132"/>
      <c r="H153" s="133"/>
      <c r="I153" s="134"/>
      <c r="J153" s="131" t="str">
        <f t="shared" si="2"/>
        <v/>
      </c>
      <c r="K153" s="135" t="str">
        <f>'Закупка'!T153</f>
        <v/>
      </c>
      <c r="L153" s="136" t="str">
        <f>'Закупка'!U153</f>
        <v/>
      </c>
      <c r="M153" s="137" t="str">
        <f>'Закупка'!V153</f>
        <v/>
      </c>
    </row>
    <row r="154" ht="45.0" customHeight="1">
      <c r="A154" s="126" t="str">
        <f>'Закупка'!A154</f>
        <v/>
      </c>
      <c r="B154" s="127" t="str">
        <f>'Закупка'!B154</f>
        <v/>
      </c>
      <c r="C154" s="128" t="str">
        <f>'Закупка'!R154</f>
        <v/>
      </c>
      <c r="D154" s="129" t="str">
        <f t="array" ref="D154">INDEX('Закупка'!G154:K154, $A$2)</f>
        <v/>
      </c>
      <c r="E154" s="130" t="str">
        <f>'Закупка'!F154</f>
        <v/>
      </c>
      <c r="F154" s="131" t="str">
        <f t="shared" si="1"/>
        <v/>
      </c>
      <c r="G154" s="132"/>
      <c r="H154" s="133"/>
      <c r="I154" s="134"/>
      <c r="J154" s="131" t="str">
        <f t="shared" si="2"/>
        <v/>
      </c>
      <c r="K154" s="135" t="str">
        <f>'Закупка'!T154</f>
        <v/>
      </c>
      <c r="L154" s="136" t="str">
        <f>'Закупка'!U154</f>
        <v/>
      </c>
      <c r="M154" s="137" t="str">
        <f>'Закупка'!V154</f>
        <v/>
      </c>
    </row>
    <row r="155" ht="45.0" customHeight="1">
      <c r="A155" s="126" t="str">
        <f>'Закупка'!A155</f>
        <v/>
      </c>
      <c r="B155" s="127" t="str">
        <f>'Закупка'!B155</f>
        <v/>
      </c>
      <c r="C155" s="128" t="str">
        <f>'Закупка'!R155</f>
        <v/>
      </c>
      <c r="D155" s="129" t="str">
        <f t="array" ref="D155">INDEX('Закупка'!G155:K155, $A$2)</f>
        <v/>
      </c>
      <c r="E155" s="130" t="str">
        <f>'Закупка'!F155</f>
        <v/>
      </c>
      <c r="F155" s="131" t="str">
        <f t="shared" si="1"/>
        <v/>
      </c>
      <c r="G155" s="132"/>
      <c r="H155" s="133"/>
      <c r="I155" s="134"/>
      <c r="J155" s="131" t="str">
        <f t="shared" si="2"/>
        <v/>
      </c>
      <c r="K155" s="135" t="str">
        <f>'Закупка'!T155</f>
        <v/>
      </c>
      <c r="L155" s="136" t="str">
        <f>'Закупка'!U155</f>
        <v/>
      </c>
      <c r="M155" s="137" t="str">
        <f>'Закупка'!V155</f>
        <v/>
      </c>
    </row>
    <row r="156" ht="45.0" customHeight="1">
      <c r="A156" s="126" t="str">
        <f>'Закупка'!A156</f>
        <v/>
      </c>
      <c r="B156" s="127" t="str">
        <f>'Закупка'!B156</f>
        <v/>
      </c>
      <c r="C156" s="128" t="str">
        <f>'Закупка'!R156</f>
        <v/>
      </c>
      <c r="D156" s="129" t="str">
        <f t="array" ref="D156">INDEX('Закупка'!G156:K156, $A$2)</f>
        <v/>
      </c>
      <c r="E156" s="130" t="str">
        <f>'Закупка'!F156</f>
        <v/>
      </c>
      <c r="F156" s="131" t="str">
        <f t="shared" si="1"/>
        <v/>
      </c>
      <c r="G156" s="132"/>
      <c r="H156" s="133"/>
      <c r="I156" s="134"/>
      <c r="J156" s="131" t="str">
        <f t="shared" si="2"/>
        <v/>
      </c>
      <c r="K156" s="135" t="str">
        <f>'Закупка'!T156</f>
        <v/>
      </c>
      <c r="L156" s="136" t="str">
        <f>'Закупка'!U156</f>
        <v/>
      </c>
      <c r="M156" s="137" t="str">
        <f>'Закупка'!V156</f>
        <v/>
      </c>
    </row>
    <row r="157" ht="45.0" customHeight="1">
      <c r="A157" s="126" t="str">
        <f>'Закупка'!A157</f>
        <v/>
      </c>
      <c r="B157" s="127" t="str">
        <f>'Закупка'!B157</f>
        <v/>
      </c>
      <c r="C157" s="128" t="str">
        <f>'Закупка'!R157</f>
        <v/>
      </c>
      <c r="D157" s="129" t="str">
        <f t="array" ref="D157">INDEX('Закупка'!G157:K157, $A$2)</f>
        <v/>
      </c>
      <c r="E157" s="130" t="str">
        <f>'Закупка'!F157</f>
        <v/>
      </c>
      <c r="F157" s="131" t="str">
        <f t="shared" si="1"/>
        <v/>
      </c>
      <c r="G157" s="132"/>
      <c r="H157" s="133"/>
      <c r="I157" s="134"/>
      <c r="J157" s="131" t="str">
        <f t="shared" si="2"/>
        <v/>
      </c>
      <c r="K157" s="135" t="str">
        <f>'Закупка'!T157</f>
        <v/>
      </c>
      <c r="L157" s="136" t="str">
        <f>'Закупка'!U157</f>
        <v/>
      </c>
      <c r="M157" s="137" t="str">
        <f>'Закупка'!V157</f>
        <v/>
      </c>
    </row>
    <row r="158" ht="45.0" customHeight="1">
      <c r="A158" s="126" t="str">
        <f>'Закупка'!A158</f>
        <v/>
      </c>
      <c r="B158" s="127" t="str">
        <f>'Закупка'!B158</f>
        <v/>
      </c>
      <c r="C158" s="128" t="str">
        <f>'Закупка'!R158</f>
        <v/>
      </c>
      <c r="D158" s="129" t="str">
        <f t="array" ref="D158">INDEX('Закупка'!G158:K158, $A$2)</f>
        <v/>
      </c>
      <c r="E158" s="130" t="str">
        <f>'Закупка'!F158</f>
        <v/>
      </c>
      <c r="F158" s="131" t="str">
        <f t="shared" si="1"/>
        <v/>
      </c>
      <c r="G158" s="132"/>
      <c r="H158" s="133"/>
      <c r="I158" s="134"/>
      <c r="J158" s="131" t="str">
        <f t="shared" si="2"/>
        <v/>
      </c>
      <c r="K158" s="135" t="str">
        <f>'Закупка'!T158</f>
        <v/>
      </c>
      <c r="L158" s="136" t="str">
        <f>'Закупка'!U158</f>
        <v/>
      </c>
      <c r="M158" s="137" t="str">
        <f>'Закупка'!V158</f>
        <v/>
      </c>
    </row>
    <row r="159" ht="45.0" customHeight="1">
      <c r="A159" s="126" t="str">
        <f>'Закупка'!A159</f>
        <v/>
      </c>
      <c r="B159" s="127" t="str">
        <f>'Закупка'!B159</f>
        <v/>
      </c>
      <c r="C159" s="128" t="str">
        <f>'Закупка'!R159</f>
        <v/>
      </c>
      <c r="D159" s="129" t="str">
        <f t="array" ref="D159">INDEX('Закупка'!G159:K159, $A$2)</f>
        <v/>
      </c>
      <c r="E159" s="130" t="str">
        <f>'Закупка'!F159</f>
        <v/>
      </c>
      <c r="F159" s="131" t="str">
        <f t="shared" si="1"/>
        <v/>
      </c>
      <c r="G159" s="132"/>
      <c r="H159" s="133"/>
      <c r="I159" s="134"/>
      <c r="J159" s="131" t="str">
        <f t="shared" si="2"/>
        <v/>
      </c>
      <c r="K159" s="135" t="str">
        <f>'Закупка'!T159</f>
        <v/>
      </c>
      <c r="L159" s="136" t="str">
        <f>'Закупка'!U159</f>
        <v/>
      </c>
      <c r="M159" s="137" t="str">
        <f>'Закупка'!V159</f>
        <v/>
      </c>
    </row>
    <row r="160" ht="45.0" customHeight="1">
      <c r="A160" s="126" t="str">
        <f>'Закупка'!A160</f>
        <v/>
      </c>
      <c r="B160" s="127" t="str">
        <f>'Закупка'!B160</f>
        <v/>
      </c>
      <c r="C160" s="128" t="str">
        <f>'Закупка'!R160</f>
        <v/>
      </c>
      <c r="D160" s="129" t="str">
        <f t="array" ref="D160">INDEX('Закупка'!G160:K160, $A$2)</f>
        <v/>
      </c>
      <c r="E160" s="130" t="str">
        <f>'Закупка'!F160</f>
        <v/>
      </c>
      <c r="F160" s="131" t="str">
        <f t="shared" si="1"/>
        <v/>
      </c>
      <c r="G160" s="132"/>
      <c r="H160" s="133"/>
      <c r="I160" s="134"/>
      <c r="J160" s="131" t="str">
        <f t="shared" si="2"/>
        <v/>
      </c>
      <c r="K160" s="135" t="str">
        <f>'Закупка'!T160</f>
        <v/>
      </c>
      <c r="L160" s="136" t="str">
        <f>'Закупка'!U160</f>
        <v/>
      </c>
      <c r="M160" s="137" t="str">
        <f>'Закупка'!V160</f>
        <v/>
      </c>
    </row>
    <row r="161" ht="45.0" customHeight="1">
      <c r="A161" s="126" t="str">
        <f>'Закупка'!A161</f>
        <v/>
      </c>
      <c r="B161" s="127" t="str">
        <f>'Закупка'!B161</f>
        <v/>
      </c>
      <c r="C161" s="128" t="str">
        <f>'Закупка'!R161</f>
        <v/>
      </c>
      <c r="D161" s="129" t="str">
        <f t="array" ref="D161">INDEX('Закупка'!G161:K161, $A$2)</f>
        <v/>
      </c>
      <c r="E161" s="130" t="str">
        <f>'Закупка'!F161</f>
        <v/>
      </c>
      <c r="F161" s="131" t="str">
        <f t="shared" si="1"/>
        <v/>
      </c>
      <c r="G161" s="132"/>
      <c r="H161" s="133"/>
      <c r="I161" s="134"/>
      <c r="J161" s="131" t="str">
        <f t="shared" si="2"/>
        <v/>
      </c>
      <c r="K161" s="135" t="str">
        <f>'Закупка'!T161</f>
        <v/>
      </c>
      <c r="L161" s="136" t="str">
        <f>'Закупка'!U161</f>
        <v/>
      </c>
      <c r="M161" s="137" t="str">
        <f>'Закупка'!V161</f>
        <v/>
      </c>
    </row>
    <row r="162" ht="45.0" customHeight="1">
      <c r="A162" s="126" t="str">
        <f>'Закупка'!A162</f>
        <v/>
      </c>
      <c r="B162" s="127" t="str">
        <f>'Закупка'!B162</f>
        <v/>
      </c>
      <c r="C162" s="128" t="str">
        <f>'Закупка'!R162</f>
        <v/>
      </c>
      <c r="D162" s="129" t="str">
        <f t="array" ref="D162">INDEX('Закупка'!G162:K162, $A$2)</f>
        <v/>
      </c>
      <c r="E162" s="130" t="str">
        <f>'Закупка'!F162</f>
        <v/>
      </c>
      <c r="F162" s="131" t="str">
        <f t="shared" si="1"/>
        <v/>
      </c>
      <c r="G162" s="132"/>
      <c r="H162" s="133"/>
      <c r="I162" s="134"/>
      <c r="J162" s="131" t="str">
        <f t="shared" si="2"/>
        <v/>
      </c>
      <c r="K162" s="135" t="str">
        <f>'Закупка'!T162</f>
        <v/>
      </c>
      <c r="L162" s="136" t="str">
        <f>'Закупка'!U162</f>
        <v/>
      </c>
      <c r="M162" s="137" t="str">
        <f>'Закупка'!V162</f>
        <v/>
      </c>
    </row>
    <row r="163" ht="45.0" customHeight="1">
      <c r="A163" s="126" t="str">
        <f>'Закупка'!A163</f>
        <v/>
      </c>
      <c r="B163" s="127" t="str">
        <f>'Закупка'!B163</f>
        <v/>
      </c>
      <c r="C163" s="128" t="str">
        <f>'Закупка'!R163</f>
        <v/>
      </c>
      <c r="D163" s="129" t="str">
        <f t="array" ref="D163">INDEX('Закупка'!G163:K163, $A$2)</f>
        <v/>
      </c>
      <c r="E163" s="130" t="str">
        <f>'Закупка'!F163</f>
        <v/>
      </c>
      <c r="F163" s="131" t="str">
        <f t="shared" si="1"/>
        <v/>
      </c>
      <c r="G163" s="132"/>
      <c r="H163" s="133"/>
      <c r="I163" s="134"/>
      <c r="J163" s="131" t="str">
        <f t="shared" si="2"/>
        <v/>
      </c>
      <c r="K163" s="135" t="str">
        <f>'Закупка'!T163</f>
        <v/>
      </c>
      <c r="L163" s="136" t="str">
        <f>'Закупка'!U163</f>
        <v/>
      </c>
      <c r="M163" s="137" t="str">
        <f>'Закупка'!V163</f>
        <v/>
      </c>
    </row>
    <row r="164" ht="45.0" customHeight="1">
      <c r="A164" s="126" t="str">
        <f>'Закупка'!A164</f>
        <v/>
      </c>
      <c r="B164" s="127" t="str">
        <f>'Закупка'!B164</f>
        <v/>
      </c>
      <c r="C164" s="128" t="str">
        <f>'Закупка'!R164</f>
        <v/>
      </c>
      <c r="D164" s="129" t="str">
        <f t="array" ref="D164">INDEX('Закупка'!G164:K164, $A$2)</f>
        <v/>
      </c>
      <c r="E164" s="130" t="str">
        <f>'Закупка'!F164</f>
        <v/>
      </c>
      <c r="F164" s="131" t="str">
        <f t="shared" si="1"/>
        <v/>
      </c>
      <c r="G164" s="132"/>
      <c r="H164" s="133"/>
      <c r="I164" s="134"/>
      <c r="J164" s="131" t="str">
        <f t="shared" si="2"/>
        <v/>
      </c>
      <c r="K164" s="135" t="str">
        <f>'Закупка'!T164</f>
        <v/>
      </c>
      <c r="L164" s="136" t="str">
        <f>'Закупка'!U164</f>
        <v/>
      </c>
      <c r="M164" s="137" t="str">
        <f>'Закупка'!V164</f>
        <v/>
      </c>
    </row>
    <row r="165" ht="45.0" customHeight="1">
      <c r="A165" s="126" t="str">
        <f>'Закупка'!A165</f>
        <v/>
      </c>
      <c r="B165" s="127" t="str">
        <f>'Закупка'!B165</f>
        <v/>
      </c>
      <c r="C165" s="128" t="str">
        <f>'Закупка'!R165</f>
        <v/>
      </c>
      <c r="D165" s="129" t="str">
        <f t="array" ref="D165">INDEX('Закупка'!G165:K165, $A$2)</f>
        <v/>
      </c>
      <c r="E165" s="130" t="str">
        <f>'Закупка'!F165</f>
        <v/>
      </c>
      <c r="F165" s="131" t="str">
        <f t="shared" si="1"/>
        <v/>
      </c>
      <c r="G165" s="132"/>
      <c r="H165" s="133"/>
      <c r="I165" s="134"/>
      <c r="J165" s="131" t="str">
        <f t="shared" si="2"/>
        <v/>
      </c>
      <c r="K165" s="135" t="str">
        <f>'Закупка'!T165</f>
        <v/>
      </c>
      <c r="L165" s="136" t="str">
        <f>'Закупка'!U165</f>
        <v/>
      </c>
      <c r="M165" s="137" t="str">
        <f>'Закупка'!V165</f>
        <v/>
      </c>
    </row>
    <row r="166" ht="45.0" customHeight="1">
      <c r="A166" s="126" t="str">
        <f>'Закупка'!A166</f>
        <v/>
      </c>
      <c r="B166" s="127" t="str">
        <f>'Закупка'!B166</f>
        <v/>
      </c>
      <c r="C166" s="128" t="str">
        <f>'Закупка'!R166</f>
        <v/>
      </c>
      <c r="D166" s="129" t="str">
        <f t="array" ref="D166">INDEX('Закупка'!G166:K166, $A$2)</f>
        <v/>
      </c>
      <c r="E166" s="130" t="str">
        <f>'Закупка'!F166</f>
        <v/>
      </c>
      <c r="F166" s="131" t="str">
        <f t="shared" si="1"/>
        <v/>
      </c>
      <c r="G166" s="132"/>
      <c r="H166" s="133"/>
      <c r="I166" s="134"/>
      <c r="J166" s="131" t="str">
        <f t="shared" si="2"/>
        <v/>
      </c>
      <c r="K166" s="135" t="str">
        <f>'Закупка'!T166</f>
        <v/>
      </c>
      <c r="L166" s="136" t="str">
        <f>'Закупка'!U166</f>
        <v/>
      </c>
      <c r="M166" s="137" t="str">
        <f>'Закупка'!V166</f>
        <v/>
      </c>
    </row>
    <row r="167" ht="45.0" customHeight="1">
      <c r="A167" s="126" t="str">
        <f>'Закупка'!A167</f>
        <v/>
      </c>
      <c r="B167" s="127" t="str">
        <f>'Закупка'!B167</f>
        <v/>
      </c>
      <c r="C167" s="128" t="str">
        <f>'Закупка'!R167</f>
        <v/>
      </c>
      <c r="D167" s="129" t="str">
        <f t="array" ref="D167">INDEX('Закупка'!G167:K167, $A$2)</f>
        <v/>
      </c>
      <c r="E167" s="130" t="str">
        <f>'Закупка'!F167</f>
        <v/>
      </c>
      <c r="F167" s="131" t="str">
        <f t="shared" si="1"/>
        <v/>
      </c>
      <c r="G167" s="132"/>
      <c r="H167" s="133"/>
      <c r="I167" s="134"/>
      <c r="J167" s="131" t="str">
        <f t="shared" si="2"/>
        <v/>
      </c>
      <c r="K167" s="135" t="str">
        <f>'Закупка'!T167</f>
        <v/>
      </c>
      <c r="L167" s="136" t="str">
        <f>'Закупка'!U167</f>
        <v/>
      </c>
      <c r="M167" s="137" t="str">
        <f>'Закупка'!V167</f>
        <v/>
      </c>
    </row>
    <row r="168" ht="45.0" customHeight="1">
      <c r="A168" s="126" t="str">
        <f>'Закупка'!A168</f>
        <v/>
      </c>
      <c r="B168" s="127" t="str">
        <f>'Закупка'!B168</f>
        <v/>
      </c>
      <c r="C168" s="128" t="str">
        <f>'Закупка'!R168</f>
        <v/>
      </c>
      <c r="D168" s="129" t="str">
        <f t="array" ref="D168">INDEX('Закупка'!G168:K168, $A$2)</f>
        <v/>
      </c>
      <c r="E168" s="130" t="str">
        <f>'Закупка'!F168</f>
        <v/>
      </c>
      <c r="F168" s="131" t="str">
        <f t="shared" si="1"/>
        <v/>
      </c>
      <c r="G168" s="132"/>
      <c r="H168" s="133"/>
      <c r="I168" s="134"/>
      <c r="J168" s="131" t="str">
        <f t="shared" si="2"/>
        <v/>
      </c>
      <c r="K168" s="135" t="str">
        <f>'Закупка'!T168</f>
        <v/>
      </c>
      <c r="L168" s="136" t="str">
        <f>'Закупка'!U168</f>
        <v/>
      </c>
      <c r="M168" s="137" t="str">
        <f>'Закупка'!V168</f>
        <v/>
      </c>
    </row>
    <row r="169" ht="45.0" customHeight="1">
      <c r="A169" s="126" t="str">
        <f>'Закупка'!A169</f>
        <v/>
      </c>
      <c r="B169" s="127" t="str">
        <f>'Закупка'!B169</f>
        <v/>
      </c>
      <c r="C169" s="128" t="str">
        <f>'Закупка'!R169</f>
        <v/>
      </c>
      <c r="D169" s="129" t="str">
        <f t="array" ref="D169">INDEX('Закупка'!G169:K169, $A$2)</f>
        <v/>
      </c>
      <c r="E169" s="130" t="str">
        <f>'Закупка'!F169</f>
        <v/>
      </c>
      <c r="F169" s="131" t="str">
        <f t="shared" si="1"/>
        <v/>
      </c>
      <c r="G169" s="132"/>
      <c r="H169" s="133"/>
      <c r="I169" s="134"/>
      <c r="J169" s="131" t="str">
        <f t="shared" si="2"/>
        <v/>
      </c>
      <c r="K169" s="135" t="str">
        <f>'Закупка'!T169</f>
        <v/>
      </c>
      <c r="L169" s="136" t="str">
        <f>'Закупка'!U169</f>
        <v/>
      </c>
      <c r="M169" s="137" t="str">
        <f>'Закупка'!V169</f>
        <v/>
      </c>
    </row>
    <row r="170" ht="45.0" customHeight="1">
      <c r="A170" s="126" t="str">
        <f>'Закупка'!A170</f>
        <v/>
      </c>
      <c r="B170" s="127" t="str">
        <f>'Закупка'!B170</f>
        <v/>
      </c>
      <c r="C170" s="128" t="str">
        <f>'Закупка'!R170</f>
        <v/>
      </c>
      <c r="D170" s="129" t="str">
        <f t="array" ref="D170">INDEX('Закупка'!G170:K170, $A$2)</f>
        <v/>
      </c>
      <c r="E170" s="130" t="str">
        <f>'Закупка'!F170</f>
        <v/>
      </c>
      <c r="F170" s="131" t="str">
        <f t="shared" si="1"/>
        <v/>
      </c>
      <c r="G170" s="132"/>
      <c r="H170" s="133"/>
      <c r="I170" s="134"/>
      <c r="J170" s="131" t="str">
        <f t="shared" si="2"/>
        <v/>
      </c>
      <c r="K170" s="135" t="str">
        <f>'Закупка'!T170</f>
        <v/>
      </c>
      <c r="L170" s="136" t="str">
        <f>'Закупка'!U170</f>
        <v/>
      </c>
      <c r="M170" s="137" t="str">
        <f>'Закупка'!V170</f>
        <v/>
      </c>
    </row>
    <row r="171" ht="45.0" customHeight="1">
      <c r="A171" s="126" t="str">
        <f>'Закупка'!A171</f>
        <v/>
      </c>
      <c r="B171" s="127" t="str">
        <f>'Закупка'!B171</f>
        <v/>
      </c>
      <c r="C171" s="128" t="str">
        <f>'Закупка'!R171</f>
        <v/>
      </c>
      <c r="D171" s="129" t="str">
        <f t="array" ref="D171">INDEX('Закупка'!G171:K171, $A$2)</f>
        <v/>
      </c>
      <c r="E171" s="130" t="str">
        <f>'Закупка'!F171</f>
        <v/>
      </c>
      <c r="F171" s="131" t="str">
        <f t="shared" si="1"/>
        <v/>
      </c>
      <c r="G171" s="132"/>
      <c r="H171" s="133"/>
      <c r="I171" s="134"/>
      <c r="J171" s="131" t="str">
        <f t="shared" si="2"/>
        <v/>
      </c>
      <c r="K171" s="135" t="str">
        <f>'Закупка'!T171</f>
        <v/>
      </c>
      <c r="L171" s="136" t="str">
        <f>'Закупка'!U171</f>
        <v/>
      </c>
      <c r="M171" s="137" t="str">
        <f>'Закупка'!V171</f>
        <v/>
      </c>
    </row>
    <row r="172" ht="45.0" customHeight="1">
      <c r="A172" s="126" t="str">
        <f>'Закупка'!A172</f>
        <v/>
      </c>
      <c r="B172" s="127" t="str">
        <f>'Закупка'!B172</f>
        <v/>
      </c>
      <c r="C172" s="128" t="str">
        <f>'Закупка'!R172</f>
        <v/>
      </c>
      <c r="D172" s="129" t="str">
        <f t="array" ref="D172">INDEX('Закупка'!G172:K172, $A$2)</f>
        <v/>
      </c>
      <c r="E172" s="130" t="str">
        <f>'Закупка'!F172</f>
        <v/>
      </c>
      <c r="F172" s="131" t="str">
        <f t="shared" si="1"/>
        <v/>
      </c>
      <c r="G172" s="132"/>
      <c r="H172" s="133"/>
      <c r="I172" s="134"/>
      <c r="J172" s="131" t="str">
        <f t="shared" si="2"/>
        <v/>
      </c>
      <c r="K172" s="135" t="str">
        <f>'Закупка'!T172</f>
        <v/>
      </c>
      <c r="L172" s="136" t="str">
        <f>'Закупка'!U172</f>
        <v/>
      </c>
      <c r="M172" s="137" t="str">
        <f>'Закупка'!V172</f>
        <v/>
      </c>
    </row>
    <row r="173" ht="45.0" customHeight="1">
      <c r="A173" s="126" t="str">
        <f>'Закупка'!A173</f>
        <v/>
      </c>
      <c r="B173" s="127" t="str">
        <f>'Закупка'!B173</f>
        <v/>
      </c>
      <c r="C173" s="128" t="str">
        <f>'Закупка'!R173</f>
        <v/>
      </c>
      <c r="D173" s="129" t="str">
        <f t="array" ref="D173">INDEX('Закупка'!G173:K173, $A$2)</f>
        <v/>
      </c>
      <c r="E173" s="130" t="str">
        <f>'Закупка'!F173</f>
        <v/>
      </c>
      <c r="F173" s="131" t="str">
        <f t="shared" si="1"/>
        <v/>
      </c>
      <c r="G173" s="132"/>
      <c r="H173" s="133"/>
      <c r="I173" s="134"/>
      <c r="J173" s="131" t="str">
        <f t="shared" si="2"/>
        <v/>
      </c>
      <c r="K173" s="135" t="str">
        <f>'Закупка'!T173</f>
        <v/>
      </c>
      <c r="L173" s="136" t="str">
        <f>'Закупка'!U173</f>
        <v/>
      </c>
      <c r="M173" s="137" t="str">
        <f>'Закупка'!V173</f>
        <v/>
      </c>
    </row>
    <row r="174" ht="45.0" customHeight="1">
      <c r="A174" s="126" t="str">
        <f>'Закупка'!A174</f>
        <v/>
      </c>
      <c r="B174" s="127" t="str">
        <f>'Закупка'!B174</f>
        <v/>
      </c>
      <c r="C174" s="128" t="str">
        <f>'Закупка'!R174</f>
        <v/>
      </c>
      <c r="D174" s="129" t="str">
        <f t="array" ref="D174">INDEX('Закупка'!G174:K174, $A$2)</f>
        <v/>
      </c>
      <c r="E174" s="130" t="str">
        <f>'Закупка'!F174</f>
        <v/>
      </c>
      <c r="F174" s="131" t="str">
        <f t="shared" si="1"/>
        <v/>
      </c>
      <c r="G174" s="132"/>
      <c r="H174" s="133"/>
      <c r="I174" s="134"/>
      <c r="J174" s="131" t="str">
        <f t="shared" si="2"/>
        <v/>
      </c>
      <c r="K174" s="135" t="str">
        <f>'Закупка'!T174</f>
        <v/>
      </c>
      <c r="L174" s="136" t="str">
        <f>'Закупка'!U174</f>
        <v/>
      </c>
      <c r="M174" s="137" t="str">
        <f>'Закупка'!V174</f>
        <v/>
      </c>
    </row>
    <row r="175" ht="45.0" customHeight="1">
      <c r="A175" s="126" t="str">
        <f>'Закупка'!A175</f>
        <v/>
      </c>
      <c r="B175" s="127" t="str">
        <f>'Закупка'!B175</f>
        <v/>
      </c>
      <c r="C175" s="128" t="str">
        <f>'Закупка'!R175</f>
        <v/>
      </c>
      <c r="D175" s="129" t="str">
        <f t="array" ref="D175">INDEX('Закупка'!G175:K175, $A$2)</f>
        <v/>
      </c>
      <c r="E175" s="130" t="str">
        <f>'Закупка'!F175</f>
        <v/>
      </c>
      <c r="F175" s="131" t="str">
        <f t="shared" si="1"/>
        <v/>
      </c>
      <c r="G175" s="132"/>
      <c r="H175" s="133"/>
      <c r="I175" s="134"/>
      <c r="J175" s="131" t="str">
        <f t="shared" si="2"/>
        <v/>
      </c>
      <c r="K175" s="135" t="str">
        <f>'Закупка'!T175</f>
        <v/>
      </c>
      <c r="L175" s="136" t="str">
        <f>'Закупка'!U175</f>
        <v/>
      </c>
      <c r="M175" s="137" t="str">
        <f>'Закупка'!V175</f>
        <v/>
      </c>
    </row>
    <row r="176" ht="45.0" customHeight="1">
      <c r="A176" s="126" t="str">
        <f>'Закупка'!A176</f>
        <v/>
      </c>
      <c r="B176" s="127" t="str">
        <f>'Закупка'!B176</f>
        <v/>
      </c>
      <c r="C176" s="128" t="str">
        <f>'Закупка'!R176</f>
        <v/>
      </c>
      <c r="D176" s="129" t="str">
        <f t="array" ref="D176">INDEX('Закупка'!G176:K176, $A$2)</f>
        <v/>
      </c>
      <c r="E176" s="130" t="str">
        <f>'Закупка'!F176</f>
        <v/>
      </c>
      <c r="F176" s="131" t="str">
        <f t="shared" si="1"/>
        <v/>
      </c>
      <c r="G176" s="132"/>
      <c r="H176" s="133"/>
      <c r="I176" s="134"/>
      <c r="J176" s="131" t="str">
        <f t="shared" si="2"/>
        <v/>
      </c>
      <c r="K176" s="135" t="str">
        <f>'Закупка'!T176</f>
        <v/>
      </c>
      <c r="L176" s="136" t="str">
        <f>'Закупка'!U176</f>
        <v/>
      </c>
      <c r="M176" s="137" t="str">
        <f>'Закупка'!V176</f>
        <v/>
      </c>
    </row>
    <row r="177" ht="45.0" customHeight="1">
      <c r="A177" s="126" t="str">
        <f>'Закупка'!A177</f>
        <v/>
      </c>
      <c r="B177" s="127" t="str">
        <f>'Закупка'!B177</f>
        <v/>
      </c>
      <c r="C177" s="128" t="str">
        <f>'Закупка'!R177</f>
        <v/>
      </c>
      <c r="D177" s="129" t="str">
        <f t="array" ref="D177">INDEX('Закупка'!G177:K177, $A$2)</f>
        <v/>
      </c>
      <c r="E177" s="130" t="str">
        <f>'Закупка'!F177</f>
        <v/>
      </c>
      <c r="F177" s="131" t="str">
        <f t="shared" si="1"/>
        <v/>
      </c>
      <c r="G177" s="132"/>
      <c r="H177" s="133"/>
      <c r="I177" s="134"/>
      <c r="J177" s="131" t="str">
        <f t="shared" si="2"/>
        <v/>
      </c>
      <c r="K177" s="135" t="str">
        <f>'Закупка'!T177</f>
        <v/>
      </c>
      <c r="L177" s="136" t="str">
        <f>'Закупка'!U177</f>
        <v/>
      </c>
      <c r="M177" s="137" t="str">
        <f>'Закупка'!V177</f>
        <v/>
      </c>
    </row>
    <row r="178" ht="45.0" customHeight="1">
      <c r="A178" s="126" t="str">
        <f>'Закупка'!A178</f>
        <v/>
      </c>
      <c r="B178" s="127" t="str">
        <f>'Закупка'!B178</f>
        <v/>
      </c>
      <c r="C178" s="128" t="str">
        <f>'Закупка'!R178</f>
        <v/>
      </c>
      <c r="D178" s="129" t="str">
        <f t="array" ref="D178">INDEX('Закупка'!G178:K178, $A$2)</f>
        <v/>
      </c>
      <c r="E178" s="130" t="str">
        <f>'Закупка'!F178</f>
        <v/>
      </c>
      <c r="F178" s="131" t="str">
        <f t="shared" si="1"/>
        <v/>
      </c>
      <c r="G178" s="132"/>
      <c r="H178" s="133"/>
      <c r="I178" s="134"/>
      <c r="J178" s="131" t="str">
        <f t="shared" si="2"/>
        <v/>
      </c>
      <c r="K178" s="135" t="str">
        <f>'Закупка'!T178</f>
        <v/>
      </c>
      <c r="L178" s="136" t="str">
        <f>'Закупка'!U178</f>
        <v/>
      </c>
      <c r="M178" s="137" t="str">
        <f>'Закупка'!V178</f>
        <v/>
      </c>
    </row>
    <row r="179" ht="45.0" customHeight="1">
      <c r="A179" s="126" t="str">
        <f>'Закупка'!A179</f>
        <v/>
      </c>
      <c r="B179" s="127" t="str">
        <f>'Закупка'!B179</f>
        <v/>
      </c>
      <c r="C179" s="128" t="str">
        <f>'Закупка'!R179</f>
        <v/>
      </c>
      <c r="D179" s="129" t="str">
        <f t="array" ref="D179">INDEX('Закупка'!G179:K179, $A$2)</f>
        <v/>
      </c>
      <c r="E179" s="130" t="str">
        <f>'Закупка'!F179</f>
        <v/>
      </c>
      <c r="F179" s="131" t="str">
        <f t="shared" si="1"/>
        <v/>
      </c>
      <c r="G179" s="132"/>
      <c r="H179" s="133"/>
      <c r="I179" s="134"/>
      <c r="J179" s="131" t="str">
        <f t="shared" si="2"/>
        <v/>
      </c>
      <c r="K179" s="135" t="str">
        <f>'Закупка'!T179</f>
        <v/>
      </c>
      <c r="L179" s="136" t="str">
        <f>'Закупка'!U179</f>
        <v/>
      </c>
      <c r="M179" s="137" t="str">
        <f>'Закупка'!V179</f>
        <v/>
      </c>
    </row>
    <row r="180" ht="45.0" customHeight="1">
      <c r="A180" s="126" t="str">
        <f>'Закупка'!A180</f>
        <v/>
      </c>
      <c r="B180" s="127" t="str">
        <f>'Закупка'!B180</f>
        <v/>
      </c>
      <c r="C180" s="128" t="str">
        <f>'Закупка'!R180</f>
        <v/>
      </c>
      <c r="D180" s="129" t="str">
        <f t="array" ref="D180">INDEX('Закупка'!G180:K180, $A$2)</f>
        <v/>
      </c>
      <c r="E180" s="130" t="str">
        <f>'Закупка'!F180</f>
        <v/>
      </c>
      <c r="F180" s="131" t="str">
        <f t="shared" si="1"/>
        <v/>
      </c>
      <c r="G180" s="132"/>
      <c r="H180" s="133"/>
      <c r="I180" s="134"/>
      <c r="J180" s="131" t="str">
        <f t="shared" si="2"/>
        <v/>
      </c>
      <c r="K180" s="135" t="str">
        <f>'Закупка'!T180</f>
        <v/>
      </c>
      <c r="L180" s="136" t="str">
        <f>'Закупка'!U180</f>
        <v/>
      </c>
      <c r="M180" s="137" t="str">
        <f>'Закупка'!V180</f>
        <v/>
      </c>
    </row>
    <row r="181" ht="45.0" customHeight="1">
      <c r="A181" s="126" t="str">
        <f>'Закупка'!A181</f>
        <v/>
      </c>
      <c r="B181" s="127" t="str">
        <f>'Закупка'!B181</f>
        <v/>
      </c>
      <c r="C181" s="128" t="str">
        <f>'Закупка'!R181</f>
        <v/>
      </c>
      <c r="D181" s="129" t="str">
        <f t="array" ref="D181">INDEX('Закупка'!G181:K181, $A$2)</f>
        <v/>
      </c>
      <c r="E181" s="130" t="str">
        <f>'Закупка'!F181</f>
        <v/>
      </c>
      <c r="F181" s="131" t="str">
        <f t="shared" si="1"/>
        <v/>
      </c>
      <c r="G181" s="132"/>
      <c r="H181" s="133"/>
      <c r="I181" s="134"/>
      <c r="J181" s="131" t="str">
        <f t="shared" si="2"/>
        <v/>
      </c>
      <c r="K181" s="135" t="str">
        <f>'Закупка'!T181</f>
        <v/>
      </c>
      <c r="L181" s="136" t="str">
        <f>'Закупка'!U181</f>
        <v/>
      </c>
      <c r="M181" s="137" t="str">
        <f>'Закупка'!V181</f>
        <v/>
      </c>
    </row>
    <row r="182" ht="45.0" customHeight="1">
      <c r="A182" s="126" t="str">
        <f>'Закупка'!A182</f>
        <v/>
      </c>
      <c r="B182" s="127" t="str">
        <f>'Закупка'!B182</f>
        <v/>
      </c>
      <c r="C182" s="128" t="str">
        <f>'Закупка'!R182</f>
        <v/>
      </c>
      <c r="D182" s="129" t="str">
        <f t="array" ref="D182">INDEX('Закупка'!G182:K182, $A$2)</f>
        <v/>
      </c>
      <c r="E182" s="130" t="str">
        <f>'Закупка'!F182</f>
        <v/>
      </c>
      <c r="F182" s="131" t="str">
        <f t="shared" si="1"/>
        <v/>
      </c>
      <c r="G182" s="132"/>
      <c r="H182" s="133"/>
      <c r="I182" s="134"/>
      <c r="J182" s="131" t="str">
        <f t="shared" si="2"/>
        <v/>
      </c>
      <c r="K182" s="135" t="str">
        <f>'Закупка'!T182</f>
        <v/>
      </c>
      <c r="L182" s="136" t="str">
        <f>'Закупка'!U182</f>
        <v/>
      </c>
      <c r="M182" s="137" t="str">
        <f>'Закупка'!V182</f>
        <v/>
      </c>
    </row>
    <row r="183" ht="45.0" customHeight="1">
      <c r="A183" s="126" t="str">
        <f>'Закупка'!A183</f>
        <v/>
      </c>
      <c r="B183" s="127" t="str">
        <f>'Закупка'!B183</f>
        <v/>
      </c>
      <c r="C183" s="128" t="str">
        <f>'Закупка'!R183</f>
        <v/>
      </c>
      <c r="D183" s="129" t="str">
        <f t="array" ref="D183">INDEX('Закупка'!G183:K183, $A$2)</f>
        <v/>
      </c>
      <c r="E183" s="130" t="str">
        <f>'Закупка'!F183</f>
        <v/>
      </c>
      <c r="F183" s="131" t="str">
        <f t="shared" si="1"/>
        <v/>
      </c>
      <c r="G183" s="132"/>
      <c r="H183" s="133"/>
      <c r="I183" s="134"/>
      <c r="J183" s="131" t="str">
        <f t="shared" si="2"/>
        <v/>
      </c>
      <c r="K183" s="135" t="str">
        <f>'Закупка'!T183</f>
        <v/>
      </c>
      <c r="L183" s="136" t="str">
        <f>'Закупка'!U183</f>
        <v/>
      </c>
      <c r="M183" s="137" t="str">
        <f>'Закупка'!V183</f>
        <v/>
      </c>
    </row>
    <row r="184" ht="45.0" customHeight="1">
      <c r="A184" s="126" t="str">
        <f>'Закупка'!A184</f>
        <v/>
      </c>
      <c r="B184" s="127" t="str">
        <f>'Закупка'!B184</f>
        <v/>
      </c>
      <c r="C184" s="128" t="str">
        <f>'Закупка'!R184</f>
        <v/>
      </c>
      <c r="D184" s="129" t="str">
        <f t="array" ref="D184">INDEX('Закупка'!G184:K184, $A$2)</f>
        <v/>
      </c>
      <c r="E184" s="130" t="str">
        <f>'Закупка'!F184</f>
        <v/>
      </c>
      <c r="F184" s="131" t="str">
        <f t="shared" si="1"/>
        <v/>
      </c>
      <c r="G184" s="132"/>
      <c r="H184" s="133"/>
      <c r="I184" s="134"/>
      <c r="J184" s="131" t="str">
        <f t="shared" si="2"/>
        <v/>
      </c>
      <c r="K184" s="135" t="str">
        <f>'Закупка'!T184</f>
        <v/>
      </c>
      <c r="L184" s="136" t="str">
        <f>'Закупка'!U184</f>
        <v/>
      </c>
      <c r="M184" s="137" t="str">
        <f>'Закупка'!V184</f>
        <v/>
      </c>
    </row>
    <row r="185" ht="45.0" customHeight="1">
      <c r="A185" s="126" t="str">
        <f>'Закупка'!A185</f>
        <v/>
      </c>
      <c r="B185" s="127" t="str">
        <f>'Закупка'!B185</f>
        <v/>
      </c>
      <c r="C185" s="128" t="str">
        <f>'Закупка'!R185</f>
        <v/>
      </c>
      <c r="D185" s="129" t="str">
        <f t="array" ref="D185">INDEX('Закупка'!G185:K185, $A$2)</f>
        <v/>
      </c>
      <c r="E185" s="130" t="str">
        <f>'Закупка'!F185</f>
        <v/>
      </c>
      <c r="F185" s="131" t="str">
        <f t="shared" si="1"/>
        <v/>
      </c>
      <c r="G185" s="132"/>
      <c r="H185" s="133"/>
      <c r="I185" s="134"/>
      <c r="J185" s="131" t="str">
        <f t="shared" si="2"/>
        <v/>
      </c>
      <c r="K185" s="135" t="str">
        <f>'Закупка'!T185</f>
        <v/>
      </c>
      <c r="L185" s="136" t="str">
        <f>'Закупка'!U185</f>
        <v/>
      </c>
      <c r="M185" s="137" t="str">
        <f>'Закупка'!V185</f>
        <v/>
      </c>
    </row>
    <row r="186" ht="45.0" customHeight="1">
      <c r="A186" s="126" t="str">
        <f>'Закупка'!A186</f>
        <v/>
      </c>
      <c r="B186" s="127" t="str">
        <f>'Закупка'!B186</f>
        <v/>
      </c>
      <c r="C186" s="128" t="str">
        <f>'Закупка'!R186</f>
        <v/>
      </c>
      <c r="D186" s="129" t="str">
        <f t="array" ref="D186">INDEX('Закупка'!G186:K186, $A$2)</f>
        <v/>
      </c>
      <c r="E186" s="130" t="str">
        <f>'Закупка'!F186</f>
        <v/>
      </c>
      <c r="F186" s="131" t="str">
        <f t="shared" si="1"/>
        <v/>
      </c>
      <c r="G186" s="132"/>
      <c r="H186" s="133"/>
      <c r="I186" s="134"/>
      <c r="J186" s="131" t="str">
        <f t="shared" si="2"/>
        <v/>
      </c>
      <c r="K186" s="135" t="str">
        <f>'Закупка'!T186</f>
        <v/>
      </c>
      <c r="L186" s="136" t="str">
        <f>'Закупка'!U186</f>
        <v/>
      </c>
      <c r="M186" s="137" t="str">
        <f>'Закупка'!V186</f>
        <v/>
      </c>
    </row>
    <row r="187" ht="45.0" customHeight="1">
      <c r="A187" s="126" t="str">
        <f>'Закупка'!A187</f>
        <v/>
      </c>
      <c r="B187" s="127" t="str">
        <f>'Закупка'!B187</f>
        <v/>
      </c>
      <c r="C187" s="128" t="str">
        <f>'Закупка'!R187</f>
        <v/>
      </c>
      <c r="D187" s="129" t="str">
        <f t="array" ref="D187">INDEX('Закупка'!G187:K187, $A$2)</f>
        <v/>
      </c>
      <c r="E187" s="130" t="str">
        <f>'Закупка'!F187</f>
        <v/>
      </c>
      <c r="F187" s="131" t="str">
        <f t="shared" si="1"/>
        <v/>
      </c>
      <c r="G187" s="132"/>
      <c r="H187" s="133"/>
      <c r="I187" s="134"/>
      <c r="J187" s="131" t="str">
        <f t="shared" si="2"/>
        <v/>
      </c>
      <c r="K187" s="135" t="str">
        <f>'Закупка'!T187</f>
        <v/>
      </c>
      <c r="L187" s="136" t="str">
        <f>'Закупка'!U187</f>
        <v/>
      </c>
      <c r="M187" s="137" t="str">
        <f>'Закупка'!V187</f>
        <v/>
      </c>
    </row>
    <row r="188" ht="45.0" customHeight="1">
      <c r="A188" s="126" t="str">
        <f>'Закупка'!A188</f>
        <v/>
      </c>
      <c r="B188" s="127" t="str">
        <f>'Закупка'!B188</f>
        <v/>
      </c>
      <c r="C188" s="128" t="str">
        <f>'Закупка'!R188</f>
        <v/>
      </c>
      <c r="D188" s="129" t="str">
        <f t="array" ref="D188">INDEX('Закупка'!G188:K188, $A$2)</f>
        <v/>
      </c>
      <c r="E188" s="130" t="str">
        <f>'Закупка'!F188</f>
        <v/>
      </c>
      <c r="F188" s="131" t="str">
        <f t="shared" si="1"/>
        <v/>
      </c>
      <c r="G188" s="132"/>
      <c r="H188" s="133"/>
      <c r="I188" s="134"/>
      <c r="J188" s="131" t="str">
        <f t="shared" si="2"/>
        <v/>
      </c>
      <c r="K188" s="135" t="str">
        <f>'Закупка'!T188</f>
        <v/>
      </c>
      <c r="L188" s="136" t="str">
        <f>'Закупка'!U188</f>
        <v/>
      </c>
      <c r="M188" s="137" t="str">
        <f>'Закупка'!V188</f>
        <v/>
      </c>
    </row>
    <row r="189" ht="45.0" customHeight="1">
      <c r="A189" s="126" t="str">
        <f>'Закупка'!A189</f>
        <v/>
      </c>
      <c r="B189" s="127" t="str">
        <f>'Закупка'!B189</f>
        <v/>
      </c>
      <c r="C189" s="128" t="str">
        <f>'Закупка'!R189</f>
        <v/>
      </c>
      <c r="D189" s="129" t="str">
        <f t="array" ref="D189">INDEX('Закупка'!G189:K189, $A$2)</f>
        <v/>
      </c>
      <c r="E189" s="130" t="str">
        <f>'Закупка'!F189</f>
        <v/>
      </c>
      <c r="F189" s="131" t="str">
        <f t="shared" si="1"/>
        <v/>
      </c>
      <c r="G189" s="132"/>
      <c r="H189" s="133"/>
      <c r="I189" s="134"/>
      <c r="J189" s="131" t="str">
        <f t="shared" si="2"/>
        <v/>
      </c>
      <c r="K189" s="135" t="str">
        <f>'Закупка'!T189</f>
        <v/>
      </c>
      <c r="L189" s="136" t="str">
        <f>'Закупка'!U189</f>
        <v/>
      </c>
      <c r="M189" s="137" t="str">
        <f>'Закупка'!V189</f>
        <v/>
      </c>
    </row>
    <row r="190" ht="45.0" customHeight="1">
      <c r="A190" s="126" t="str">
        <f>'Закупка'!A190</f>
        <v/>
      </c>
      <c r="B190" s="127" t="str">
        <f>'Закупка'!B190</f>
        <v/>
      </c>
      <c r="C190" s="128" t="str">
        <f>'Закупка'!R190</f>
        <v/>
      </c>
      <c r="D190" s="129" t="str">
        <f t="array" ref="D190">INDEX('Закупка'!G190:K190, $A$2)</f>
        <v/>
      </c>
      <c r="E190" s="130" t="str">
        <f>'Закупка'!F190</f>
        <v/>
      </c>
      <c r="F190" s="131" t="str">
        <f t="shared" si="1"/>
        <v/>
      </c>
      <c r="G190" s="132"/>
      <c r="H190" s="133"/>
      <c r="I190" s="134"/>
      <c r="J190" s="131" t="str">
        <f t="shared" si="2"/>
        <v/>
      </c>
      <c r="K190" s="135" t="str">
        <f>'Закупка'!T190</f>
        <v/>
      </c>
      <c r="L190" s="136" t="str">
        <f>'Закупка'!U190</f>
        <v/>
      </c>
      <c r="M190" s="137" t="str">
        <f>'Закупка'!V190</f>
        <v/>
      </c>
    </row>
    <row r="191" ht="45.0" customHeight="1">
      <c r="A191" s="126" t="str">
        <f>'Закупка'!A191</f>
        <v/>
      </c>
      <c r="B191" s="127" t="str">
        <f>'Закупка'!B191</f>
        <v/>
      </c>
      <c r="C191" s="128" t="str">
        <f>'Закупка'!R191</f>
        <v/>
      </c>
      <c r="D191" s="129" t="str">
        <f t="array" ref="D191">INDEX('Закупка'!G191:K191, $A$2)</f>
        <v/>
      </c>
      <c r="E191" s="130" t="str">
        <f>'Закупка'!F191</f>
        <v/>
      </c>
      <c r="F191" s="131" t="str">
        <f t="shared" si="1"/>
        <v/>
      </c>
      <c r="G191" s="132"/>
      <c r="H191" s="133"/>
      <c r="I191" s="134"/>
      <c r="J191" s="131" t="str">
        <f t="shared" si="2"/>
        <v/>
      </c>
      <c r="K191" s="135" t="str">
        <f>'Закупка'!T191</f>
        <v/>
      </c>
      <c r="L191" s="136" t="str">
        <f>'Закупка'!U191</f>
        <v/>
      </c>
      <c r="M191" s="137" t="str">
        <f>'Закупка'!V191</f>
        <v/>
      </c>
    </row>
    <row r="192" ht="45.0" customHeight="1">
      <c r="A192" s="126" t="str">
        <f>'Закупка'!A192</f>
        <v/>
      </c>
      <c r="B192" s="127" t="str">
        <f>'Закупка'!B192</f>
        <v/>
      </c>
      <c r="C192" s="128" t="str">
        <f>'Закупка'!R192</f>
        <v/>
      </c>
      <c r="D192" s="129" t="str">
        <f t="array" ref="D192">INDEX('Закупка'!G192:K192, $A$2)</f>
        <v/>
      </c>
      <c r="E192" s="130" t="str">
        <f>'Закупка'!F192</f>
        <v/>
      </c>
      <c r="F192" s="131" t="str">
        <f t="shared" si="1"/>
        <v/>
      </c>
      <c r="G192" s="132"/>
      <c r="H192" s="133"/>
      <c r="I192" s="134"/>
      <c r="J192" s="131" t="str">
        <f t="shared" si="2"/>
        <v/>
      </c>
      <c r="K192" s="135" t="str">
        <f>'Закупка'!T192</f>
        <v/>
      </c>
      <c r="L192" s="136" t="str">
        <f>'Закупка'!U192</f>
        <v/>
      </c>
      <c r="M192" s="137" t="str">
        <f>'Закупка'!V192</f>
        <v/>
      </c>
    </row>
    <row r="193" ht="45.0" customHeight="1">
      <c r="A193" s="126" t="str">
        <f>'Закупка'!A193</f>
        <v/>
      </c>
      <c r="B193" s="127" t="str">
        <f>'Закупка'!B193</f>
        <v/>
      </c>
      <c r="C193" s="128" t="str">
        <f>'Закупка'!R193</f>
        <v/>
      </c>
      <c r="D193" s="129" t="str">
        <f t="array" ref="D193">INDEX('Закупка'!G193:K193, $A$2)</f>
        <v/>
      </c>
      <c r="E193" s="130" t="str">
        <f>'Закупка'!F193</f>
        <v/>
      </c>
      <c r="F193" s="131" t="str">
        <f t="shared" si="1"/>
        <v/>
      </c>
      <c r="G193" s="132"/>
      <c r="H193" s="133"/>
      <c r="I193" s="134"/>
      <c r="J193" s="131" t="str">
        <f t="shared" si="2"/>
        <v/>
      </c>
      <c r="K193" s="135" t="str">
        <f>'Закупка'!T193</f>
        <v/>
      </c>
      <c r="L193" s="136" t="str">
        <f>'Закупка'!U193</f>
        <v/>
      </c>
      <c r="M193" s="137" t="str">
        <f>'Закупка'!V193</f>
        <v/>
      </c>
    </row>
    <row r="194" ht="45.0" customHeight="1">
      <c r="A194" s="126" t="str">
        <f>'Закупка'!A194</f>
        <v/>
      </c>
      <c r="B194" s="127" t="str">
        <f>'Закупка'!B194</f>
        <v/>
      </c>
      <c r="C194" s="128" t="str">
        <f>'Закупка'!R194</f>
        <v/>
      </c>
      <c r="D194" s="129" t="str">
        <f t="array" ref="D194">INDEX('Закупка'!G194:K194, $A$2)</f>
        <v/>
      </c>
      <c r="E194" s="130" t="str">
        <f>'Закупка'!F194</f>
        <v/>
      </c>
      <c r="F194" s="131" t="str">
        <f t="shared" si="1"/>
        <v/>
      </c>
      <c r="G194" s="132"/>
      <c r="H194" s="133"/>
      <c r="I194" s="134"/>
      <c r="J194" s="131" t="str">
        <f t="shared" si="2"/>
        <v/>
      </c>
      <c r="K194" s="135" t="str">
        <f>'Закупка'!T194</f>
        <v/>
      </c>
      <c r="L194" s="136" t="str">
        <f>'Закупка'!U194</f>
        <v/>
      </c>
      <c r="M194" s="137" t="str">
        <f>'Закупка'!V194</f>
        <v/>
      </c>
    </row>
    <row r="195" ht="45.0" customHeight="1">
      <c r="A195" s="126" t="str">
        <f>'Закупка'!A195</f>
        <v/>
      </c>
      <c r="B195" s="127" t="str">
        <f>'Закупка'!B195</f>
        <v/>
      </c>
      <c r="C195" s="128" t="str">
        <f>'Закупка'!R195</f>
        <v/>
      </c>
      <c r="D195" s="129" t="str">
        <f t="array" ref="D195">INDEX('Закупка'!G195:K195, $A$2)</f>
        <v/>
      </c>
      <c r="E195" s="130" t="str">
        <f>'Закупка'!F195</f>
        <v/>
      </c>
      <c r="F195" s="131" t="str">
        <f t="shared" si="1"/>
        <v/>
      </c>
      <c r="G195" s="132"/>
      <c r="H195" s="133"/>
      <c r="I195" s="134"/>
      <c r="J195" s="131" t="str">
        <f t="shared" si="2"/>
        <v/>
      </c>
      <c r="K195" s="135" t="str">
        <f>'Закупка'!T195</f>
        <v/>
      </c>
      <c r="L195" s="136" t="str">
        <f>'Закупка'!U195</f>
        <v/>
      </c>
      <c r="M195" s="137" t="str">
        <f>'Закупка'!V195</f>
        <v/>
      </c>
    </row>
    <row r="196" ht="45.0" customHeight="1">
      <c r="A196" s="126" t="str">
        <f>'Закупка'!A196</f>
        <v/>
      </c>
      <c r="B196" s="127" t="str">
        <f>'Закупка'!B196</f>
        <v/>
      </c>
      <c r="C196" s="128" t="str">
        <f>'Закупка'!R196</f>
        <v/>
      </c>
      <c r="D196" s="129" t="str">
        <f t="array" ref="D196">INDEX('Закупка'!G196:K196, $A$2)</f>
        <v/>
      </c>
      <c r="E196" s="130" t="str">
        <f>'Закупка'!F196</f>
        <v/>
      </c>
      <c r="F196" s="131" t="str">
        <f t="shared" si="1"/>
        <v/>
      </c>
      <c r="G196" s="132"/>
      <c r="H196" s="133"/>
      <c r="I196" s="134"/>
      <c r="J196" s="131" t="str">
        <f t="shared" si="2"/>
        <v/>
      </c>
      <c r="K196" s="135" t="str">
        <f>'Закупка'!T196</f>
        <v/>
      </c>
      <c r="L196" s="136" t="str">
        <f>'Закупка'!U196</f>
        <v/>
      </c>
      <c r="M196" s="137" t="str">
        <f>'Закупка'!V196</f>
        <v/>
      </c>
    </row>
    <row r="197" ht="45.0" customHeight="1">
      <c r="A197" s="138" t="str">
        <f>'Закупка'!A197</f>
        <v/>
      </c>
      <c r="B197" s="127" t="str">
        <f>'Закупка'!B197</f>
        <v/>
      </c>
      <c r="C197" s="128" t="str">
        <f>'Закупка'!R197</f>
        <v/>
      </c>
      <c r="D197" s="129" t="str">
        <f t="array" ref="D197">INDEX('Закупка'!G197:K197, $A$2)</f>
        <v/>
      </c>
      <c r="E197" s="139" t="str">
        <f>'Закупка'!F197</f>
        <v/>
      </c>
      <c r="F197" s="131" t="str">
        <f t="shared" si="1"/>
        <v/>
      </c>
      <c r="G197" s="132"/>
      <c r="H197" s="133"/>
      <c r="I197" s="134"/>
      <c r="J197" s="131" t="str">
        <f t="shared" si="2"/>
        <v/>
      </c>
      <c r="K197" s="135" t="str">
        <f>'Закупка'!T197</f>
        <v/>
      </c>
      <c r="L197" s="136" t="str">
        <f>'Закупка'!U197</f>
        <v/>
      </c>
      <c r="M197" s="137" t="str">
        <f>'Закупка'!V197</f>
        <v/>
      </c>
    </row>
    <row r="198" ht="45.0" customHeight="1">
      <c r="A198" s="138" t="str">
        <f>'Закупка'!A198</f>
        <v/>
      </c>
      <c r="B198" s="127" t="str">
        <f>'Закупка'!B198</f>
        <v/>
      </c>
      <c r="C198" s="128" t="str">
        <f>'Закупка'!R198</f>
        <v/>
      </c>
      <c r="D198" s="129" t="str">
        <f t="array" ref="D198">INDEX('Закупка'!G198:K198, $A$2)</f>
        <v/>
      </c>
      <c r="E198" s="139" t="str">
        <f>'Закупка'!F198</f>
        <v/>
      </c>
      <c r="F198" s="131" t="str">
        <f t="shared" si="1"/>
        <v/>
      </c>
      <c r="G198" s="132"/>
      <c r="H198" s="133"/>
      <c r="I198" s="134"/>
      <c r="J198" s="131" t="str">
        <f t="shared" si="2"/>
        <v/>
      </c>
      <c r="K198" s="135" t="str">
        <f>'Закупка'!T198</f>
        <v/>
      </c>
      <c r="L198" s="136" t="str">
        <f>'Закупка'!U198</f>
        <v/>
      </c>
      <c r="M198" s="137" t="str">
        <f>'Закупка'!V198</f>
        <v/>
      </c>
    </row>
    <row r="199" ht="45.0" customHeight="1">
      <c r="A199" s="138" t="str">
        <f>'Закупка'!A199</f>
        <v/>
      </c>
      <c r="B199" s="127" t="str">
        <f>'Закупка'!B199</f>
        <v/>
      </c>
      <c r="C199" s="128" t="str">
        <f>'Закупка'!R199</f>
        <v/>
      </c>
      <c r="D199" s="129" t="str">
        <f t="array" ref="D199">INDEX('Закупка'!G199:K199, $A$2)</f>
        <v/>
      </c>
      <c r="E199" s="139" t="str">
        <f>'Закупка'!F199</f>
        <v/>
      </c>
      <c r="F199" s="131" t="str">
        <f t="shared" si="1"/>
        <v/>
      </c>
      <c r="G199" s="132"/>
      <c r="H199" s="133"/>
      <c r="I199" s="134"/>
      <c r="J199" s="131" t="str">
        <f t="shared" si="2"/>
        <v/>
      </c>
      <c r="K199" s="135" t="str">
        <f>'Закупка'!T199</f>
        <v/>
      </c>
      <c r="L199" s="136" t="str">
        <f>'Закупка'!U199</f>
        <v/>
      </c>
      <c r="M199" s="13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1" t="s">
        <v>7</v>
      </c>
      <c r="B1" s="111" t="str">
        <f>VLOOKUP(A1, Lookup!B:C, 2, FALSE)</f>
        <v>Augusta</v>
      </c>
      <c r="C1" s="112"/>
      <c r="D1" s="113" t="s">
        <v>174</v>
      </c>
      <c r="E1" s="114" t="str">
        <f>'Закупка'!F1</f>
        <v>внтури пачки штук?</v>
      </c>
      <c r="F1" s="113" t="s">
        <v>175</v>
      </c>
      <c r="G1" s="115" t="s">
        <v>176</v>
      </c>
      <c r="J1" s="113" t="s">
        <v>177</v>
      </c>
      <c r="K1" s="116"/>
      <c r="L1" s="141"/>
      <c r="M1" s="142"/>
    </row>
    <row r="2" ht="23.25" customHeight="1">
      <c r="A2" s="119">
        <f>MATCH(A1, 'Закупка'!G1:K1, 0)</f>
        <v>3</v>
      </c>
      <c r="B2" s="120">
        <f>'Закупка'!B2</f>
        <v>45845</v>
      </c>
      <c r="C2" s="121"/>
      <c r="G2" s="122" t="s">
        <v>183</v>
      </c>
      <c r="H2" s="122" t="s">
        <v>184</v>
      </c>
      <c r="I2" s="122" t="s">
        <v>180</v>
      </c>
      <c r="K2" s="123" t="str">
        <f>'Закупка'!T1</f>
        <v>Holded артикул</v>
      </c>
      <c r="L2" s="143" t="str">
        <f>'Закупка'!U1</f>
        <v>название с holded</v>
      </c>
      <c r="M2" s="125" t="str">
        <f>'Закупка'!V1</f>
        <v>codigo de fabricasion</v>
      </c>
    </row>
    <row r="3" ht="44.25" customHeight="1">
      <c r="A3" s="126" t="str">
        <f>'Закупка'!A3</f>
        <v/>
      </c>
      <c r="B3" s="127" t="str">
        <f>'Закупка'!B3</f>
        <v>Фактура 1</v>
      </c>
      <c r="C3" s="128" t="str">
        <f>'Закупка'!R3</f>
        <v/>
      </c>
      <c r="D3" s="129" t="str">
        <f t="array" ref="D3">INDEX('Закупка'!G3:K3, $A$2)</f>
        <v/>
      </c>
      <c r="E3" s="130" t="str">
        <f>'Закупка'!F3</f>
        <v/>
      </c>
      <c r="F3" s="131" t="str">
        <f t="shared" ref="F3:F199" si="1">IF(D3&lt;&gt;"",D3*E3,)</f>
        <v/>
      </c>
      <c r="G3" s="132"/>
      <c r="H3" s="133"/>
      <c r="I3" s="134"/>
      <c r="J3" s="131"/>
      <c r="K3" s="135" t="str">
        <f>'Закупка'!T3</f>
        <v/>
      </c>
      <c r="L3" s="144" t="str">
        <f>'Закупка'!U3</f>
        <v/>
      </c>
      <c r="M3" s="137" t="str">
        <f>'Закупка'!V3</f>
        <v/>
      </c>
    </row>
    <row r="4" ht="44.25" customHeight="1">
      <c r="A4" s="126" t="str">
        <f>'Закупка'!A4</f>
        <v>1.1</v>
      </c>
      <c r="B4" s="127" t="str">
        <f>'Закупка'!B4</f>
        <v>RANUNCULUS CLOONEY TUAREQ</v>
      </c>
      <c r="C4" s="128" t="str">
        <f>'Закупка'!R4</f>
        <v/>
      </c>
      <c r="D4" s="129" t="str">
        <f t="array" ref="D4">INDEX('Закупка'!G4:K4, $A$2)</f>
        <v/>
      </c>
      <c r="E4" s="130" t="str">
        <f>'Закупка'!F4</f>
        <v>10</v>
      </c>
      <c r="F4" s="131" t="str">
        <f t="shared" si="1"/>
        <v/>
      </c>
      <c r="G4" s="132"/>
      <c r="H4" s="133"/>
      <c r="I4" s="134"/>
      <c r="J4" s="131"/>
      <c r="K4" s="135">
        <f>'Закупка'!T4</f>
        <v>8400518</v>
      </c>
      <c r="L4" s="144" t="str">
        <f>'Закупка'!U4</f>
        <v>RANUNCULUS - Butterfly - flor</v>
      </c>
      <c r="M4" s="137" t="str">
        <f>'Закупка'!V4</f>
        <v> RANUBUBL, RANUBUSA, 174946, 147132, 126830</v>
      </c>
    </row>
    <row r="5" ht="44.25" customHeight="1">
      <c r="A5" s="126" t="str">
        <f>'Закупка'!A5</f>
        <v>1.2</v>
      </c>
      <c r="B5" s="127" t="str">
        <f>'Закупка'!B5</f>
        <v>RANUNCULUS CLOONEY GRAND PASTEL</v>
      </c>
      <c r="C5" s="128" t="str">
        <f>'Закупка'!R5</f>
        <v/>
      </c>
      <c r="D5" s="129" t="str">
        <f t="array" ref="D5">INDEX('Закупка'!G5:K5, $A$2)</f>
        <v/>
      </c>
      <c r="E5" s="130" t="str">
        <f>'Закупка'!F5</f>
        <v>10</v>
      </c>
      <c r="F5" s="131" t="str">
        <f t="shared" si="1"/>
        <v/>
      </c>
      <c r="G5" s="132"/>
      <c r="H5" s="133"/>
      <c r="I5" s="134"/>
      <c r="J5" s="131"/>
      <c r="K5" s="135">
        <f>'Закупка'!T5</f>
        <v>8400518</v>
      </c>
      <c r="L5" s="144" t="str">
        <f>'Закупка'!U5</f>
        <v>RANUNCULUS - Butterfly - flor</v>
      </c>
      <c r="M5" s="137" t="str">
        <f>'Закупка'!V5</f>
        <v> RANUBUBL, RANUBUSA, 174946, 147132, 126830</v>
      </c>
    </row>
    <row r="6" ht="44.25" customHeight="1">
      <c r="A6" s="126" t="str">
        <f>'Закупка'!A6</f>
        <v>1.3</v>
      </c>
      <c r="B6" s="127" t="str">
        <f>'Закупка'!B6</f>
        <v>ALSTROEMERIA SI SOFIENA</v>
      </c>
      <c r="C6" s="128" t="str">
        <f>'Закупка'!R6</f>
        <v/>
      </c>
      <c r="D6" s="129" t="str">
        <f t="array" ref="D6">INDEX('Закупка'!G6:K6, $A$2)</f>
        <v/>
      </c>
      <c r="E6" s="130" t="str">
        <f>'Закупка'!F6</f>
        <v>10</v>
      </c>
      <c r="F6" s="131" t="str">
        <f t="shared" si="1"/>
        <v/>
      </c>
      <c r="G6" s="132"/>
      <c r="H6" s="133"/>
      <c r="I6" s="134"/>
      <c r="J6" s="131"/>
      <c r="K6" s="135">
        <f>'Закупка'!T6</f>
        <v>8400154</v>
      </c>
      <c r="L6" s="144" t="str">
        <f>'Закупка'!U6</f>
        <v>ALSTROEMERIA - flor</v>
      </c>
      <c r="M6" s="137" t="str">
        <f>'Закупка'!V6</f>
        <v>00027, 11920, 146548, 148465, ALS VA, 148462, 148466, 11920, ALS-P, 137896, 137077, 137894, 148289, 148469, ALSTROEMERIES ALSTROEMERIA, ALSP, 11920</v>
      </c>
    </row>
    <row r="7" ht="44.25" customHeight="1">
      <c r="A7" s="126" t="str">
        <f>'Закупка'!A7</f>
        <v>1.4</v>
      </c>
      <c r="B7" s="127" t="str">
        <f>'Закупка'!B7</f>
        <v>ROSA LARGE BELLE ROSE</v>
      </c>
      <c r="C7" s="128" t="str">
        <f>'Закупка'!R7</f>
        <v/>
      </c>
      <c r="D7" s="129" t="str">
        <f t="array" ref="D7">INDEX('Закупка'!G7:K7, $A$2)</f>
        <v/>
      </c>
      <c r="E7" s="130" t="str">
        <f>'Закупка'!F7</f>
        <v>10</v>
      </c>
      <c r="F7" s="131" t="str">
        <f t="shared" si="1"/>
        <v/>
      </c>
      <c r="G7" s="132"/>
      <c r="H7" s="133"/>
      <c r="I7" s="134"/>
      <c r="J7" s="131"/>
      <c r="K7" s="135">
        <f>'Закупка'!T7</f>
        <v>8400731</v>
      </c>
      <c r="L7" s="144" t="str">
        <f>'Закупка'!U7</f>
        <v>RS ROSA LA BELLE LOLOMARIK - flor</v>
      </c>
      <c r="M7" s="137">
        <f>'Закупка'!V7</f>
        <v>181496</v>
      </c>
    </row>
    <row r="8" ht="44.25" customHeight="1">
      <c r="A8" s="126" t="str">
        <f>'Закупка'!A8</f>
        <v>1.5</v>
      </c>
      <c r="B8" s="127" t="str">
        <f>'Закупка'!B8</f>
        <v>ROSA GARDEN PRISCILLA!</v>
      </c>
      <c r="C8" s="128" t="str">
        <f>'Закупка'!R8</f>
        <v/>
      </c>
      <c r="D8" s="129" t="str">
        <f t="array" ref="D8">INDEX('Закупка'!G8:K8, $A$2)</f>
        <v/>
      </c>
      <c r="E8" s="130" t="str">
        <f>'Закупка'!F8</f>
        <v>5</v>
      </c>
      <c r="F8" s="131" t="str">
        <f t="shared" si="1"/>
        <v/>
      </c>
      <c r="G8" s="132"/>
      <c r="H8" s="133"/>
      <c r="I8" s="134"/>
      <c r="J8" s="131"/>
      <c r="K8" s="135">
        <f>'Закупка'!T8</f>
        <v>84001081</v>
      </c>
      <c r="L8" s="144" t="str">
        <f>'Закупка'!U8</f>
        <v>ROSA PRISCILLA - flor</v>
      </c>
      <c r="M8" s="137" t="str">
        <f>'Закупка'!V8</f>
        <v/>
      </c>
    </row>
    <row r="9" ht="44.25" customHeight="1">
      <c r="A9" s="126" t="str">
        <f>'Закупка'!A9</f>
        <v>1.6</v>
      </c>
      <c r="B9" s="127" t="str">
        <f>'Закупка'!B9</f>
        <v>ROSA GARDEN MIX UHURU</v>
      </c>
      <c r="C9" s="128" t="str">
        <f>'Закупка'!R9</f>
        <v/>
      </c>
      <c r="D9" s="129" t="str">
        <f t="array" ref="D9">INDEX('Закупка'!G9:K9, $A$2)</f>
        <v/>
      </c>
      <c r="E9" s="130" t="str">
        <f>'Закупка'!F9</f>
        <v>6</v>
      </c>
      <c r="F9" s="131" t="str">
        <f t="shared" si="1"/>
        <v/>
      </c>
      <c r="G9" s="132"/>
      <c r="H9" s="133"/>
      <c r="I9" s="134"/>
      <c r="J9" s="131"/>
      <c r="K9" s="135">
        <f>'Закупка'!T9</f>
        <v>84001157</v>
      </c>
      <c r="L9" s="144" t="str">
        <f>'Закупка'!U9</f>
        <v>RISA GARDAN MIX - flor/3</v>
      </c>
      <c r="M9" s="137" t="str">
        <f>'Закупка'!V9</f>
        <v/>
      </c>
    </row>
    <row r="10" ht="44.25" customHeight="1">
      <c r="A10" s="126" t="str">
        <f>'Закупка'!A10</f>
        <v>1.7</v>
      </c>
      <c r="B10" s="127" t="str">
        <f>'Закупка'!B10</f>
        <v>ROSA SPRAY CHIMO</v>
      </c>
      <c r="C10" s="128" t="str">
        <f>'Закупка'!R10</f>
        <v/>
      </c>
      <c r="D10" s="129" t="str">
        <f t="array" ref="D10">INDEX('Закупка'!G10:K10, $A$2)</f>
        <v/>
      </c>
      <c r="E10" s="130" t="str">
        <f>'Закупка'!F10</f>
        <v>10</v>
      </c>
      <c r="F10" s="131" t="str">
        <f t="shared" si="1"/>
        <v/>
      </c>
      <c r="G10" s="132"/>
      <c r="H10" s="133"/>
      <c r="I10" s="134"/>
      <c r="J10" s="131"/>
      <c r="K10" s="135">
        <f>'Закупка'!T10</f>
        <v>8400828</v>
      </c>
      <c r="L10" s="144" t="str">
        <f>'Закупка'!U10</f>
        <v>ROSA CHIMO - flor</v>
      </c>
      <c r="M10" s="137">
        <f>'Закупка'!V10</f>
        <v>135409</v>
      </c>
    </row>
    <row r="11" ht="44.25" customHeight="1">
      <c r="A11" s="126" t="str">
        <f>'Закупка'!A11</f>
        <v>1.8</v>
      </c>
      <c r="B11" s="127" t="str">
        <f>'Закупка'!B11</f>
        <v>ROSA SPRAY BIRDS NEST+</v>
      </c>
      <c r="C11" s="128" t="str">
        <f>'Закупка'!R11</f>
        <v/>
      </c>
      <c r="D11" s="129" t="str">
        <f t="array" ref="D11">INDEX('Закупка'!G11:K11, $A$2)</f>
        <v/>
      </c>
      <c r="E11" s="130" t="str">
        <f>'Закупка'!F11</f>
        <v>10</v>
      </c>
      <c r="F11" s="131" t="str">
        <f t="shared" si="1"/>
        <v/>
      </c>
      <c r="G11" s="132"/>
      <c r="H11" s="133"/>
      <c r="I11" s="134"/>
      <c r="J11" s="131"/>
      <c r="K11" s="135">
        <f>'Закупка'!T11</f>
        <v>84001078</v>
      </c>
      <c r="L11" s="144" t="str">
        <f>'Закупка'!U11</f>
        <v>ROSA BIRDS NEST - flor</v>
      </c>
      <c r="M11" s="137" t="str">
        <f>'Закупка'!V11</f>
        <v/>
      </c>
    </row>
    <row r="12" ht="44.25" customHeight="1">
      <c r="A12" s="126" t="str">
        <f>'Закупка'!A12</f>
        <v>1.9</v>
      </c>
      <c r="B12" s="127" t="str">
        <f>'Закупка'!B12</f>
        <v>ROSA LARGE CELEB</v>
      </c>
      <c r="C12" s="128" t="str">
        <f>'Закупка'!R12</f>
        <v/>
      </c>
      <c r="D12" s="129" t="str">
        <f t="array" ref="D12">INDEX('Закупка'!G12:K12, $A$2)</f>
        <v/>
      </c>
      <c r="E12" s="130" t="str">
        <f>'Закупка'!F12</f>
        <v>10</v>
      </c>
      <c r="F12" s="131" t="str">
        <f t="shared" si="1"/>
        <v/>
      </c>
      <c r="G12" s="132"/>
      <c r="H12" s="133"/>
      <c r="I12" s="134"/>
      <c r="J12" s="131"/>
      <c r="K12" s="135">
        <f>'Закупка'!T12</f>
        <v>84001044</v>
      </c>
      <c r="L12" s="144" t="str">
        <f>'Закупка'!U12</f>
        <v>ROSA CELEBRATING HEATHER - flor</v>
      </c>
      <c r="M12" s="137" t="str">
        <f>'Закупка'!V12</f>
        <v/>
      </c>
    </row>
    <row r="13" ht="44.25" customHeight="1">
      <c r="A13" s="126" t="str">
        <f>'Закупка'!A13</f>
        <v>1.10</v>
      </c>
      <c r="B13" s="127" t="str">
        <f>'Закупка'!B13</f>
        <v>ARR CACTUS</v>
      </c>
      <c r="C13" s="128" t="str">
        <f>'Закупка'!R13</f>
        <v/>
      </c>
      <c r="D13" s="129" t="str">
        <f t="array" ref="D13">INDEX('Закупка'!G13:K13, $A$2)</f>
        <v/>
      </c>
      <c r="E13" s="130" t="str">
        <f>'Закупка'!F13</f>
        <v>1</v>
      </c>
      <c r="F13" s="131" t="str">
        <f t="shared" si="1"/>
        <v/>
      </c>
      <c r="G13" s="132"/>
      <c r="H13" s="133"/>
      <c r="I13" s="134"/>
      <c r="J13" s="131"/>
      <c r="K13" s="135">
        <f>'Закупка'!T13</f>
        <v>8400594</v>
      </c>
      <c r="L13" s="144" t="str">
        <f>'Закупка'!U13</f>
        <v>CACTUS - planta/22</v>
      </c>
      <c r="M13" s="137" t="str">
        <f>'Закупка'!V13</f>
        <v>TEST 13 cactus</v>
      </c>
    </row>
    <row r="14" ht="44.25" customHeight="1">
      <c r="A14" s="126" t="str">
        <f>'Закупка'!A14</f>
        <v>1.11</v>
      </c>
      <c r="B14" s="127" t="str">
        <f>'Закупка'!B14</f>
        <v>ALOE ARBO</v>
      </c>
      <c r="C14" s="128" t="str">
        <f>'Закупка'!R14</f>
        <v/>
      </c>
      <c r="D14" s="129" t="str">
        <f t="array" ref="D14">INDEX('Закупка'!G14:K14, $A$2)</f>
        <v/>
      </c>
      <c r="E14" s="130" t="str">
        <f>'Закупка'!F14</f>
        <v>1</v>
      </c>
      <c r="F14" s="131" t="str">
        <f t="shared" si="1"/>
        <v/>
      </c>
      <c r="G14" s="132"/>
      <c r="H14" s="133"/>
      <c r="I14" s="134"/>
      <c r="J14" s="131"/>
      <c r="K14" s="135">
        <f>'Закупка'!T14</f>
        <v>84001156</v>
      </c>
      <c r="L14" s="144" t="str">
        <f>'Закупка'!U14</f>
        <v>ALOE ARBO - planta/67</v>
      </c>
      <c r="M14" s="137" t="str">
        <f>'Закупка'!V14</f>
        <v/>
      </c>
    </row>
    <row r="15" ht="44.25" customHeight="1">
      <c r="A15" s="126" t="str">
        <f>'Закупка'!A15</f>
        <v>1.12</v>
      </c>
      <c r="B15" s="127" t="str">
        <f>'Закупка'!B15</f>
        <v>ALOE ARBO</v>
      </c>
      <c r="C15" s="128" t="str">
        <f>'Закупка'!R15</f>
        <v/>
      </c>
      <c r="D15" s="129" t="str">
        <f t="array" ref="D15">INDEX('Закупка'!G15:K15, $A$2)</f>
        <v/>
      </c>
      <c r="E15" s="130" t="str">
        <f>'Закупка'!F15</f>
        <v>1</v>
      </c>
      <c r="F15" s="131" t="str">
        <f t="shared" si="1"/>
        <v/>
      </c>
      <c r="G15" s="132"/>
      <c r="H15" s="133"/>
      <c r="I15" s="134"/>
      <c r="J15" s="131"/>
      <c r="K15" s="135">
        <f>'Закупка'!T15</f>
        <v>84001155</v>
      </c>
      <c r="L15" s="144" t="str">
        <f>'Закупка'!U15</f>
        <v>ALOE ARBO - planta/47</v>
      </c>
      <c r="M15" s="137" t="str">
        <f>'Закупка'!V15</f>
        <v/>
      </c>
    </row>
    <row r="16" ht="44.25" customHeight="1">
      <c r="A16" s="126" t="str">
        <f>'Закупка'!A16</f>
        <v>1.13</v>
      </c>
      <c r="B16" s="127" t="str">
        <f>'Закупка'!B16</f>
        <v>ARR2 MB GROEN IJZER REK 1 BOL</v>
      </c>
      <c r="C16" s="128" t="str">
        <f>'Закупка'!R16</f>
        <v/>
      </c>
      <c r="D16" s="129" t="str">
        <f t="array" ref="D16">INDEX('Закупка'!G16:K16, $A$2)</f>
        <v/>
      </c>
      <c r="E16" s="130" t="str">
        <f>'Закупка'!F16</f>
        <v>1</v>
      </c>
      <c r="F16" s="131" t="str">
        <f t="shared" si="1"/>
        <v/>
      </c>
      <c r="G16" s="132"/>
      <c r="H16" s="133"/>
      <c r="I16" s="134"/>
      <c r="J16" s="131"/>
      <c r="K16" s="135">
        <f>'Закупка'!T16</f>
        <v>8400410</v>
      </c>
      <c r="L16" s="144" t="str">
        <f>'Закупка'!U16</f>
        <v>SUCCULENTUS T16, T22 - MIX - planta/22</v>
      </c>
      <c r="M16" s="137" t="str">
        <f>'Закупка'!V16</f>
        <v>6CRASA22, 54, CRASS16 </v>
      </c>
    </row>
    <row r="17" ht="44.25" customHeight="1">
      <c r="A17" s="126" t="str">
        <f>'Закупка'!A17</f>
        <v>1.14</v>
      </c>
      <c r="B17" s="127" t="str">
        <f>'Закупка'!B17</f>
        <v>ARR NARCISSUS TETE-A-TETE</v>
      </c>
      <c r="C17" s="128" t="str">
        <f>'Закупка'!R17</f>
        <v/>
      </c>
      <c r="D17" s="129" t="str">
        <f t="array" ref="D17">INDEX('Закупка'!G17:K17, $A$2)</f>
        <v/>
      </c>
      <c r="E17" s="130" t="str">
        <f>'Закупка'!F17</f>
        <v>1</v>
      </c>
      <c r="F17" s="131" t="str">
        <f t="shared" si="1"/>
        <v/>
      </c>
      <c r="G17" s="132"/>
      <c r="H17" s="133"/>
      <c r="I17" s="134"/>
      <c r="J17" s="131"/>
      <c r="K17" s="135">
        <f>'Закупка'!T17</f>
        <v>84001152</v>
      </c>
      <c r="L17" s="144" t="str">
        <f>'Закупка'!U17</f>
        <v>NARCISO TETE-A-TETE - composición/14</v>
      </c>
      <c r="M17" s="137" t="str">
        <f>'Закупка'!V17</f>
        <v/>
      </c>
    </row>
    <row r="18" ht="44.25" customHeight="1">
      <c r="A18" s="126" t="str">
        <f>'Закупка'!A18</f>
        <v>1.15</v>
      </c>
      <c r="B18" s="127" t="str">
        <f>'Закупка'!B18</f>
        <v>ARR NARCISSUS</v>
      </c>
      <c r="C18" s="128" t="str">
        <f>'Закупка'!R18</f>
        <v/>
      </c>
      <c r="D18" s="129" t="str">
        <f t="array" ref="D18">INDEX('Закупка'!G18:K18, $A$2)</f>
        <v/>
      </c>
      <c r="E18" s="130" t="str">
        <f>'Закупка'!F18</f>
        <v>1</v>
      </c>
      <c r="F18" s="131" t="str">
        <f t="shared" si="1"/>
        <v/>
      </c>
      <c r="G18" s="132"/>
      <c r="H18" s="133"/>
      <c r="I18" s="134"/>
      <c r="J18" s="131"/>
      <c r="K18" s="135">
        <f>'Закупка'!T18</f>
        <v>84001038</v>
      </c>
      <c r="L18" s="144" t="str">
        <f>'Закупка'!U18</f>
        <v>NARCIS MASCOTA - planta  /17</v>
      </c>
      <c r="M18" s="137" t="str">
        <f>'Закупка'!V18</f>
        <v/>
      </c>
    </row>
    <row r="19" ht="44.25" customHeight="1">
      <c r="A19" s="126" t="str">
        <f>'Закупка'!A19</f>
        <v>1.16</v>
      </c>
      <c r="B19" s="127" t="str">
        <f>'Закупка'!B19</f>
        <v>ARR2 PL KER BAROK DRACENA</v>
      </c>
      <c r="C19" s="128" t="str">
        <f>'Закупка'!R19</f>
        <v/>
      </c>
      <c r="D19" s="129" t="str">
        <f t="array" ref="D19">INDEX('Закупка'!G19:K19, $A$2)</f>
        <v/>
      </c>
      <c r="E19" s="130" t="str">
        <f>'Закупка'!F19</f>
        <v>1</v>
      </c>
      <c r="F19" s="131" t="str">
        <f t="shared" si="1"/>
        <v/>
      </c>
      <c r="G19" s="132"/>
      <c r="H19" s="133"/>
      <c r="I19" s="134"/>
      <c r="J19" s="131"/>
      <c r="K19" s="135">
        <f>'Закупка'!T19</f>
        <v>84001154</v>
      </c>
      <c r="L19" s="144" t="str">
        <f>'Закупка'!U19</f>
        <v>COMPOSITION DE DRECENA - planta/38</v>
      </c>
      <c r="M19" s="137" t="str">
        <f>'Закупка'!V19</f>
        <v/>
      </c>
    </row>
    <row r="20" ht="44.25" customHeight="1">
      <c r="A20" s="126" t="str">
        <f>'Закупка'!A20</f>
        <v>1.17</v>
      </c>
      <c r="B20" s="127" t="str">
        <f>'Закупка'!B20</f>
        <v>ARR2 PL KER BAROK DRACENA</v>
      </c>
      <c r="C20" s="128" t="str">
        <f>'Закупка'!R20</f>
        <v/>
      </c>
      <c r="D20" s="129" t="str">
        <f t="array" ref="D20">INDEX('Закупка'!G20:K20, $A$2)</f>
        <v/>
      </c>
      <c r="E20" s="130" t="str">
        <f>'Закупка'!F20</f>
        <v>1</v>
      </c>
      <c r="F20" s="131" t="str">
        <f t="shared" si="1"/>
        <v/>
      </c>
      <c r="G20" s="132"/>
      <c r="H20" s="133"/>
      <c r="I20" s="134"/>
      <c r="J20" s="131"/>
      <c r="K20" s="135">
        <f>'Закупка'!T20</f>
        <v>84001154</v>
      </c>
      <c r="L20" s="144" t="str">
        <f>'Закупка'!U20</f>
        <v>COMPOSITION DE DRECENA - planta/38</v>
      </c>
      <c r="M20" s="137" t="str">
        <f>'Закупка'!V20</f>
        <v/>
      </c>
    </row>
    <row r="21" ht="44.25" customHeight="1">
      <c r="A21" s="126" t="str">
        <f>'Закупка'!A21</f>
        <v>1.18</v>
      </c>
      <c r="B21" s="127" t="str">
        <f>'Закупка'!B21</f>
        <v>ARR2 PL GLAS CILINDER PHAL PAARS</v>
      </c>
      <c r="C21" s="128" t="str">
        <f>'Закупка'!R21</f>
        <v/>
      </c>
      <c r="D21" s="129" t="str">
        <f t="array" ref="D21">INDEX('Закупка'!G21:K21, $A$2)</f>
        <v/>
      </c>
      <c r="E21" s="130" t="str">
        <f>'Закупка'!F21</f>
        <v>1</v>
      </c>
      <c r="F21" s="131" t="str">
        <f t="shared" si="1"/>
        <v/>
      </c>
      <c r="G21" s="132"/>
      <c r="H21" s="133"/>
      <c r="I21" s="134"/>
      <c r="J21" s="131"/>
      <c r="K21" s="135">
        <f>'Закупка'!T21</f>
        <v>84001153</v>
      </c>
      <c r="L21" s="144" t="str">
        <f>'Закупка'!U21</f>
        <v>ARRANGEMENT DE PHALAENOPSIS - composición/56</v>
      </c>
      <c r="M21" s="137" t="str">
        <f>'Закупка'!V21</f>
        <v/>
      </c>
    </row>
    <row r="22" ht="44.25" customHeight="1">
      <c r="A22" s="126" t="str">
        <f>'Закупка'!A22</f>
        <v>1.19</v>
      </c>
      <c r="B22" s="127" t="str">
        <f>'Закупка'!B22</f>
        <v>CRASSULA OVATA</v>
      </c>
      <c r="C22" s="128" t="str">
        <f>'Закупка'!R22</f>
        <v/>
      </c>
      <c r="D22" s="129" t="str">
        <f t="array" ref="D22">INDEX('Закупка'!G22:K22, $A$2)</f>
        <v/>
      </c>
      <c r="E22" s="130" t="str">
        <f>'Закупка'!F22</f>
        <v>1</v>
      </c>
      <c r="F22" s="131" t="str">
        <f t="shared" si="1"/>
        <v/>
      </c>
      <c r="G22" s="132"/>
      <c r="H22" s="133"/>
      <c r="I22" s="134"/>
      <c r="J22" s="131"/>
      <c r="K22" s="135">
        <f>'Закупка'!T22</f>
        <v>8400365</v>
      </c>
      <c r="L22" s="144" t="str">
        <f>'Закупка'!U22</f>
        <v>ARBOL DE JADE T25 -planta/120</v>
      </c>
      <c r="M22" s="137" t="str">
        <f>'Закупка'!V22</f>
        <v> ARBOL DE JADE GRANDE  (Crassula Ovata) T-25</v>
      </c>
    </row>
    <row r="23" ht="44.25" customHeight="1">
      <c r="A23" s="126" t="str">
        <f>'Закупка'!A23</f>
        <v>1.20</v>
      </c>
      <c r="B23" s="127" t="str">
        <f>'Закупка'!B23</f>
        <v>CRASSULA OVATA</v>
      </c>
      <c r="C23" s="128" t="str">
        <f>'Закупка'!R23</f>
        <v/>
      </c>
      <c r="D23" s="129" t="str">
        <f t="array" ref="D23">INDEX('Закупка'!G23:K23, $A$2)</f>
        <v/>
      </c>
      <c r="E23" s="130" t="str">
        <f>'Закупка'!F23</f>
        <v>1</v>
      </c>
      <c r="F23" s="131" t="str">
        <f t="shared" si="1"/>
        <v/>
      </c>
      <c r="G23" s="132"/>
      <c r="H23" s="133"/>
      <c r="I23" s="134"/>
      <c r="J23" s="131"/>
      <c r="K23" s="135">
        <f>'Закупка'!T23</f>
        <v>8400365</v>
      </c>
      <c r="L23" s="144" t="str">
        <f>'Закупка'!U23</f>
        <v>ARBOL DE JADE T25 -planta/188</v>
      </c>
      <c r="M23" s="137" t="str">
        <f>'Закупка'!V23</f>
        <v> ARBOL DE JADE GRANDE  (Crassula Ovata) T-25</v>
      </c>
    </row>
    <row r="24" ht="44.25" customHeight="1">
      <c r="A24" s="126" t="str">
        <f>'Закупка'!A24</f>
        <v>1.21</v>
      </c>
      <c r="B24" s="127" t="str">
        <f>'Закупка'!B24</f>
        <v>CODIAEUM VARI MRS ICETON</v>
      </c>
      <c r="C24" s="128" t="str">
        <f>'Закупка'!R24</f>
        <v/>
      </c>
      <c r="D24" s="129" t="str">
        <f t="array" ref="D24">INDEX('Закупка'!G24:K24, $A$2)</f>
        <v/>
      </c>
      <c r="E24" s="130" t="str">
        <f>'Закупка'!F24</f>
        <v>1</v>
      </c>
      <c r="F24" s="131" t="str">
        <f t="shared" si="1"/>
        <v/>
      </c>
      <c r="G24" s="132"/>
      <c r="H24" s="133"/>
      <c r="I24" s="134"/>
      <c r="J24" s="131"/>
      <c r="K24" s="135">
        <f>'Закупка'!T24</f>
        <v>8400558</v>
      </c>
      <c r="L24" s="144" t="str">
        <f>'Закупка'!U24</f>
        <v>CROTON 50cm - Petra - planta/36</v>
      </c>
      <c r="M24" s="137" t="str">
        <f>'Закупка'!V24</f>
        <v>81945, CROMA20</v>
      </c>
    </row>
    <row r="25" ht="44.25" customHeight="1">
      <c r="A25" s="126" t="str">
        <f>'Закупка'!A25</f>
        <v>1.22</v>
      </c>
      <c r="B25" s="127" t="str">
        <f>'Закупка'!B25</f>
        <v>LAVANDULA STOE ANOUK</v>
      </c>
      <c r="C25" s="128" t="str">
        <f>'Закупка'!R25</f>
        <v/>
      </c>
      <c r="D25" s="129" t="str">
        <f t="array" ref="D25">INDEX('Закупка'!G25:K25, $A$2)</f>
        <v/>
      </c>
      <c r="E25" s="130" t="str">
        <f>'Закупка'!F25</f>
        <v>1</v>
      </c>
      <c r="F25" s="131" t="str">
        <f t="shared" si="1"/>
        <v/>
      </c>
      <c r="G25" s="132"/>
      <c r="H25" s="133"/>
      <c r="I25" s="134"/>
      <c r="J25" s="131"/>
      <c r="K25" s="135">
        <f>'Закупка'!T25</f>
        <v>8400357</v>
      </c>
      <c r="L25" s="144" t="str">
        <f>'Закупка'!U25</f>
        <v>LAVANDULA T13 - planta</v>
      </c>
      <c r="M25" s="137" t="str">
        <f>'Закупка'!V25</f>
        <v>LAV13 LAVANDULA T-13, 42454</v>
      </c>
    </row>
    <row r="26" ht="44.25" customHeight="1">
      <c r="A26" s="126" t="str">
        <f>'Закупка'!A26</f>
        <v>1.23</v>
      </c>
      <c r="B26" s="127" t="str">
        <f>'Закупка'!B26</f>
        <v>KALANCHOE LUCKY BELLS</v>
      </c>
      <c r="C26" s="128" t="str">
        <f>'Закупка'!R26</f>
        <v/>
      </c>
      <c r="D26" s="129" t="str">
        <f t="array" ref="D26">INDEX('Закупка'!G26:K26, $A$2)</f>
        <v/>
      </c>
      <c r="E26" s="130" t="str">
        <f>'Закупка'!F26</f>
        <v>1</v>
      </c>
      <c r="F26" s="131" t="str">
        <f t="shared" si="1"/>
        <v/>
      </c>
      <c r="G26" s="132"/>
      <c r="H26" s="133"/>
      <c r="I26" s="134"/>
      <c r="J26" s="131"/>
      <c r="K26" s="135">
        <f>'Закупка'!T26</f>
        <v>8400448</v>
      </c>
      <c r="L26" s="144" t="str">
        <f>'Закупка'!U26</f>
        <v>KALANCHOE T25 - Pumila - planta/18</v>
      </c>
      <c r="M26" s="137" t="str">
        <f>'Закупка'!V26</f>
        <v>KAL-P  KALANCHOE PUMILA T-25 planta, KCALT</v>
      </c>
    </row>
    <row r="27" ht="44.25" customHeight="1">
      <c r="A27" s="126" t="str">
        <f>'Закупка'!A27</f>
        <v>1.24</v>
      </c>
      <c r="B27" s="127" t="str">
        <f>'Закупка'!B27</f>
        <v>EUPHORBIA TRIGONA</v>
      </c>
      <c r="C27" s="128" t="str">
        <f>'Закупка'!R27</f>
        <v/>
      </c>
      <c r="D27" s="129" t="str">
        <f t="array" ref="D27">INDEX('Закупка'!G27:K27, $A$2)</f>
        <v/>
      </c>
      <c r="E27" s="130" t="str">
        <f>'Закупка'!F27</f>
        <v>1</v>
      </c>
      <c r="F27" s="131" t="str">
        <f t="shared" si="1"/>
        <v/>
      </c>
      <c r="G27" s="132"/>
      <c r="H27" s="133"/>
      <c r="I27" s="134"/>
      <c r="J27" s="131"/>
      <c r="K27" s="135">
        <f>'Закупка'!T27</f>
        <v>8400556</v>
      </c>
      <c r="L27" s="144" t="str">
        <f>'Закупка'!U27</f>
        <v>EUPHORBIA 30cm -Milii - planta/22</v>
      </c>
      <c r="M27" s="137" t="str">
        <f>'Закупка'!V27</f>
        <v>174581, EUV</v>
      </c>
    </row>
    <row r="28" ht="44.25" customHeight="1">
      <c r="A28" s="126" t="str">
        <f>'Закупка'!A28</f>
        <v>1.25</v>
      </c>
      <c r="B28" s="127" t="str">
        <f>'Закупка'!B28</f>
        <v>PTPB6537 ARRANGEMENTEN PASEN</v>
      </c>
      <c r="C28" s="128" t="str">
        <f>'Закупка'!R28</f>
        <v/>
      </c>
      <c r="D28" s="129" t="str">
        <f t="array" ref="D28">INDEX('Закупка'!G28:K28, $A$2)</f>
        <v/>
      </c>
      <c r="E28" s="130" t="str">
        <f>'Закупка'!F28</f>
        <v>1</v>
      </c>
      <c r="F28" s="131" t="str">
        <f t="shared" si="1"/>
        <v/>
      </c>
      <c r="G28" s="132"/>
      <c r="H28" s="133"/>
      <c r="I28" s="134"/>
      <c r="J28" s="131"/>
      <c r="K28" s="135">
        <f>'Закупка'!T28</f>
        <v>84001153</v>
      </c>
      <c r="L28" s="144" t="str">
        <f>'Закупка'!U28</f>
        <v>ARRANGEMENT DE PHALAENOPSIS - composición/56</v>
      </c>
      <c r="M28" s="137" t="str">
        <f>'Закупка'!V28</f>
        <v/>
      </c>
    </row>
    <row r="29" ht="44.25" customHeight="1">
      <c r="A29" s="126" t="str">
        <f>'Закупка'!A29</f>
        <v>1.26</v>
      </c>
      <c r="B29" s="127" t="str">
        <f>'Закупка'!B29</f>
        <v>PTPB6525 ARRANGEMENTEN PASEN</v>
      </c>
      <c r="C29" s="128" t="str">
        <f>'Закупка'!R29</f>
        <v/>
      </c>
      <c r="D29" s="129" t="str">
        <f t="array" ref="D29">INDEX('Закупка'!G29:K29, $A$2)</f>
        <v/>
      </c>
      <c r="E29" s="130" t="str">
        <f>'Закупка'!F29</f>
        <v>1</v>
      </c>
      <c r="F29" s="131" t="str">
        <f t="shared" si="1"/>
        <v/>
      </c>
      <c r="G29" s="132"/>
      <c r="H29" s="133"/>
      <c r="I29" s="134"/>
      <c r="J29" s="131"/>
      <c r="K29" s="135">
        <f>'Закупка'!T29</f>
        <v>84001153</v>
      </c>
      <c r="L29" s="144" t="str">
        <f>'Закупка'!U29</f>
        <v>ARRANGEMENT DE PHALAENOPSIS - composición/56</v>
      </c>
      <c r="M29" s="137" t="str">
        <f>'Закупка'!V29</f>
        <v/>
      </c>
    </row>
    <row r="30" ht="44.25" customHeight="1">
      <c r="A30" s="126" t="str">
        <f>'Закупка'!A30</f>
        <v>1.27</v>
      </c>
      <c r="B30" s="127" t="str">
        <f>'Закупка'!B30</f>
        <v>PHALAENOPSIS OTHER YELLOW</v>
      </c>
      <c r="C30" s="128" t="str">
        <f>'Закупка'!R30</f>
        <v/>
      </c>
      <c r="D30" s="129" t="str">
        <f t="array" ref="D30">INDEX('Закупка'!G30:K30, $A$2)</f>
        <v/>
      </c>
      <c r="E30" s="130" t="str">
        <f>'Закупка'!F30</f>
        <v>1</v>
      </c>
      <c r="F30" s="131" t="str">
        <f t="shared" si="1"/>
        <v/>
      </c>
      <c r="G30" s="132"/>
      <c r="H30" s="133"/>
      <c r="I30" s="134"/>
      <c r="J30" s="131"/>
      <c r="K30" s="135">
        <f>'Закупка'!T30</f>
        <v>8400391</v>
      </c>
      <c r="L30" s="144" t="str">
        <f>'Закупка'!U30</f>
        <v>PHALAENOPSIS MIX - planta/28</v>
      </c>
      <c r="M30" s="137" t="str">
        <f>'Закупка'!V30</f>
        <v>161202, 179376, 144102, 179304, 191963, 135419, 182797, 127000, 191284</v>
      </c>
    </row>
    <row r="31" ht="44.25" customHeight="1">
      <c r="A31" s="126" t="str">
        <f>'Закупка'!A31</f>
        <v>1.28</v>
      </c>
      <c r="B31" s="127" t="str">
        <f>'Закупка'!B31</f>
        <v>SUCCULENTEN OTHER</v>
      </c>
      <c r="C31" s="128" t="str">
        <f>'Закупка'!R31</f>
        <v/>
      </c>
      <c r="D31" s="129" t="str">
        <f t="array" ref="D31">INDEX('Закупка'!G31:K31, $A$2)</f>
        <v/>
      </c>
      <c r="E31" s="130" t="str">
        <f>'Закупка'!F31</f>
        <v>1</v>
      </c>
      <c r="F31" s="131" t="str">
        <f t="shared" si="1"/>
        <v/>
      </c>
      <c r="G31" s="132"/>
      <c r="H31" s="133"/>
      <c r="I31" s="134"/>
      <c r="J31" s="131"/>
      <c r="K31" s="135">
        <f>'Закупка'!T31</f>
        <v>8400591</v>
      </c>
      <c r="L31" s="144" t="str">
        <f>'Закупка'!U31</f>
        <v>SUCCULENTUS OTHER - planta/28</v>
      </c>
      <c r="M31" s="137" t="str">
        <f>'Закупка'!V31</f>
        <v>CRASSCI-9, AEON.012</v>
      </c>
    </row>
    <row r="32" ht="44.25" customHeight="1">
      <c r="A32" s="126" t="str">
        <f>'Закупка'!A32</f>
        <v>1.29</v>
      </c>
      <c r="B32" s="127" t="str">
        <f>'Закупка'!B32</f>
        <v>RHIPSALIS MIX</v>
      </c>
      <c r="C32" s="128" t="str">
        <f>'Закупка'!R32</f>
        <v/>
      </c>
      <c r="D32" s="129" t="str">
        <f t="array" ref="D32">INDEX('Закупка'!G32:K32, $A$2)</f>
        <v/>
      </c>
      <c r="E32" s="130" t="str">
        <f>'Закупка'!F32</f>
        <v>1</v>
      </c>
      <c r="F32" s="131" t="str">
        <f t="shared" si="1"/>
        <v/>
      </c>
      <c r="G32" s="132"/>
      <c r="H32" s="133"/>
      <c r="I32" s="134"/>
      <c r="J32" s="131"/>
      <c r="K32" s="135">
        <f>'Закупка'!T32</f>
        <v>8400895</v>
      </c>
      <c r="L32" s="144" t="str">
        <f>'Закупка'!U32</f>
        <v>RHIPSALIS MIX - T17 planta colganta</v>
      </c>
      <c r="M32" s="137">
        <f>'Закупка'!V32</f>
        <v>83612</v>
      </c>
    </row>
    <row r="33" ht="44.25" customHeight="1">
      <c r="A33" s="126" t="str">
        <f>'Закупка'!A33</f>
        <v/>
      </c>
      <c r="B33" s="127" t="str">
        <f>'Закупка'!B33</f>
        <v/>
      </c>
      <c r="C33" s="128" t="str">
        <f>'Закупка'!R33</f>
        <v/>
      </c>
      <c r="D33" s="129" t="str">
        <f t="array" ref="D33">INDEX('Закупка'!G33:K33, $A$2)</f>
        <v/>
      </c>
      <c r="E33" s="130" t="str">
        <f>'Закупка'!F33</f>
        <v/>
      </c>
      <c r="F33" s="131" t="str">
        <f t="shared" si="1"/>
        <v/>
      </c>
      <c r="G33" s="132"/>
      <c r="H33" s="133"/>
      <c r="I33" s="134"/>
      <c r="J33" s="131"/>
      <c r="K33" s="135" t="str">
        <f>'Закупка'!T33</f>
        <v/>
      </c>
      <c r="L33" s="144" t="str">
        <f>'Закупка'!U33</f>
        <v/>
      </c>
      <c r="M33" s="137" t="str">
        <f>'Закупка'!V33</f>
        <v/>
      </c>
    </row>
    <row r="34" ht="44.25" customHeight="1">
      <c r="A34" s="126" t="str">
        <f>'Закупка'!A34</f>
        <v/>
      </c>
      <c r="B34" s="127" t="str">
        <f>'Закупка'!B34</f>
        <v/>
      </c>
      <c r="C34" s="128" t="str">
        <f>'Закупка'!R34</f>
        <v/>
      </c>
      <c r="D34" s="129" t="str">
        <f t="array" ref="D34">INDEX('Закупка'!G34:K34, $A$2)</f>
        <v/>
      </c>
      <c r="E34" s="130" t="str">
        <f>'Закупка'!F34</f>
        <v/>
      </c>
      <c r="F34" s="131" t="str">
        <f t="shared" si="1"/>
        <v/>
      </c>
      <c r="G34" s="132"/>
      <c r="H34" s="133"/>
      <c r="I34" s="134"/>
      <c r="J34" s="131"/>
      <c r="K34" s="135" t="str">
        <f>'Закупка'!T34</f>
        <v/>
      </c>
      <c r="L34" s="144" t="str">
        <f>'Закупка'!U34</f>
        <v/>
      </c>
      <c r="M34" s="137" t="str">
        <f>'Закупка'!V34</f>
        <v/>
      </c>
    </row>
    <row r="35" ht="44.25" customHeight="1">
      <c r="A35" s="126" t="str">
        <f>'Закупка'!A35</f>
        <v/>
      </c>
      <c r="B35" s="127" t="str">
        <f>'Закупка'!B35</f>
        <v/>
      </c>
      <c r="C35" s="128" t="str">
        <f>'Закупка'!R35</f>
        <v/>
      </c>
      <c r="D35" s="129" t="str">
        <f t="array" ref="D35">INDEX('Закупка'!G35:K35, $A$2)</f>
        <v/>
      </c>
      <c r="E35" s="130" t="str">
        <f>'Закупка'!F35</f>
        <v/>
      </c>
      <c r="F35" s="131" t="str">
        <f t="shared" si="1"/>
        <v/>
      </c>
      <c r="G35" s="132"/>
      <c r="H35" s="133"/>
      <c r="I35" s="134"/>
      <c r="J35" s="131"/>
      <c r="K35" s="135" t="str">
        <f>'Закупка'!T35</f>
        <v/>
      </c>
      <c r="L35" s="144" t="str">
        <f>'Закупка'!U35</f>
        <v/>
      </c>
      <c r="M35" s="137" t="str">
        <f>'Закупка'!V35</f>
        <v/>
      </c>
    </row>
    <row r="36" ht="44.25" customHeight="1">
      <c r="A36" s="126" t="str">
        <f>'Закупка'!A36</f>
        <v/>
      </c>
      <c r="B36" s="127" t="str">
        <f>'Закупка'!B36</f>
        <v/>
      </c>
      <c r="C36" s="128" t="str">
        <f>'Закупка'!R36</f>
        <v/>
      </c>
      <c r="D36" s="129" t="str">
        <f t="array" ref="D36">INDEX('Закупка'!G36:K36, $A$2)</f>
        <v/>
      </c>
      <c r="E36" s="130" t="str">
        <f>'Закупка'!F36</f>
        <v/>
      </c>
      <c r="F36" s="131" t="str">
        <f t="shared" si="1"/>
        <v/>
      </c>
      <c r="G36" s="132"/>
      <c r="H36" s="133"/>
      <c r="I36" s="134"/>
      <c r="J36" s="131"/>
      <c r="K36" s="135" t="str">
        <f>'Закупка'!T36</f>
        <v/>
      </c>
      <c r="L36" s="144" t="str">
        <f>'Закупка'!U36</f>
        <v/>
      </c>
      <c r="M36" s="137" t="str">
        <f>'Закупка'!V36</f>
        <v/>
      </c>
    </row>
    <row r="37" ht="44.25" customHeight="1">
      <c r="A37" s="126" t="str">
        <f>'Закупка'!A37</f>
        <v/>
      </c>
      <c r="B37" s="127" t="str">
        <f>'Закупка'!B37</f>
        <v/>
      </c>
      <c r="C37" s="128" t="str">
        <f>'Закупка'!R37</f>
        <v/>
      </c>
      <c r="D37" s="129" t="str">
        <f t="array" ref="D37">INDEX('Закупка'!G37:K37, $A$2)</f>
        <v/>
      </c>
      <c r="E37" s="130" t="str">
        <f>'Закупка'!F37</f>
        <v/>
      </c>
      <c r="F37" s="131" t="str">
        <f t="shared" si="1"/>
        <v/>
      </c>
      <c r="G37" s="132"/>
      <c r="H37" s="133"/>
      <c r="I37" s="134"/>
      <c r="J37" s="131"/>
      <c r="K37" s="135" t="str">
        <f>'Закупка'!T37</f>
        <v/>
      </c>
      <c r="L37" s="144" t="str">
        <f>'Закупка'!U37</f>
        <v/>
      </c>
      <c r="M37" s="137" t="str">
        <f>'Закупка'!V37</f>
        <v/>
      </c>
    </row>
    <row r="38" ht="44.25" customHeight="1">
      <c r="A38" s="126" t="str">
        <f>'Закупка'!A38</f>
        <v/>
      </c>
      <c r="B38" s="127" t="str">
        <f>'Закупка'!B38</f>
        <v/>
      </c>
      <c r="C38" s="128" t="str">
        <f>'Закупка'!R38</f>
        <v/>
      </c>
      <c r="D38" s="129" t="str">
        <f t="array" ref="D38">INDEX('Закупка'!G38:K38, $A$2)</f>
        <v/>
      </c>
      <c r="E38" s="130" t="str">
        <f>'Закупка'!F38</f>
        <v/>
      </c>
      <c r="F38" s="131" t="str">
        <f t="shared" si="1"/>
        <v/>
      </c>
      <c r="G38" s="132"/>
      <c r="H38" s="133"/>
      <c r="I38" s="134"/>
      <c r="J38" s="131"/>
      <c r="K38" s="135" t="str">
        <f>'Закупка'!T38</f>
        <v/>
      </c>
      <c r="L38" s="144" t="str">
        <f>'Закупка'!U38</f>
        <v/>
      </c>
      <c r="M38" s="137" t="str">
        <f>'Закупка'!V38</f>
        <v/>
      </c>
    </row>
    <row r="39" ht="44.25" customHeight="1">
      <c r="A39" s="126" t="str">
        <f>'Закупка'!A39</f>
        <v/>
      </c>
      <c r="B39" s="127" t="str">
        <f>'Закупка'!B39</f>
        <v/>
      </c>
      <c r="C39" s="128" t="str">
        <f>'Закупка'!R39</f>
        <v/>
      </c>
      <c r="D39" s="129" t="str">
        <f t="array" ref="D39">INDEX('Закупка'!G39:K39, $A$2)</f>
        <v/>
      </c>
      <c r="E39" s="130" t="str">
        <f>'Закупка'!F39</f>
        <v/>
      </c>
      <c r="F39" s="131" t="str">
        <f t="shared" si="1"/>
        <v/>
      </c>
      <c r="G39" s="132"/>
      <c r="H39" s="133"/>
      <c r="I39" s="134"/>
      <c r="J39" s="131"/>
      <c r="K39" s="135" t="str">
        <f>'Закупка'!T39</f>
        <v/>
      </c>
      <c r="L39" s="144" t="str">
        <f>'Закупка'!U39</f>
        <v/>
      </c>
      <c r="M39" s="137" t="str">
        <f>'Закупка'!V39</f>
        <v/>
      </c>
    </row>
    <row r="40" ht="44.25" customHeight="1">
      <c r="A40" s="126" t="str">
        <f>'Закупка'!A40</f>
        <v/>
      </c>
      <c r="B40" s="127" t="str">
        <f>'Закупка'!B40</f>
        <v/>
      </c>
      <c r="C40" s="128" t="str">
        <f>'Закупка'!R40</f>
        <v/>
      </c>
      <c r="D40" s="129" t="str">
        <f t="array" ref="D40">INDEX('Закупка'!G40:K40, $A$2)</f>
        <v/>
      </c>
      <c r="E40" s="130" t="str">
        <f>'Закупка'!F40</f>
        <v/>
      </c>
      <c r="F40" s="131" t="str">
        <f t="shared" si="1"/>
        <v/>
      </c>
      <c r="G40" s="132"/>
      <c r="H40" s="133"/>
      <c r="I40" s="134"/>
      <c r="J40" s="131"/>
      <c r="K40" s="135" t="str">
        <f>'Закупка'!T40</f>
        <v/>
      </c>
      <c r="L40" s="144" t="str">
        <f>'Закупка'!U40</f>
        <v/>
      </c>
      <c r="M40" s="137" t="str">
        <f>'Закупка'!V40</f>
        <v/>
      </c>
    </row>
    <row r="41" ht="44.25" customHeight="1">
      <c r="A41" s="126" t="str">
        <f>'Закупка'!A41</f>
        <v/>
      </c>
      <c r="B41" s="127" t="str">
        <f>'Закупка'!B41</f>
        <v/>
      </c>
      <c r="C41" s="128" t="str">
        <f>'Закупка'!R41</f>
        <v/>
      </c>
      <c r="D41" s="129" t="str">
        <f t="array" ref="D41">INDEX('Закупка'!G41:K41, $A$2)</f>
        <v/>
      </c>
      <c r="E41" s="130" t="str">
        <f>'Закупка'!F41</f>
        <v/>
      </c>
      <c r="F41" s="131" t="str">
        <f t="shared" si="1"/>
        <v/>
      </c>
      <c r="G41" s="132"/>
      <c r="H41" s="133"/>
      <c r="I41" s="134"/>
      <c r="J41" s="131"/>
      <c r="K41" s="135" t="str">
        <f>'Закупка'!T41</f>
        <v/>
      </c>
      <c r="L41" s="144" t="str">
        <f>'Закупка'!U41</f>
        <v/>
      </c>
      <c r="M41" s="137" t="str">
        <f>'Закупка'!V41</f>
        <v/>
      </c>
    </row>
    <row r="42" ht="44.25" customHeight="1">
      <c r="A42" s="126" t="str">
        <f>'Закупка'!A42</f>
        <v/>
      </c>
      <c r="B42" s="127" t="str">
        <f>'Закупка'!B42</f>
        <v/>
      </c>
      <c r="C42" s="128" t="str">
        <f>'Закупка'!R42</f>
        <v/>
      </c>
      <c r="D42" s="129" t="str">
        <f t="array" ref="D42">INDEX('Закупка'!G42:K42, $A$2)</f>
        <v/>
      </c>
      <c r="E42" s="130" t="str">
        <f>'Закупка'!F42</f>
        <v/>
      </c>
      <c r="F42" s="131" t="str">
        <f t="shared" si="1"/>
        <v/>
      </c>
      <c r="G42" s="132"/>
      <c r="H42" s="133"/>
      <c r="I42" s="134"/>
      <c r="J42" s="131"/>
      <c r="K42" s="135" t="str">
        <f>'Закупка'!T42</f>
        <v/>
      </c>
      <c r="L42" s="144" t="str">
        <f>'Закупка'!U42</f>
        <v/>
      </c>
      <c r="M42" s="137" t="str">
        <f>'Закупка'!V42</f>
        <v/>
      </c>
    </row>
    <row r="43" ht="44.25" customHeight="1">
      <c r="A43" s="126" t="str">
        <f>'Закупка'!A43</f>
        <v/>
      </c>
      <c r="B43" s="127" t="str">
        <f>'Закупка'!B43</f>
        <v/>
      </c>
      <c r="C43" s="128" t="str">
        <f>'Закупка'!R43</f>
        <v/>
      </c>
      <c r="D43" s="129" t="str">
        <f t="array" ref="D43">INDEX('Закупка'!G43:K43, $A$2)</f>
        <v/>
      </c>
      <c r="E43" s="130" t="str">
        <f>'Закупка'!F43</f>
        <v/>
      </c>
      <c r="F43" s="131" t="str">
        <f t="shared" si="1"/>
        <v/>
      </c>
      <c r="G43" s="132"/>
      <c r="H43" s="133"/>
      <c r="I43" s="134"/>
      <c r="J43" s="131"/>
      <c r="K43" s="135" t="str">
        <f>'Закупка'!T43</f>
        <v/>
      </c>
      <c r="L43" s="144" t="str">
        <f>'Закупка'!U43</f>
        <v/>
      </c>
      <c r="M43" s="137" t="str">
        <f>'Закупка'!V43</f>
        <v/>
      </c>
    </row>
    <row r="44" ht="44.25" customHeight="1">
      <c r="A44" s="126" t="str">
        <f>'Закупка'!A44</f>
        <v/>
      </c>
      <c r="B44" s="127" t="str">
        <f>'Закупка'!B44</f>
        <v/>
      </c>
      <c r="C44" s="128" t="str">
        <f>'Закупка'!R44</f>
        <v/>
      </c>
      <c r="D44" s="129" t="str">
        <f t="array" ref="D44">INDEX('Закупка'!G44:K44, $A$2)</f>
        <v/>
      </c>
      <c r="E44" s="130" t="str">
        <f>'Закупка'!F44</f>
        <v/>
      </c>
      <c r="F44" s="131" t="str">
        <f t="shared" si="1"/>
        <v/>
      </c>
      <c r="G44" s="132"/>
      <c r="H44" s="133"/>
      <c r="I44" s="134"/>
      <c r="J44" s="131"/>
      <c r="K44" s="135" t="str">
        <f>'Закупка'!T44</f>
        <v/>
      </c>
      <c r="L44" s="144" t="str">
        <f>'Закупка'!U44</f>
        <v/>
      </c>
      <c r="M44" s="137" t="str">
        <f>'Закупка'!V44</f>
        <v/>
      </c>
    </row>
    <row r="45" ht="44.25" customHeight="1">
      <c r="A45" s="126" t="str">
        <f>'Закупка'!A45</f>
        <v/>
      </c>
      <c r="B45" s="127" t="str">
        <f>'Закупка'!B45</f>
        <v/>
      </c>
      <c r="C45" s="128" t="str">
        <f>'Закупка'!R45</f>
        <v/>
      </c>
      <c r="D45" s="129" t="str">
        <f t="array" ref="D45">INDEX('Закупка'!G45:K45, $A$2)</f>
        <v/>
      </c>
      <c r="E45" s="130" t="str">
        <f>'Закупка'!F45</f>
        <v/>
      </c>
      <c r="F45" s="131" t="str">
        <f t="shared" si="1"/>
        <v/>
      </c>
      <c r="G45" s="132"/>
      <c r="H45" s="133"/>
      <c r="I45" s="134"/>
      <c r="J45" s="131"/>
      <c r="K45" s="135" t="str">
        <f>'Закупка'!T45</f>
        <v/>
      </c>
      <c r="L45" s="144" t="str">
        <f>'Закупка'!U45</f>
        <v/>
      </c>
      <c r="M45" s="137" t="str">
        <f>'Закупка'!V45</f>
        <v/>
      </c>
    </row>
    <row r="46" ht="44.25" customHeight="1">
      <c r="A46" s="126" t="str">
        <f>'Закупка'!A46</f>
        <v/>
      </c>
      <c r="B46" s="127" t="str">
        <f>'Закупка'!B46</f>
        <v/>
      </c>
      <c r="C46" s="128" t="str">
        <f>'Закупка'!R46</f>
        <v/>
      </c>
      <c r="D46" s="129" t="str">
        <f t="array" ref="D46">INDEX('Закупка'!G46:K46, $A$2)</f>
        <v/>
      </c>
      <c r="E46" s="130" t="str">
        <f>'Закупка'!F46</f>
        <v/>
      </c>
      <c r="F46" s="131" t="str">
        <f t="shared" si="1"/>
        <v/>
      </c>
      <c r="G46" s="132"/>
      <c r="H46" s="133"/>
      <c r="I46" s="134"/>
      <c r="J46" s="131"/>
      <c r="K46" s="135" t="str">
        <f>'Закупка'!T46</f>
        <v/>
      </c>
      <c r="L46" s="144" t="str">
        <f>'Закупка'!U46</f>
        <v/>
      </c>
      <c r="M46" s="137" t="str">
        <f>'Закупка'!V46</f>
        <v/>
      </c>
    </row>
    <row r="47" ht="44.25" customHeight="1">
      <c r="A47" s="126" t="str">
        <f>'Закупка'!A47</f>
        <v/>
      </c>
      <c r="B47" s="127" t="str">
        <f>'Закупка'!B47</f>
        <v/>
      </c>
      <c r="C47" s="128" t="str">
        <f>'Закупка'!R47</f>
        <v/>
      </c>
      <c r="D47" s="129" t="str">
        <f t="array" ref="D47">INDEX('Закупка'!G47:K47, $A$2)</f>
        <v/>
      </c>
      <c r="E47" s="130" t="str">
        <f>'Закупка'!F47</f>
        <v/>
      </c>
      <c r="F47" s="131" t="str">
        <f t="shared" si="1"/>
        <v/>
      </c>
      <c r="G47" s="132"/>
      <c r="H47" s="133"/>
      <c r="I47" s="134"/>
      <c r="J47" s="131"/>
      <c r="K47" s="135" t="str">
        <f>'Закупка'!T47</f>
        <v/>
      </c>
      <c r="L47" s="144" t="str">
        <f>'Закупка'!U47</f>
        <v/>
      </c>
      <c r="M47" s="137" t="str">
        <f>'Закупка'!V47</f>
        <v/>
      </c>
    </row>
    <row r="48" ht="44.25" customHeight="1">
      <c r="A48" s="126" t="str">
        <f>'Закупка'!A48</f>
        <v/>
      </c>
      <c r="B48" s="127" t="str">
        <f>'Закупка'!B48</f>
        <v/>
      </c>
      <c r="C48" s="128" t="str">
        <f>'Закупка'!R48</f>
        <v/>
      </c>
      <c r="D48" s="129" t="str">
        <f t="array" ref="D48">INDEX('Закупка'!G48:K48, $A$2)</f>
        <v/>
      </c>
      <c r="E48" s="130" t="str">
        <f>'Закупка'!F48</f>
        <v/>
      </c>
      <c r="F48" s="131" t="str">
        <f t="shared" si="1"/>
        <v/>
      </c>
      <c r="G48" s="132"/>
      <c r="H48" s="133"/>
      <c r="I48" s="134"/>
      <c r="J48" s="131"/>
      <c r="K48" s="135" t="str">
        <f>'Закупка'!T48</f>
        <v/>
      </c>
      <c r="L48" s="144" t="str">
        <f>'Закупка'!U48</f>
        <v/>
      </c>
      <c r="M48" s="137" t="str">
        <f>'Закупка'!V48</f>
        <v/>
      </c>
    </row>
    <row r="49" ht="44.25" customHeight="1">
      <c r="A49" s="126" t="str">
        <f>'Закупка'!A49</f>
        <v/>
      </c>
      <c r="B49" s="127" t="str">
        <f>'Закупка'!B49</f>
        <v/>
      </c>
      <c r="C49" s="128" t="str">
        <f>'Закупка'!R49</f>
        <v/>
      </c>
      <c r="D49" s="129" t="str">
        <f t="array" ref="D49">INDEX('Закупка'!G49:K49, $A$2)</f>
        <v/>
      </c>
      <c r="E49" s="130" t="str">
        <f>'Закупка'!F49</f>
        <v/>
      </c>
      <c r="F49" s="131" t="str">
        <f t="shared" si="1"/>
        <v/>
      </c>
      <c r="G49" s="132"/>
      <c r="H49" s="133"/>
      <c r="I49" s="134"/>
      <c r="J49" s="131"/>
      <c r="K49" s="135" t="str">
        <f>'Закупка'!T49</f>
        <v/>
      </c>
      <c r="L49" s="144" t="str">
        <f>'Закупка'!U49</f>
        <v/>
      </c>
      <c r="M49" s="137" t="str">
        <f>'Закупка'!V49</f>
        <v/>
      </c>
    </row>
    <row r="50" ht="44.25" customHeight="1">
      <c r="A50" s="126" t="str">
        <f>'Закупка'!A50</f>
        <v/>
      </c>
      <c r="B50" s="127" t="str">
        <f>'Закупка'!B50</f>
        <v/>
      </c>
      <c r="C50" s="128" t="str">
        <f>'Закупка'!R50</f>
        <v/>
      </c>
      <c r="D50" s="129" t="str">
        <f t="array" ref="D50">INDEX('Закупка'!G50:K50, $A$2)</f>
        <v/>
      </c>
      <c r="E50" s="130" t="str">
        <f>'Закупка'!F50</f>
        <v/>
      </c>
      <c r="F50" s="131" t="str">
        <f t="shared" si="1"/>
        <v/>
      </c>
      <c r="G50" s="132"/>
      <c r="H50" s="133"/>
      <c r="I50" s="134"/>
      <c r="J50" s="131"/>
      <c r="K50" s="135" t="str">
        <f>'Закупка'!T50</f>
        <v/>
      </c>
      <c r="L50" s="144" t="str">
        <f>'Закупка'!U50</f>
        <v/>
      </c>
      <c r="M50" s="137" t="str">
        <f>'Закупка'!V50</f>
        <v/>
      </c>
    </row>
    <row r="51" ht="44.25" customHeight="1">
      <c r="A51" s="126" t="str">
        <f>'Закупка'!A51</f>
        <v/>
      </c>
      <c r="B51" s="127" t="str">
        <f>'Закупка'!B51</f>
        <v/>
      </c>
      <c r="C51" s="128" t="str">
        <f>'Закупка'!R51</f>
        <v/>
      </c>
      <c r="D51" s="129" t="str">
        <f t="array" ref="D51">INDEX('Закупка'!G51:K51, $A$2)</f>
        <v/>
      </c>
      <c r="E51" s="130" t="str">
        <f>'Закупка'!F51</f>
        <v/>
      </c>
      <c r="F51" s="131" t="str">
        <f t="shared" si="1"/>
        <v/>
      </c>
      <c r="G51" s="132"/>
      <c r="H51" s="133"/>
      <c r="I51" s="134"/>
      <c r="J51" s="131"/>
      <c r="K51" s="135" t="str">
        <f>'Закупка'!T51</f>
        <v/>
      </c>
      <c r="L51" s="144" t="str">
        <f>'Закупка'!U51</f>
        <v/>
      </c>
      <c r="M51" s="137" t="str">
        <f>'Закупка'!V51</f>
        <v/>
      </c>
    </row>
    <row r="52" ht="44.25" customHeight="1">
      <c r="A52" s="126" t="str">
        <f>'Закупка'!A52</f>
        <v/>
      </c>
      <c r="B52" s="127" t="str">
        <f>'Закупка'!B52</f>
        <v/>
      </c>
      <c r="C52" s="128" t="str">
        <f>'Закупка'!R52</f>
        <v/>
      </c>
      <c r="D52" s="129" t="str">
        <f t="array" ref="D52">INDEX('Закупка'!G52:K52, $A$2)</f>
        <v/>
      </c>
      <c r="E52" s="130" t="str">
        <f>'Закупка'!F52</f>
        <v/>
      </c>
      <c r="F52" s="131" t="str">
        <f t="shared" si="1"/>
        <v/>
      </c>
      <c r="G52" s="132"/>
      <c r="H52" s="133"/>
      <c r="I52" s="134"/>
      <c r="J52" s="131"/>
      <c r="K52" s="135" t="str">
        <f>'Закупка'!T52</f>
        <v/>
      </c>
      <c r="L52" s="144" t="str">
        <f>'Закупка'!U52</f>
        <v/>
      </c>
      <c r="M52" s="137" t="str">
        <f>'Закупка'!V52</f>
        <v/>
      </c>
    </row>
    <row r="53" ht="44.25" customHeight="1">
      <c r="A53" s="126" t="str">
        <f>'Закупка'!A53</f>
        <v/>
      </c>
      <c r="B53" s="127" t="str">
        <f>'Закупка'!B53</f>
        <v/>
      </c>
      <c r="C53" s="128" t="str">
        <f>'Закупка'!R53</f>
        <v/>
      </c>
      <c r="D53" s="129" t="str">
        <f t="array" ref="D53">INDEX('Закупка'!G53:K53, $A$2)</f>
        <v/>
      </c>
      <c r="E53" s="130" t="str">
        <f>'Закупка'!F53</f>
        <v/>
      </c>
      <c r="F53" s="131" t="str">
        <f t="shared" si="1"/>
        <v/>
      </c>
      <c r="G53" s="132"/>
      <c r="H53" s="133"/>
      <c r="I53" s="134"/>
      <c r="J53" s="131"/>
      <c r="K53" s="135" t="str">
        <f>'Закупка'!T53</f>
        <v/>
      </c>
      <c r="L53" s="144" t="str">
        <f>'Закупка'!U53</f>
        <v/>
      </c>
      <c r="M53" s="137" t="str">
        <f>'Закупка'!V53</f>
        <v/>
      </c>
    </row>
    <row r="54" ht="44.25" customHeight="1">
      <c r="A54" s="126" t="str">
        <f>'Закупка'!A54</f>
        <v/>
      </c>
      <c r="B54" s="127" t="str">
        <f>'Закупка'!B54</f>
        <v/>
      </c>
      <c r="C54" s="128" t="str">
        <f>'Закупка'!R54</f>
        <v/>
      </c>
      <c r="D54" s="129" t="str">
        <f t="array" ref="D54">INDEX('Закупка'!G54:K54, $A$2)</f>
        <v/>
      </c>
      <c r="E54" s="130" t="str">
        <f>'Закупка'!F54</f>
        <v/>
      </c>
      <c r="F54" s="131" t="str">
        <f t="shared" si="1"/>
        <v/>
      </c>
      <c r="G54" s="132"/>
      <c r="H54" s="133"/>
      <c r="I54" s="134"/>
      <c r="J54" s="131"/>
      <c r="K54" s="135" t="str">
        <f>'Закупка'!T54</f>
        <v/>
      </c>
      <c r="L54" s="144" t="str">
        <f>'Закупка'!U54</f>
        <v/>
      </c>
      <c r="M54" s="137" t="str">
        <f>'Закупка'!V54</f>
        <v/>
      </c>
    </row>
    <row r="55" ht="44.25" customHeight="1">
      <c r="A55" s="126" t="str">
        <f>'Закупка'!A55</f>
        <v/>
      </c>
      <c r="B55" s="127" t="str">
        <f>'Закупка'!B55</f>
        <v/>
      </c>
      <c r="C55" s="128" t="str">
        <f>'Закупка'!R55</f>
        <v/>
      </c>
      <c r="D55" s="129" t="str">
        <f t="array" ref="D55">INDEX('Закупка'!G55:K55, $A$2)</f>
        <v/>
      </c>
      <c r="E55" s="130" t="str">
        <f>'Закупка'!F55</f>
        <v/>
      </c>
      <c r="F55" s="131" t="str">
        <f t="shared" si="1"/>
        <v/>
      </c>
      <c r="G55" s="132"/>
      <c r="H55" s="133"/>
      <c r="I55" s="134"/>
      <c r="J55" s="131"/>
      <c r="K55" s="135" t="str">
        <f>'Закупка'!T55</f>
        <v/>
      </c>
      <c r="L55" s="144" t="str">
        <f>'Закупка'!U55</f>
        <v/>
      </c>
      <c r="M55" s="137" t="str">
        <f>'Закупка'!V55</f>
        <v/>
      </c>
    </row>
    <row r="56" ht="44.25" customHeight="1">
      <c r="A56" s="126" t="str">
        <f>'Закупка'!A56</f>
        <v/>
      </c>
      <c r="B56" s="127" t="str">
        <f>'Закупка'!B56</f>
        <v/>
      </c>
      <c r="C56" s="128" t="str">
        <f>'Закупка'!R56</f>
        <v/>
      </c>
      <c r="D56" s="129" t="str">
        <f t="array" ref="D56">INDEX('Закупка'!G56:K56, $A$2)</f>
        <v/>
      </c>
      <c r="E56" s="130" t="str">
        <f>'Закупка'!F56</f>
        <v/>
      </c>
      <c r="F56" s="131" t="str">
        <f t="shared" si="1"/>
        <v/>
      </c>
      <c r="G56" s="132"/>
      <c r="H56" s="133"/>
      <c r="I56" s="134"/>
      <c r="J56" s="131"/>
      <c r="K56" s="135" t="str">
        <f>'Закупка'!T56</f>
        <v/>
      </c>
      <c r="L56" s="144" t="str">
        <f>'Закупка'!U56</f>
        <v/>
      </c>
      <c r="M56" s="137" t="str">
        <f>'Закупка'!V56</f>
        <v/>
      </c>
    </row>
    <row r="57" ht="44.25" customHeight="1">
      <c r="A57" s="126" t="str">
        <f>'Закупка'!A57</f>
        <v/>
      </c>
      <c r="B57" s="127" t="str">
        <f>'Закупка'!B57</f>
        <v/>
      </c>
      <c r="C57" s="128" t="str">
        <f>'Закупка'!R57</f>
        <v/>
      </c>
      <c r="D57" s="129" t="str">
        <f t="array" ref="D57">INDEX('Закупка'!G57:K57, $A$2)</f>
        <v/>
      </c>
      <c r="E57" s="130" t="str">
        <f>'Закупка'!F57</f>
        <v/>
      </c>
      <c r="F57" s="131" t="str">
        <f t="shared" si="1"/>
        <v/>
      </c>
      <c r="G57" s="132"/>
      <c r="H57" s="133"/>
      <c r="I57" s="134"/>
      <c r="J57" s="131"/>
      <c r="K57" s="135" t="str">
        <f>'Закупка'!T57</f>
        <v/>
      </c>
      <c r="L57" s="144" t="str">
        <f>'Закупка'!U57</f>
        <v/>
      </c>
      <c r="M57" s="137" t="str">
        <f>'Закупка'!V57</f>
        <v/>
      </c>
    </row>
    <row r="58" ht="44.25" customHeight="1">
      <c r="A58" s="126" t="str">
        <f>'Закупка'!A58</f>
        <v/>
      </c>
      <c r="B58" s="127" t="str">
        <f>'Закупка'!B58</f>
        <v/>
      </c>
      <c r="C58" s="128" t="str">
        <f>'Закупка'!R58</f>
        <v/>
      </c>
      <c r="D58" s="129" t="str">
        <f t="array" ref="D58">INDEX('Закупка'!G58:K58, $A$2)</f>
        <v/>
      </c>
      <c r="E58" s="130" t="str">
        <f>'Закупка'!F58</f>
        <v/>
      </c>
      <c r="F58" s="131" t="str">
        <f t="shared" si="1"/>
        <v/>
      </c>
      <c r="G58" s="132"/>
      <c r="H58" s="133"/>
      <c r="I58" s="134"/>
      <c r="J58" s="131"/>
      <c r="K58" s="135" t="str">
        <f>'Закупка'!T58</f>
        <v/>
      </c>
      <c r="L58" s="144" t="str">
        <f>'Закупка'!U58</f>
        <v/>
      </c>
      <c r="M58" s="137" t="str">
        <f>'Закупка'!V58</f>
        <v/>
      </c>
    </row>
    <row r="59" ht="44.25" customHeight="1">
      <c r="A59" s="126" t="str">
        <f>'Закупка'!A59</f>
        <v/>
      </c>
      <c r="B59" s="127" t="str">
        <f>'Закупка'!B59</f>
        <v/>
      </c>
      <c r="C59" s="128" t="str">
        <f>'Закупка'!R59</f>
        <v/>
      </c>
      <c r="D59" s="129" t="str">
        <f t="array" ref="D59">INDEX('Закупка'!G59:K59, $A$2)</f>
        <v/>
      </c>
      <c r="E59" s="130" t="str">
        <f>'Закупка'!F59</f>
        <v/>
      </c>
      <c r="F59" s="131" t="str">
        <f t="shared" si="1"/>
        <v/>
      </c>
      <c r="G59" s="132"/>
      <c r="H59" s="133"/>
      <c r="I59" s="134"/>
      <c r="J59" s="131"/>
      <c r="K59" s="135" t="str">
        <f>'Закупка'!T59</f>
        <v/>
      </c>
      <c r="L59" s="144" t="str">
        <f>'Закупка'!U59</f>
        <v/>
      </c>
      <c r="M59" s="137" t="str">
        <f>'Закупка'!V59</f>
        <v/>
      </c>
    </row>
    <row r="60" ht="44.25" customHeight="1">
      <c r="A60" s="126" t="str">
        <f>'Закупка'!A60</f>
        <v/>
      </c>
      <c r="B60" s="127" t="str">
        <f>'Закупка'!B60</f>
        <v/>
      </c>
      <c r="C60" s="128" t="str">
        <f>'Закупка'!R60</f>
        <v/>
      </c>
      <c r="D60" s="129" t="str">
        <f t="array" ref="D60">INDEX('Закупка'!G60:K60, $A$2)</f>
        <v/>
      </c>
      <c r="E60" s="130" t="str">
        <f>'Закупка'!F60</f>
        <v/>
      </c>
      <c r="F60" s="131" t="str">
        <f t="shared" si="1"/>
        <v/>
      </c>
      <c r="G60" s="132"/>
      <c r="H60" s="133"/>
      <c r="I60" s="134"/>
      <c r="J60" s="131"/>
      <c r="K60" s="135" t="str">
        <f>'Закупка'!T60</f>
        <v/>
      </c>
      <c r="L60" s="144" t="str">
        <f>'Закупка'!U60</f>
        <v/>
      </c>
      <c r="M60" s="137" t="str">
        <f>'Закупка'!V60</f>
        <v/>
      </c>
    </row>
    <row r="61" ht="44.25" customHeight="1">
      <c r="A61" s="126" t="str">
        <f>'Закупка'!A61</f>
        <v/>
      </c>
      <c r="B61" s="127" t="str">
        <f>'Закупка'!B61</f>
        <v/>
      </c>
      <c r="C61" s="128" t="str">
        <f>'Закупка'!R61</f>
        <v/>
      </c>
      <c r="D61" s="129" t="str">
        <f t="array" ref="D61">INDEX('Закупка'!G61:K61, $A$2)</f>
        <v/>
      </c>
      <c r="E61" s="130" t="str">
        <f>'Закупка'!F61</f>
        <v/>
      </c>
      <c r="F61" s="131" t="str">
        <f t="shared" si="1"/>
        <v/>
      </c>
      <c r="G61" s="132"/>
      <c r="H61" s="133"/>
      <c r="I61" s="134"/>
      <c r="J61" s="131"/>
      <c r="K61" s="135" t="str">
        <f>'Закупка'!T61</f>
        <v/>
      </c>
      <c r="L61" s="144" t="str">
        <f>'Закупка'!U61</f>
        <v/>
      </c>
      <c r="M61" s="137" t="str">
        <f>'Закупка'!V61</f>
        <v/>
      </c>
    </row>
    <row r="62" ht="44.25" customHeight="1">
      <c r="A62" s="126" t="str">
        <f>'Закупка'!A62</f>
        <v/>
      </c>
      <c r="B62" s="127" t="str">
        <f>'Закупка'!B62</f>
        <v/>
      </c>
      <c r="C62" s="128" t="str">
        <f>'Закупка'!R62</f>
        <v/>
      </c>
      <c r="D62" s="129" t="str">
        <f t="array" ref="D62">INDEX('Закупка'!G62:K62, $A$2)</f>
        <v/>
      </c>
      <c r="E62" s="130" t="str">
        <f>'Закупка'!F62</f>
        <v/>
      </c>
      <c r="F62" s="131" t="str">
        <f t="shared" si="1"/>
        <v/>
      </c>
      <c r="G62" s="132"/>
      <c r="H62" s="133"/>
      <c r="I62" s="134"/>
      <c r="J62" s="131"/>
      <c r="K62" s="135" t="str">
        <f>'Закупка'!T62</f>
        <v/>
      </c>
      <c r="L62" s="144" t="str">
        <f>'Закупка'!U62</f>
        <v/>
      </c>
      <c r="M62" s="137" t="str">
        <f>'Закупка'!V62</f>
        <v/>
      </c>
    </row>
    <row r="63" ht="44.25" customHeight="1">
      <c r="A63" s="126" t="str">
        <f>'Закупка'!A63</f>
        <v/>
      </c>
      <c r="B63" s="127" t="str">
        <f>'Закупка'!B63</f>
        <v/>
      </c>
      <c r="C63" s="128" t="str">
        <f>'Закупка'!R63</f>
        <v/>
      </c>
      <c r="D63" s="129" t="str">
        <f t="array" ref="D63">INDEX('Закупка'!G63:K63, $A$2)</f>
        <v/>
      </c>
      <c r="E63" s="130" t="str">
        <f>'Закупка'!F63</f>
        <v/>
      </c>
      <c r="F63" s="131" t="str">
        <f t="shared" si="1"/>
        <v/>
      </c>
      <c r="G63" s="132"/>
      <c r="H63" s="133"/>
      <c r="I63" s="134"/>
      <c r="J63" s="131"/>
      <c r="K63" s="135" t="str">
        <f>'Закупка'!T63</f>
        <v/>
      </c>
      <c r="L63" s="144" t="str">
        <f>'Закупка'!U63</f>
        <v/>
      </c>
      <c r="M63" s="137" t="str">
        <f>'Закупка'!V63</f>
        <v/>
      </c>
    </row>
    <row r="64" ht="44.25" customHeight="1">
      <c r="A64" s="126" t="str">
        <f>'Закупка'!A64</f>
        <v/>
      </c>
      <c r="B64" s="127" t="str">
        <f>'Закупка'!B64</f>
        <v/>
      </c>
      <c r="C64" s="128" t="str">
        <f>'Закупка'!R64</f>
        <v/>
      </c>
      <c r="D64" s="129" t="str">
        <f t="array" ref="D64">INDEX('Закупка'!G64:K64, $A$2)</f>
        <v/>
      </c>
      <c r="E64" s="130" t="str">
        <f>'Закупка'!F64</f>
        <v/>
      </c>
      <c r="F64" s="131" t="str">
        <f t="shared" si="1"/>
        <v/>
      </c>
      <c r="G64" s="132"/>
      <c r="H64" s="133"/>
      <c r="I64" s="134"/>
      <c r="J64" s="131"/>
      <c r="K64" s="135" t="str">
        <f>'Закупка'!T64</f>
        <v/>
      </c>
      <c r="L64" s="144" t="str">
        <f>'Закупка'!U64</f>
        <v/>
      </c>
      <c r="M64" s="137" t="str">
        <f>'Закупка'!V64</f>
        <v/>
      </c>
    </row>
    <row r="65" ht="44.25" customHeight="1">
      <c r="A65" s="126" t="str">
        <f>'Закупка'!A65</f>
        <v/>
      </c>
      <c r="B65" s="127" t="str">
        <f>'Закупка'!B65</f>
        <v/>
      </c>
      <c r="C65" s="128" t="str">
        <f>'Закупка'!R65</f>
        <v/>
      </c>
      <c r="D65" s="129" t="str">
        <f t="array" ref="D65">INDEX('Закупка'!G65:K65, $A$2)</f>
        <v/>
      </c>
      <c r="E65" s="130" t="str">
        <f>'Закупка'!F65</f>
        <v/>
      </c>
      <c r="F65" s="131" t="str">
        <f t="shared" si="1"/>
        <v/>
      </c>
      <c r="G65" s="132"/>
      <c r="H65" s="133"/>
      <c r="I65" s="134"/>
      <c r="J65" s="131"/>
      <c r="K65" s="135" t="str">
        <f>'Закупка'!T65</f>
        <v/>
      </c>
      <c r="L65" s="144" t="str">
        <f>'Закупка'!U65</f>
        <v/>
      </c>
      <c r="M65" s="137" t="str">
        <f>'Закупка'!V65</f>
        <v/>
      </c>
    </row>
    <row r="66" ht="44.25" customHeight="1">
      <c r="A66" s="126" t="str">
        <f>'Закупка'!A66</f>
        <v/>
      </c>
      <c r="B66" s="127" t="str">
        <f>'Закупка'!B66</f>
        <v/>
      </c>
      <c r="C66" s="128" t="str">
        <f>'Закупка'!R66</f>
        <v/>
      </c>
      <c r="D66" s="129" t="str">
        <f t="array" ref="D66">INDEX('Закупка'!G66:K66, $A$2)</f>
        <v/>
      </c>
      <c r="E66" s="130" t="str">
        <f>'Закупка'!F66</f>
        <v/>
      </c>
      <c r="F66" s="131" t="str">
        <f t="shared" si="1"/>
        <v/>
      </c>
      <c r="G66" s="132"/>
      <c r="H66" s="133"/>
      <c r="I66" s="134"/>
      <c r="J66" s="131"/>
      <c r="K66" s="135" t="str">
        <f>'Закупка'!T66</f>
        <v/>
      </c>
      <c r="L66" s="144" t="str">
        <f>'Закупка'!U66</f>
        <v/>
      </c>
      <c r="M66" s="137" t="str">
        <f>'Закупка'!V66</f>
        <v/>
      </c>
    </row>
    <row r="67" ht="44.25" customHeight="1">
      <c r="A67" s="126" t="str">
        <f>'Закупка'!A67</f>
        <v/>
      </c>
      <c r="B67" s="127" t="str">
        <f>'Закупка'!B67</f>
        <v/>
      </c>
      <c r="C67" s="128" t="str">
        <f>'Закупка'!R67</f>
        <v/>
      </c>
      <c r="D67" s="129" t="str">
        <f t="array" ref="D67">INDEX('Закупка'!G67:K67, $A$2)</f>
        <v/>
      </c>
      <c r="E67" s="130" t="str">
        <f>'Закупка'!F67</f>
        <v/>
      </c>
      <c r="F67" s="131" t="str">
        <f t="shared" si="1"/>
        <v/>
      </c>
      <c r="G67" s="132"/>
      <c r="H67" s="133"/>
      <c r="I67" s="134"/>
      <c r="J67" s="131"/>
      <c r="K67" s="135" t="str">
        <f>'Закупка'!T67</f>
        <v/>
      </c>
      <c r="L67" s="144" t="str">
        <f>'Закупка'!U67</f>
        <v/>
      </c>
      <c r="M67" s="137" t="str">
        <f>'Закупка'!V67</f>
        <v/>
      </c>
    </row>
    <row r="68" ht="44.25" customHeight="1">
      <c r="A68" s="126" t="str">
        <f>'Закупка'!A68</f>
        <v/>
      </c>
      <c r="B68" s="127" t="str">
        <f>'Закупка'!B68</f>
        <v/>
      </c>
      <c r="C68" s="128" t="str">
        <f>'Закупка'!R68</f>
        <v/>
      </c>
      <c r="D68" s="129" t="str">
        <f t="array" ref="D68">INDEX('Закупка'!G68:K68, $A$2)</f>
        <v/>
      </c>
      <c r="E68" s="130" t="str">
        <f>'Закупка'!F68</f>
        <v/>
      </c>
      <c r="F68" s="131" t="str">
        <f t="shared" si="1"/>
        <v/>
      </c>
      <c r="G68" s="132"/>
      <c r="H68" s="133"/>
      <c r="I68" s="134"/>
      <c r="J68" s="131"/>
      <c r="K68" s="135" t="str">
        <f>'Закупка'!T68</f>
        <v/>
      </c>
      <c r="L68" s="144" t="str">
        <f>'Закупка'!U68</f>
        <v/>
      </c>
      <c r="M68" s="137" t="str">
        <f>'Закупка'!V68</f>
        <v/>
      </c>
    </row>
    <row r="69" ht="44.25" customHeight="1">
      <c r="A69" s="126" t="str">
        <f>'Закупка'!A69</f>
        <v/>
      </c>
      <c r="B69" s="127" t="str">
        <f>'Закупка'!B69</f>
        <v/>
      </c>
      <c r="C69" s="128" t="str">
        <f>'Закупка'!R69</f>
        <v/>
      </c>
      <c r="D69" s="129" t="str">
        <f t="array" ref="D69">INDEX('Закупка'!G69:K69, $A$2)</f>
        <v/>
      </c>
      <c r="E69" s="130" t="str">
        <f>'Закупка'!F69</f>
        <v/>
      </c>
      <c r="F69" s="131" t="str">
        <f t="shared" si="1"/>
        <v/>
      </c>
      <c r="G69" s="132"/>
      <c r="H69" s="133"/>
      <c r="I69" s="134"/>
      <c r="J69" s="131"/>
      <c r="K69" s="135" t="str">
        <f>'Закупка'!T69</f>
        <v/>
      </c>
      <c r="L69" s="144" t="str">
        <f>'Закупка'!U69</f>
        <v/>
      </c>
      <c r="M69" s="137" t="str">
        <f>'Закупка'!V69</f>
        <v/>
      </c>
    </row>
    <row r="70" ht="44.25" customHeight="1">
      <c r="A70" s="126" t="str">
        <f>'Закупка'!A70</f>
        <v/>
      </c>
      <c r="B70" s="127" t="str">
        <f>'Закупка'!B70</f>
        <v/>
      </c>
      <c r="C70" s="128" t="str">
        <f>'Закупка'!R70</f>
        <v/>
      </c>
      <c r="D70" s="129" t="str">
        <f t="array" ref="D70">INDEX('Закупка'!G70:K70, $A$2)</f>
        <v/>
      </c>
      <c r="E70" s="130" t="str">
        <f>'Закупка'!F70</f>
        <v/>
      </c>
      <c r="F70" s="131" t="str">
        <f t="shared" si="1"/>
        <v/>
      </c>
      <c r="G70" s="132"/>
      <c r="H70" s="133"/>
      <c r="I70" s="134"/>
      <c r="J70" s="131"/>
      <c r="K70" s="135" t="str">
        <f>'Закупка'!T70</f>
        <v/>
      </c>
      <c r="L70" s="144" t="str">
        <f>'Закупка'!U70</f>
        <v/>
      </c>
      <c r="M70" s="137" t="str">
        <f>'Закупка'!V70</f>
        <v/>
      </c>
    </row>
    <row r="71" ht="44.25" customHeight="1">
      <c r="A71" s="126" t="str">
        <f>'Закупка'!A71</f>
        <v/>
      </c>
      <c r="B71" s="127" t="str">
        <f>'Закупка'!B71</f>
        <v/>
      </c>
      <c r="C71" s="128" t="str">
        <f>'Закупка'!R71</f>
        <v/>
      </c>
      <c r="D71" s="129" t="str">
        <f t="array" ref="D71">INDEX('Закупка'!G71:K71, $A$2)</f>
        <v/>
      </c>
      <c r="E71" s="130" t="str">
        <f>'Закупка'!F71</f>
        <v/>
      </c>
      <c r="F71" s="131" t="str">
        <f t="shared" si="1"/>
        <v/>
      </c>
      <c r="G71" s="132"/>
      <c r="H71" s="133"/>
      <c r="I71" s="134"/>
      <c r="J71" s="131"/>
      <c r="K71" s="135" t="str">
        <f>'Закупка'!T71</f>
        <v/>
      </c>
      <c r="L71" s="144" t="str">
        <f>'Закупка'!U71</f>
        <v/>
      </c>
      <c r="M71" s="137" t="str">
        <f>'Закупка'!V71</f>
        <v/>
      </c>
    </row>
    <row r="72" ht="44.25" customHeight="1">
      <c r="A72" s="126" t="str">
        <f>'Закупка'!A72</f>
        <v/>
      </c>
      <c r="B72" s="127" t="str">
        <f>'Закупка'!B72</f>
        <v/>
      </c>
      <c r="C72" s="128" t="str">
        <f>'Закупка'!R72</f>
        <v/>
      </c>
      <c r="D72" s="129" t="str">
        <f t="array" ref="D72">INDEX('Закупка'!G72:K72, $A$2)</f>
        <v/>
      </c>
      <c r="E72" s="130" t="str">
        <f>'Закупка'!F72</f>
        <v/>
      </c>
      <c r="F72" s="131" t="str">
        <f t="shared" si="1"/>
        <v/>
      </c>
      <c r="G72" s="132"/>
      <c r="H72" s="133"/>
      <c r="I72" s="134"/>
      <c r="J72" s="131"/>
      <c r="K72" s="135" t="str">
        <f>'Закупка'!T72</f>
        <v/>
      </c>
      <c r="L72" s="144" t="str">
        <f>'Закупка'!U72</f>
        <v/>
      </c>
      <c r="M72" s="137" t="str">
        <f>'Закупка'!V72</f>
        <v/>
      </c>
    </row>
    <row r="73" ht="44.25" customHeight="1">
      <c r="A73" s="126" t="str">
        <f>'Закупка'!A73</f>
        <v/>
      </c>
      <c r="B73" s="127" t="str">
        <f>'Закупка'!B73</f>
        <v/>
      </c>
      <c r="C73" s="128" t="str">
        <f>'Закупка'!R73</f>
        <v/>
      </c>
      <c r="D73" s="129" t="str">
        <f t="array" ref="D73">INDEX('Закупка'!G73:K73, $A$2)</f>
        <v/>
      </c>
      <c r="E73" s="130" t="str">
        <f>'Закупка'!F73</f>
        <v/>
      </c>
      <c r="F73" s="131" t="str">
        <f t="shared" si="1"/>
        <v/>
      </c>
      <c r="G73" s="132"/>
      <c r="H73" s="133"/>
      <c r="I73" s="134"/>
      <c r="J73" s="131"/>
      <c r="K73" s="135" t="str">
        <f>'Закупка'!T73</f>
        <v/>
      </c>
      <c r="L73" s="144" t="str">
        <f>'Закупка'!U73</f>
        <v/>
      </c>
      <c r="M73" s="137" t="str">
        <f>'Закупка'!V73</f>
        <v/>
      </c>
    </row>
    <row r="74" ht="44.25" customHeight="1">
      <c r="A74" s="126" t="str">
        <f>'Закупка'!A74</f>
        <v/>
      </c>
      <c r="B74" s="127" t="str">
        <f>'Закупка'!B74</f>
        <v/>
      </c>
      <c r="C74" s="128" t="str">
        <f>'Закупка'!R74</f>
        <v/>
      </c>
      <c r="D74" s="129" t="str">
        <f t="array" ref="D74">INDEX('Закупка'!G74:K74, $A$2)</f>
        <v/>
      </c>
      <c r="E74" s="130" t="str">
        <f>'Закупка'!F74</f>
        <v/>
      </c>
      <c r="F74" s="131" t="str">
        <f t="shared" si="1"/>
        <v/>
      </c>
      <c r="G74" s="132"/>
      <c r="H74" s="133"/>
      <c r="I74" s="134"/>
      <c r="J74" s="131"/>
      <c r="K74" s="135" t="str">
        <f>'Закупка'!T74</f>
        <v/>
      </c>
      <c r="L74" s="144" t="str">
        <f>'Закупка'!U74</f>
        <v/>
      </c>
      <c r="M74" s="137" t="str">
        <f>'Закупка'!V74</f>
        <v/>
      </c>
    </row>
    <row r="75" ht="44.25" customHeight="1">
      <c r="A75" s="126" t="str">
        <f>'Закупка'!A75</f>
        <v/>
      </c>
      <c r="B75" s="127" t="str">
        <f>'Закупка'!B75</f>
        <v/>
      </c>
      <c r="C75" s="128" t="str">
        <f>'Закупка'!R75</f>
        <v/>
      </c>
      <c r="D75" s="129" t="str">
        <f t="array" ref="D75">INDEX('Закупка'!G75:K75, $A$2)</f>
        <v/>
      </c>
      <c r="E75" s="130" t="str">
        <f>'Закупка'!F75</f>
        <v/>
      </c>
      <c r="F75" s="131" t="str">
        <f t="shared" si="1"/>
        <v/>
      </c>
      <c r="G75" s="132"/>
      <c r="H75" s="133"/>
      <c r="I75" s="134"/>
      <c r="J75" s="131"/>
      <c r="K75" s="135" t="str">
        <f>'Закупка'!T75</f>
        <v/>
      </c>
      <c r="L75" s="144" t="str">
        <f>'Закупка'!U75</f>
        <v/>
      </c>
      <c r="M75" s="137" t="str">
        <f>'Закупка'!V75</f>
        <v/>
      </c>
    </row>
    <row r="76" ht="44.25" customHeight="1">
      <c r="A76" s="126" t="str">
        <f>'Закупка'!A76</f>
        <v/>
      </c>
      <c r="B76" s="127" t="str">
        <f>'Закупка'!B76</f>
        <v/>
      </c>
      <c r="C76" s="128" t="str">
        <f>'Закупка'!R76</f>
        <v/>
      </c>
      <c r="D76" s="129" t="str">
        <f t="array" ref="D76">INDEX('Закупка'!G76:K76, $A$2)</f>
        <v/>
      </c>
      <c r="E76" s="130" t="str">
        <f>'Закупка'!F76</f>
        <v/>
      </c>
      <c r="F76" s="131" t="str">
        <f t="shared" si="1"/>
        <v/>
      </c>
      <c r="G76" s="132"/>
      <c r="H76" s="133"/>
      <c r="I76" s="134"/>
      <c r="J76" s="131"/>
      <c r="K76" s="135" t="str">
        <f>'Закупка'!T76</f>
        <v/>
      </c>
      <c r="L76" s="144" t="str">
        <f>'Закупка'!U76</f>
        <v/>
      </c>
      <c r="M76" s="137" t="str">
        <f>'Закупка'!V76</f>
        <v/>
      </c>
    </row>
    <row r="77" ht="44.25" customHeight="1">
      <c r="A77" s="126" t="str">
        <f>'Закупка'!A77</f>
        <v/>
      </c>
      <c r="B77" s="127" t="str">
        <f>'Закупка'!B77</f>
        <v/>
      </c>
      <c r="C77" s="128" t="str">
        <f>'Закупка'!R77</f>
        <v/>
      </c>
      <c r="D77" s="129" t="str">
        <f t="array" ref="D77">INDEX('Закупка'!G77:K77, $A$2)</f>
        <v/>
      </c>
      <c r="E77" s="130" t="str">
        <f>'Закупка'!F77</f>
        <v/>
      </c>
      <c r="F77" s="131" t="str">
        <f t="shared" si="1"/>
        <v/>
      </c>
      <c r="G77" s="132"/>
      <c r="H77" s="133"/>
      <c r="I77" s="134"/>
      <c r="J77" s="131"/>
      <c r="K77" s="135" t="str">
        <f>'Закупка'!T77</f>
        <v/>
      </c>
      <c r="L77" s="144" t="str">
        <f>'Закупка'!U77</f>
        <v/>
      </c>
      <c r="M77" s="137" t="str">
        <f>'Закупка'!V77</f>
        <v/>
      </c>
    </row>
    <row r="78" ht="44.25" customHeight="1">
      <c r="A78" s="126" t="str">
        <f>'Закупка'!A78</f>
        <v/>
      </c>
      <c r="B78" s="127" t="str">
        <f>'Закупка'!B78</f>
        <v/>
      </c>
      <c r="C78" s="128" t="str">
        <f>'Закупка'!R78</f>
        <v/>
      </c>
      <c r="D78" s="129" t="str">
        <f t="array" ref="D78">INDEX('Закупка'!G78:K78, $A$2)</f>
        <v/>
      </c>
      <c r="E78" s="130" t="str">
        <f>'Закупка'!F78</f>
        <v/>
      </c>
      <c r="F78" s="131" t="str">
        <f t="shared" si="1"/>
        <v/>
      </c>
      <c r="G78" s="132"/>
      <c r="H78" s="133"/>
      <c r="I78" s="134"/>
      <c r="J78" s="131"/>
      <c r="K78" s="135" t="str">
        <f>'Закупка'!T78</f>
        <v/>
      </c>
      <c r="L78" s="144" t="str">
        <f>'Закупка'!U78</f>
        <v/>
      </c>
      <c r="M78" s="137" t="str">
        <f>'Закупка'!V78</f>
        <v/>
      </c>
    </row>
    <row r="79" ht="44.25" customHeight="1">
      <c r="A79" s="126" t="str">
        <f>'Закупка'!A79</f>
        <v/>
      </c>
      <c r="B79" s="127" t="str">
        <f>'Закупка'!B79</f>
        <v/>
      </c>
      <c r="C79" s="128" t="str">
        <f>'Закупка'!R79</f>
        <v/>
      </c>
      <c r="D79" s="129" t="str">
        <f t="array" ref="D79">INDEX('Закупка'!G79:K79, $A$2)</f>
        <v/>
      </c>
      <c r="E79" s="130" t="str">
        <f>'Закупка'!F79</f>
        <v/>
      </c>
      <c r="F79" s="131" t="str">
        <f t="shared" si="1"/>
        <v/>
      </c>
      <c r="G79" s="132"/>
      <c r="H79" s="133"/>
      <c r="I79" s="134"/>
      <c r="J79" s="131"/>
      <c r="K79" s="135" t="str">
        <f>'Закупка'!T79</f>
        <v/>
      </c>
      <c r="L79" s="144" t="str">
        <f>'Закупка'!U79</f>
        <v/>
      </c>
      <c r="M79" s="137" t="str">
        <f>'Закупка'!V79</f>
        <v/>
      </c>
    </row>
    <row r="80" ht="44.25" customHeight="1">
      <c r="A80" s="126" t="str">
        <f>'Закупка'!A80</f>
        <v/>
      </c>
      <c r="B80" s="127" t="str">
        <f>'Закупка'!B80</f>
        <v/>
      </c>
      <c r="C80" s="128" t="str">
        <f>'Закупка'!R80</f>
        <v/>
      </c>
      <c r="D80" s="129" t="str">
        <f t="array" ref="D80">INDEX('Закупка'!G80:K80, $A$2)</f>
        <v/>
      </c>
      <c r="E80" s="130" t="str">
        <f>'Закупка'!F80</f>
        <v/>
      </c>
      <c r="F80" s="131" t="str">
        <f t="shared" si="1"/>
        <v/>
      </c>
      <c r="G80" s="132"/>
      <c r="H80" s="133"/>
      <c r="I80" s="134"/>
      <c r="J80" s="131"/>
      <c r="K80" s="135" t="str">
        <f>'Закупка'!T80</f>
        <v/>
      </c>
      <c r="L80" s="144" t="str">
        <f>'Закупка'!U80</f>
        <v/>
      </c>
      <c r="M80" s="137" t="str">
        <f>'Закупка'!V80</f>
        <v/>
      </c>
    </row>
    <row r="81" ht="44.25" customHeight="1">
      <c r="A81" s="126" t="str">
        <f>'Закупка'!A81</f>
        <v/>
      </c>
      <c r="B81" s="127" t="str">
        <f>'Закупка'!B81</f>
        <v/>
      </c>
      <c r="C81" s="128" t="str">
        <f>'Закупка'!R81</f>
        <v/>
      </c>
      <c r="D81" s="129" t="str">
        <f t="array" ref="D81">INDEX('Закупка'!G81:K81, $A$2)</f>
        <v/>
      </c>
      <c r="E81" s="130" t="str">
        <f>'Закупка'!F81</f>
        <v/>
      </c>
      <c r="F81" s="131" t="str">
        <f t="shared" si="1"/>
        <v/>
      </c>
      <c r="G81" s="132"/>
      <c r="H81" s="133"/>
      <c r="I81" s="134"/>
      <c r="J81" s="131"/>
      <c r="K81" s="135" t="str">
        <f>'Закупка'!T81</f>
        <v/>
      </c>
      <c r="L81" s="144" t="str">
        <f>'Закупка'!U81</f>
        <v/>
      </c>
      <c r="M81" s="137" t="str">
        <f>'Закупка'!V81</f>
        <v/>
      </c>
    </row>
    <row r="82" ht="44.25" customHeight="1">
      <c r="A82" s="126" t="str">
        <f>'Закупка'!A82</f>
        <v/>
      </c>
      <c r="B82" s="127" t="str">
        <f>'Закупка'!B82</f>
        <v/>
      </c>
      <c r="C82" s="128" t="str">
        <f>'Закупка'!R82</f>
        <v/>
      </c>
      <c r="D82" s="129" t="str">
        <f t="array" ref="D82">INDEX('Закупка'!G82:K82, $A$2)</f>
        <v/>
      </c>
      <c r="E82" s="130" t="str">
        <f>'Закупка'!F82</f>
        <v/>
      </c>
      <c r="F82" s="131" t="str">
        <f t="shared" si="1"/>
        <v/>
      </c>
      <c r="G82" s="132"/>
      <c r="H82" s="133"/>
      <c r="I82" s="134"/>
      <c r="J82" s="131"/>
      <c r="K82" s="135" t="str">
        <f>'Закупка'!T82</f>
        <v/>
      </c>
      <c r="L82" s="144" t="str">
        <f>'Закупка'!U82</f>
        <v/>
      </c>
      <c r="M82" s="137" t="str">
        <f>'Закупка'!V82</f>
        <v/>
      </c>
    </row>
    <row r="83" ht="44.25" customHeight="1">
      <c r="A83" s="126" t="str">
        <f>'Закупка'!A83</f>
        <v/>
      </c>
      <c r="B83" s="127" t="str">
        <f>'Закупка'!B83</f>
        <v/>
      </c>
      <c r="C83" s="128" t="str">
        <f>'Закупка'!R83</f>
        <v/>
      </c>
      <c r="D83" s="129" t="str">
        <f t="array" ref="D83">INDEX('Закупка'!G83:K83, $A$2)</f>
        <v/>
      </c>
      <c r="E83" s="130" t="str">
        <f>'Закупка'!F83</f>
        <v/>
      </c>
      <c r="F83" s="131" t="str">
        <f t="shared" si="1"/>
        <v/>
      </c>
      <c r="G83" s="132"/>
      <c r="H83" s="133"/>
      <c r="I83" s="134"/>
      <c r="J83" s="131"/>
      <c r="K83" s="135" t="str">
        <f>'Закупка'!T83</f>
        <v/>
      </c>
      <c r="L83" s="144" t="str">
        <f>'Закупка'!U83</f>
        <v/>
      </c>
      <c r="M83" s="137" t="str">
        <f>'Закупка'!V83</f>
        <v/>
      </c>
    </row>
    <row r="84" ht="44.25" customHeight="1">
      <c r="A84" s="126" t="str">
        <f>'Закупка'!A84</f>
        <v/>
      </c>
      <c r="B84" s="127" t="str">
        <f>'Закупка'!B84</f>
        <v/>
      </c>
      <c r="C84" s="128" t="str">
        <f>'Закупка'!R84</f>
        <v/>
      </c>
      <c r="D84" s="129" t="str">
        <f t="array" ref="D84">INDEX('Закупка'!G84:K84, $A$2)</f>
        <v/>
      </c>
      <c r="E84" s="130" t="str">
        <f>'Закупка'!F84</f>
        <v/>
      </c>
      <c r="F84" s="131" t="str">
        <f t="shared" si="1"/>
        <v/>
      </c>
      <c r="G84" s="132"/>
      <c r="H84" s="133"/>
      <c r="I84" s="134"/>
      <c r="J84" s="131"/>
      <c r="K84" s="135" t="str">
        <f>'Закупка'!T84</f>
        <v/>
      </c>
      <c r="L84" s="144" t="str">
        <f>'Закупка'!U84</f>
        <v/>
      </c>
      <c r="M84" s="137" t="str">
        <f>'Закупка'!V84</f>
        <v/>
      </c>
    </row>
    <row r="85" ht="44.25" customHeight="1">
      <c r="A85" s="126" t="str">
        <f>'Закупка'!A85</f>
        <v/>
      </c>
      <c r="B85" s="127" t="str">
        <f>'Закупка'!B85</f>
        <v/>
      </c>
      <c r="C85" s="128" t="str">
        <f>'Закупка'!R85</f>
        <v/>
      </c>
      <c r="D85" s="129" t="str">
        <f t="array" ref="D85">INDEX('Закупка'!G85:K85, $A$2)</f>
        <v/>
      </c>
      <c r="E85" s="130" t="str">
        <f>'Закупка'!F85</f>
        <v/>
      </c>
      <c r="F85" s="131" t="str">
        <f t="shared" si="1"/>
        <v/>
      </c>
      <c r="G85" s="132"/>
      <c r="H85" s="133"/>
      <c r="I85" s="134"/>
      <c r="J85" s="131"/>
      <c r="K85" s="135" t="str">
        <f>'Закупка'!T85</f>
        <v/>
      </c>
      <c r="L85" s="144" t="str">
        <f>'Закупка'!U85</f>
        <v/>
      </c>
      <c r="M85" s="137" t="str">
        <f>'Закупка'!V85</f>
        <v/>
      </c>
    </row>
    <row r="86" ht="44.25" customHeight="1">
      <c r="A86" s="126" t="str">
        <f>'Закупка'!A86</f>
        <v/>
      </c>
      <c r="B86" s="127" t="str">
        <f>'Закупка'!B86</f>
        <v/>
      </c>
      <c r="C86" s="128" t="str">
        <f>'Закупка'!R86</f>
        <v/>
      </c>
      <c r="D86" s="129" t="str">
        <f t="array" ref="D86">INDEX('Закупка'!G86:K86, $A$2)</f>
        <v/>
      </c>
      <c r="E86" s="130" t="str">
        <f>'Закупка'!F86</f>
        <v/>
      </c>
      <c r="F86" s="131" t="str">
        <f t="shared" si="1"/>
        <v/>
      </c>
      <c r="G86" s="132"/>
      <c r="H86" s="133"/>
      <c r="I86" s="134"/>
      <c r="J86" s="131"/>
      <c r="K86" s="135" t="str">
        <f>'Закупка'!T86</f>
        <v/>
      </c>
      <c r="L86" s="144" t="str">
        <f>'Закупка'!U86</f>
        <v/>
      </c>
      <c r="M86" s="137" t="str">
        <f>'Закупка'!V86</f>
        <v/>
      </c>
    </row>
    <row r="87" ht="44.25" customHeight="1">
      <c r="A87" s="126" t="str">
        <f>'Закупка'!A87</f>
        <v/>
      </c>
      <c r="B87" s="127" t="str">
        <f>'Закупка'!B87</f>
        <v/>
      </c>
      <c r="C87" s="128" t="str">
        <f>'Закупка'!R87</f>
        <v/>
      </c>
      <c r="D87" s="129" t="str">
        <f t="array" ref="D87">INDEX('Закупка'!G87:K87, $A$2)</f>
        <v/>
      </c>
      <c r="E87" s="130" t="str">
        <f>'Закупка'!F87</f>
        <v/>
      </c>
      <c r="F87" s="131" t="str">
        <f t="shared" si="1"/>
        <v/>
      </c>
      <c r="G87" s="132"/>
      <c r="H87" s="133"/>
      <c r="I87" s="134"/>
      <c r="J87" s="131"/>
      <c r="K87" s="135" t="str">
        <f>'Закупка'!T87</f>
        <v/>
      </c>
      <c r="L87" s="144" t="str">
        <f>'Закупка'!U87</f>
        <v/>
      </c>
      <c r="M87" s="137" t="str">
        <f>'Закупка'!V87</f>
        <v/>
      </c>
    </row>
    <row r="88" ht="44.25" customHeight="1">
      <c r="A88" s="126" t="str">
        <f>'Закупка'!A88</f>
        <v/>
      </c>
      <c r="B88" s="127" t="str">
        <f>'Закупка'!B88</f>
        <v/>
      </c>
      <c r="C88" s="128" t="str">
        <f>'Закупка'!R88</f>
        <v/>
      </c>
      <c r="D88" s="129" t="str">
        <f t="array" ref="D88">INDEX('Закупка'!G88:K88, $A$2)</f>
        <v/>
      </c>
      <c r="E88" s="130" t="str">
        <f>'Закупка'!F88</f>
        <v/>
      </c>
      <c r="F88" s="131" t="str">
        <f t="shared" si="1"/>
        <v/>
      </c>
      <c r="G88" s="132"/>
      <c r="H88" s="133"/>
      <c r="I88" s="134"/>
      <c r="J88" s="131"/>
      <c r="K88" s="135" t="str">
        <f>'Закупка'!T88</f>
        <v/>
      </c>
      <c r="L88" s="144" t="str">
        <f>'Закупка'!U88</f>
        <v/>
      </c>
      <c r="M88" s="137" t="str">
        <f>'Закупка'!V88</f>
        <v/>
      </c>
    </row>
    <row r="89" ht="44.25" customHeight="1">
      <c r="A89" s="126" t="str">
        <f>'Закупка'!A89</f>
        <v/>
      </c>
      <c r="B89" s="127" t="str">
        <f>'Закупка'!B89</f>
        <v/>
      </c>
      <c r="C89" s="128" t="str">
        <f>'Закупка'!R89</f>
        <v/>
      </c>
      <c r="D89" s="129" t="str">
        <f t="array" ref="D89">INDEX('Закупка'!G89:K89, $A$2)</f>
        <v/>
      </c>
      <c r="E89" s="130" t="str">
        <f>'Закупка'!F89</f>
        <v/>
      </c>
      <c r="F89" s="131" t="str">
        <f t="shared" si="1"/>
        <v/>
      </c>
      <c r="G89" s="132"/>
      <c r="H89" s="133"/>
      <c r="I89" s="134"/>
      <c r="J89" s="131"/>
      <c r="K89" s="135" t="str">
        <f>'Закупка'!T89</f>
        <v/>
      </c>
      <c r="L89" s="144" t="str">
        <f>'Закупка'!U89</f>
        <v/>
      </c>
      <c r="M89" s="137" t="str">
        <f>'Закупка'!V89</f>
        <v/>
      </c>
    </row>
    <row r="90" ht="44.25" customHeight="1">
      <c r="A90" s="126" t="str">
        <f>'Закупка'!A90</f>
        <v/>
      </c>
      <c r="B90" s="127" t="str">
        <f>'Закупка'!B90</f>
        <v/>
      </c>
      <c r="C90" s="128" t="str">
        <f>'Закупка'!R90</f>
        <v/>
      </c>
      <c r="D90" s="129" t="str">
        <f t="array" ref="D90">INDEX('Закупка'!G90:K90, $A$2)</f>
        <v/>
      </c>
      <c r="E90" s="130" t="str">
        <f>'Закупка'!F90</f>
        <v/>
      </c>
      <c r="F90" s="131" t="str">
        <f t="shared" si="1"/>
        <v/>
      </c>
      <c r="G90" s="132"/>
      <c r="H90" s="133"/>
      <c r="I90" s="134"/>
      <c r="J90" s="131"/>
      <c r="K90" s="135" t="str">
        <f>'Закупка'!T90</f>
        <v/>
      </c>
      <c r="L90" s="144" t="str">
        <f>'Закупка'!U90</f>
        <v/>
      </c>
      <c r="M90" s="137" t="str">
        <f>'Закупка'!V90</f>
        <v/>
      </c>
    </row>
    <row r="91" ht="44.25" customHeight="1">
      <c r="A91" s="126" t="str">
        <f>'Закупка'!A91</f>
        <v/>
      </c>
      <c r="B91" s="127" t="str">
        <f>'Закупка'!B91</f>
        <v/>
      </c>
      <c r="C91" s="128" t="str">
        <f>'Закупка'!R91</f>
        <v/>
      </c>
      <c r="D91" s="129" t="str">
        <f t="array" ref="D91">INDEX('Закупка'!G91:K91, $A$2)</f>
        <v/>
      </c>
      <c r="E91" s="130" t="str">
        <f>'Закупка'!F91</f>
        <v/>
      </c>
      <c r="F91" s="131" t="str">
        <f t="shared" si="1"/>
        <v/>
      </c>
      <c r="G91" s="132"/>
      <c r="H91" s="133"/>
      <c r="I91" s="134"/>
      <c r="J91" s="131"/>
      <c r="K91" s="135" t="str">
        <f>'Закупка'!T91</f>
        <v/>
      </c>
      <c r="L91" s="144" t="str">
        <f>'Закупка'!U91</f>
        <v/>
      </c>
      <c r="M91" s="137" t="str">
        <f>'Закупка'!V91</f>
        <v/>
      </c>
    </row>
    <row r="92" ht="44.25" customHeight="1">
      <c r="A92" s="126" t="str">
        <f>'Закупка'!A92</f>
        <v/>
      </c>
      <c r="B92" s="127" t="str">
        <f>'Закупка'!B92</f>
        <v/>
      </c>
      <c r="C92" s="128" t="str">
        <f>'Закупка'!R92</f>
        <v/>
      </c>
      <c r="D92" s="129" t="str">
        <f t="array" ref="D92">INDEX('Закупка'!G92:K92, $A$2)</f>
        <v/>
      </c>
      <c r="E92" s="130" t="str">
        <f>'Закупка'!F92</f>
        <v/>
      </c>
      <c r="F92" s="131" t="str">
        <f t="shared" si="1"/>
        <v/>
      </c>
      <c r="G92" s="132"/>
      <c r="H92" s="133"/>
      <c r="I92" s="134"/>
      <c r="J92" s="131"/>
      <c r="K92" s="135" t="str">
        <f>'Закупка'!T92</f>
        <v/>
      </c>
      <c r="L92" s="144" t="str">
        <f>'Закупка'!U92</f>
        <v/>
      </c>
      <c r="M92" s="137" t="str">
        <f>'Закупка'!V92</f>
        <v/>
      </c>
    </row>
    <row r="93" ht="44.25" customHeight="1">
      <c r="A93" s="126" t="str">
        <f>'Закупка'!A93</f>
        <v/>
      </c>
      <c r="B93" s="127" t="str">
        <f>'Закупка'!B93</f>
        <v/>
      </c>
      <c r="C93" s="128" t="str">
        <f>'Закупка'!R93</f>
        <v/>
      </c>
      <c r="D93" s="129" t="str">
        <f t="array" ref="D93">INDEX('Закупка'!G93:K93, $A$2)</f>
        <v/>
      </c>
      <c r="E93" s="130" t="str">
        <f>'Закупка'!F93</f>
        <v/>
      </c>
      <c r="F93" s="131" t="str">
        <f t="shared" si="1"/>
        <v/>
      </c>
      <c r="G93" s="132"/>
      <c r="H93" s="133"/>
      <c r="I93" s="134"/>
      <c r="J93" s="131"/>
      <c r="K93" s="135" t="str">
        <f>'Закупка'!T93</f>
        <v/>
      </c>
      <c r="L93" s="144" t="str">
        <f>'Закупка'!U93</f>
        <v/>
      </c>
      <c r="M93" s="137" t="str">
        <f>'Закупка'!V93</f>
        <v/>
      </c>
    </row>
    <row r="94" ht="44.25" customHeight="1">
      <c r="A94" s="126" t="str">
        <f>'Закупка'!A94</f>
        <v/>
      </c>
      <c r="B94" s="127" t="str">
        <f>'Закупка'!B94</f>
        <v/>
      </c>
      <c r="C94" s="128" t="str">
        <f>'Закупка'!R94</f>
        <v/>
      </c>
      <c r="D94" s="129" t="str">
        <f t="array" ref="D94">INDEX('Закупка'!G94:K94, $A$2)</f>
        <v/>
      </c>
      <c r="E94" s="130" t="str">
        <f>'Закупка'!F94</f>
        <v/>
      </c>
      <c r="F94" s="131" t="str">
        <f t="shared" si="1"/>
        <v/>
      </c>
      <c r="G94" s="132"/>
      <c r="H94" s="133"/>
      <c r="I94" s="134"/>
      <c r="J94" s="131"/>
      <c r="K94" s="135" t="str">
        <f>'Закупка'!T94</f>
        <v/>
      </c>
      <c r="L94" s="144" t="str">
        <f>'Закупка'!U94</f>
        <v/>
      </c>
      <c r="M94" s="137" t="str">
        <f>'Закупка'!V94</f>
        <v/>
      </c>
    </row>
    <row r="95" ht="44.25" customHeight="1">
      <c r="A95" s="126" t="str">
        <f>'Закупка'!A95</f>
        <v/>
      </c>
      <c r="B95" s="127" t="str">
        <f>'Закупка'!B95</f>
        <v/>
      </c>
      <c r="C95" s="128" t="str">
        <f>'Закупка'!R95</f>
        <v/>
      </c>
      <c r="D95" s="129" t="str">
        <f t="array" ref="D95">INDEX('Закупка'!G95:K95, $A$2)</f>
        <v/>
      </c>
      <c r="E95" s="130" t="str">
        <f>'Закупка'!F95</f>
        <v/>
      </c>
      <c r="F95" s="131" t="str">
        <f t="shared" si="1"/>
        <v/>
      </c>
      <c r="G95" s="132"/>
      <c r="H95" s="133"/>
      <c r="I95" s="134"/>
      <c r="J95" s="131"/>
      <c r="K95" s="135" t="str">
        <f>'Закупка'!T95</f>
        <v/>
      </c>
      <c r="L95" s="144" t="str">
        <f>'Закупка'!U95</f>
        <v/>
      </c>
      <c r="M95" s="137" t="str">
        <f>'Закупка'!V95</f>
        <v/>
      </c>
    </row>
    <row r="96" ht="44.25" customHeight="1">
      <c r="A96" s="126" t="str">
        <f>'Закупка'!A96</f>
        <v/>
      </c>
      <c r="B96" s="127" t="str">
        <f>'Закупка'!B96</f>
        <v/>
      </c>
      <c r="C96" s="128" t="str">
        <f>'Закупка'!R96</f>
        <v/>
      </c>
      <c r="D96" s="129" t="str">
        <f t="array" ref="D96">INDEX('Закупка'!G96:K96, $A$2)</f>
        <v/>
      </c>
      <c r="E96" s="130" t="str">
        <f>'Закупка'!F96</f>
        <v/>
      </c>
      <c r="F96" s="131" t="str">
        <f t="shared" si="1"/>
        <v/>
      </c>
      <c r="G96" s="132"/>
      <c r="H96" s="133"/>
      <c r="I96" s="134"/>
      <c r="J96" s="131"/>
      <c r="K96" s="135" t="str">
        <f>'Закупка'!T96</f>
        <v/>
      </c>
      <c r="L96" s="144" t="str">
        <f>'Закупка'!U96</f>
        <v/>
      </c>
      <c r="M96" s="137" t="str">
        <f>'Закупка'!V96</f>
        <v/>
      </c>
    </row>
    <row r="97" ht="44.25" customHeight="1">
      <c r="A97" s="126" t="str">
        <f>'Закупка'!A97</f>
        <v/>
      </c>
      <c r="B97" s="127" t="str">
        <f>'Закупка'!B97</f>
        <v/>
      </c>
      <c r="C97" s="128" t="str">
        <f>'Закупка'!R97</f>
        <v/>
      </c>
      <c r="D97" s="129" t="str">
        <f t="array" ref="D97">INDEX('Закупка'!G97:K97, $A$2)</f>
        <v/>
      </c>
      <c r="E97" s="130" t="str">
        <f>'Закупка'!F97</f>
        <v/>
      </c>
      <c r="F97" s="131" t="str">
        <f t="shared" si="1"/>
        <v/>
      </c>
      <c r="G97" s="132"/>
      <c r="H97" s="133"/>
      <c r="I97" s="134"/>
      <c r="J97" s="131"/>
      <c r="K97" s="135" t="str">
        <f>'Закупка'!T97</f>
        <v/>
      </c>
      <c r="L97" s="144" t="str">
        <f>'Закупка'!U97</f>
        <v/>
      </c>
      <c r="M97" s="137" t="str">
        <f>'Закупка'!V97</f>
        <v/>
      </c>
    </row>
    <row r="98" ht="44.25" customHeight="1">
      <c r="A98" s="126" t="str">
        <f>'Закупка'!A98</f>
        <v/>
      </c>
      <c r="B98" s="127" t="str">
        <f>'Закупка'!B98</f>
        <v/>
      </c>
      <c r="C98" s="128" t="str">
        <f>'Закупка'!R98</f>
        <v/>
      </c>
      <c r="D98" s="129" t="str">
        <f t="array" ref="D98">INDEX('Закупка'!G98:K98, $A$2)</f>
        <v/>
      </c>
      <c r="E98" s="130" t="str">
        <f>'Закупка'!F98</f>
        <v/>
      </c>
      <c r="F98" s="131" t="str">
        <f t="shared" si="1"/>
        <v/>
      </c>
      <c r="G98" s="132"/>
      <c r="H98" s="133"/>
      <c r="I98" s="134"/>
      <c r="J98" s="131"/>
      <c r="K98" s="135" t="str">
        <f>'Закупка'!T98</f>
        <v/>
      </c>
      <c r="L98" s="144" t="str">
        <f>'Закупка'!U98</f>
        <v/>
      </c>
      <c r="M98" s="137" t="str">
        <f>'Закупка'!V98</f>
        <v/>
      </c>
    </row>
    <row r="99" ht="44.25" customHeight="1">
      <c r="A99" s="126" t="str">
        <f>'Закупка'!A99</f>
        <v/>
      </c>
      <c r="B99" s="127" t="str">
        <f>'Закупка'!B99</f>
        <v/>
      </c>
      <c r="C99" s="128" t="str">
        <f>'Закупка'!R99</f>
        <v/>
      </c>
      <c r="D99" s="129" t="str">
        <f t="array" ref="D99">INDEX('Закупка'!G99:K99, $A$2)</f>
        <v/>
      </c>
      <c r="E99" s="130" t="str">
        <f>'Закупка'!F99</f>
        <v/>
      </c>
      <c r="F99" s="131" t="str">
        <f t="shared" si="1"/>
        <v/>
      </c>
      <c r="G99" s="132"/>
      <c r="H99" s="133"/>
      <c r="I99" s="134"/>
      <c r="J99" s="131" t="str">
        <f t="shared" ref="J99:J199" si="2">IF(H99&lt;&gt;"", H99-F99,)</f>
        <v/>
      </c>
      <c r="K99" s="135" t="str">
        <f>'Закупка'!T99</f>
        <v/>
      </c>
      <c r="L99" s="144" t="str">
        <f>'Закупка'!U99</f>
        <v/>
      </c>
      <c r="M99" s="137" t="str">
        <f>'Закупка'!V99</f>
        <v/>
      </c>
    </row>
    <row r="100" ht="44.25" customHeight="1">
      <c r="A100" s="126" t="str">
        <f>'Закупка'!A100</f>
        <v/>
      </c>
      <c r="B100" s="127" t="str">
        <f>'Закупка'!B100</f>
        <v/>
      </c>
      <c r="C100" s="128" t="str">
        <f>'Закупка'!R100</f>
        <v/>
      </c>
      <c r="D100" s="129" t="str">
        <f t="array" ref="D100">INDEX('Закупка'!G100:K100, $A$2)</f>
        <v/>
      </c>
      <c r="E100" s="130" t="str">
        <f>'Закупка'!F100</f>
        <v/>
      </c>
      <c r="F100" s="131" t="str">
        <f t="shared" si="1"/>
        <v/>
      </c>
      <c r="G100" s="132"/>
      <c r="H100" s="133"/>
      <c r="I100" s="134"/>
      <c r="J100" s="131" t="str">
        <f t="shared" si="2"/>
        <v/>
      </c>
      <c r="K100" s="135" t="str">
        <f>'Закупка'!T100</f>
        <v/>
      </c>
      <c r="L100" s="144" t="str">
        <f>'Закупка'!U100</f>
        <v/>
      </c>
      <c r="M100" s="137" t="str">
        <f>'Закупка'!V100</f>
        <v/>
      </c>
    </row>
    <row r="101" ht="44.25" customHeight="1">
      <c r="A101" s="126" t="str">
        <f>'Закупка'!A101</f>
        <v/>
      </c>
      <c r="B101" s="127" t="str">
        <f>'Закупка'!B101</f>
        <v/>
      </c>
      <c r="C101" s="128" t="str">
        <f>'Закупка'!R101</f>
        <v/>
      </c>
      <c r="D101" s="129" t="str">
        <f t="array" ref="D101">INDEX('Закупка'!G101:K101, $A$2)</f>
        <v/>
      </c>
      <c r="E101" s="130" t="str">
        <f>'Закупка'!F101</f>
        <v/>
      </c>
      <c r="F101" s="131" t="str">
        <f t="shared" si="1"/>
        <v/>
      </c>
      <c r="G101" s="132"/>
      <c r="H101" s="133"/>
      <c r="I101" s="134"/>
      <c r="J101" s="131" t="str">
        <f t="shared" si="2"/>
        <v/>
      </c>
      <c r="K101" s="135" t="str">
        <f>'Закупка'!T101</f>
        <v/>
      </c>
      <c r="L101" s="144" t="str">
        <f>'Закупка'!U101</f>
        <v/>
      </c>
      <c r="M101" s="137" t="str">
        <f>'Закупка'!V101</f>
        <v/>
      </c>
    </row>
    <row r="102" ht="44.25" customHeight="1">
      <c r="A102" s="126" t="str">
        <f>'Закупка'!A102</f>
        <v/>
      </c>
      <c r="B102" s="127" t="str">
        <f>'Закупка'!B102</f>
        <v/>
      </c>
      <c r="C102" s="128" t="str">
        <f>'Закупка'!R102</f>
        <v/>
      </c>
      <c r="D102" s="129" t="str">
        <f t="array" ref="D102">INDEX('Закупка'!G102:K102, $A$2)</f>
        <v/>
      </c>
      <c r="E102" s="130" t="str">
        <f>'Закупка'!F102</f>
        <v/>
      </c>
      <c r="F102" s="131" t="str">
        <f t="shared" si="1"/>
        <v/>
      </c>
      <c r="G102" s="132"/>
      <c r="H102" s="133"/>
      <c r="I102" s="134"/>
      <c r="J102" s="131" t="str">
        <f t="shared" si="2"/>
        <v/>
      </c>
      <c r="K102" s="135" t="str">
        <f>'Закупка'!T102</f>
        <v/>
      </c>
      <c r="L102" s="144" t="str">
        <f>'Закупка'!U102</f>
        <v/>
      </c>
      <c r="M102" s="137" t="str">
        <f>'Закупка'!V102</f>
        <v/>
      </c>
    </row>
    <row r="103" ht="44.25" customHeight="1">
      <c r="A103" s="126" t="str">
        <f>'Закупка'!A103</f>
        <v/>
      </c>
      <c r="B103" s="127" t="str">
        <f>'Закупка'!B103</f>
        <v/>
      </c>
      <c r="C103" s="128" t="str">
        <f>'Закупка'!R103</f>
        <v/>
      </c>
      <c r="D103" s="129" t="str">
        <f t="array" ref="D103">INDEX('Закупка'!G103:K103, $A$2)</f>
        <v/>
      </c>
      <c r="E103" s="130" t="str">
        <f>'Закупка'!F103</f>
        <v/>
      </c>
      <c r="F103" s="131" t="str">
        <f t="shared" si="1"/>
        <v/>
      </c>
      <c r="G103" s="132"/>
      <c r="H103" s="133"/>
      <c r="I103" s="134"/>
      <c r="J103" s="131" t="str">
        <f t="shared" si="2"/>
        <v/>
      </c>
      <c r="K103" s="135" t="str">
        <f>'Закупка'!T103</f>
        <v/>
      </c>
      <c r="L103" s="144" t="str">
        <f>'Закупка'!U103</f>
        <v/>
      </c>
      <c r="M103" s="137" t="str">
        <f>'Закупка'!V103</f>
        <v/>
      </c>
    </row>
    <row r="104" ht="44.25" customHeight="1">
      <c r="A104" s="126" t="str">
        <f>'Закупка'!A104</f>
        <v/>
      </c>
      <c r="B104" s="127" t="str">
        <f>'Закупка'!B104</f>
        <v/>
      </c>
      <c r="C104" s="128" t="str">
        <f>'Закупка'!R104</f>
        <v/>
      </c>
      <c r="D104" s="129" t="str">
        <f t="array" ref="D104">INDEX('Закупка'!G104:K104, $A$2)</f>
        <v/>
      </c>
      <c r="E104" s="130" t="str">
        <f>'Закупка'!F104</f>
        <v/>
      </c>
      <c r="F104" s="131" t="str">
        <f t="shared" si="1"/>
        <v/>
      </c>
      <c r="G104" s="132"/>
      <c r="H104" s="133"/>
      <c r="I104" s="134"/>
      <c r="J104" s="131" t="str">
        <f t="shared" si="2"/>
        <v/>
      </c>
      <c r="K104" s="135" t="str">
        <f>'Закупка'!T104</f>
        <v/>
      </c>
      <c r="L104" s="144" t="str">
        <f>'Закупка'!U104</f>
        <v/>
      </c>
      <c r="M104" s="137" t="str">
        <f>'Закупка'!V104</f>
        <v/>
      </c>
    </row>
    <row r="105" ht="44.25" customHeight="1">
      <c r="A105" s="126" t="str">
        <f>'Закупка'!A105</f>
        <v/>
      </c>
      <c r="B105" s="127" t="str">
        <f>'Закупка'!B105</f>
        <v/>
      </c>
      <c r="C105" s="128" t="str">
        <f>'Закупка'!R105</f>
        <v/>
      </c>
      <c r="D105" s="129" t="str">
        <f t="array" ref="D105">INDEX('Закупка'!G105:K105, $A$2)</f>
        <v/>
      </c>
      <c r="E105" s="130" t="str">
        <f>'Закупка'!F105</f>
        <v/>
      </c>
      <c r="F105" s="131" t="str">
        <f t="shared" si="1"/>
        <v/>
      </c>
      <c r="G105" s="132"/>
      <c r="H105" s="133"/>
      <c r="I105" s="134"/>
      <c r="J105" s="131" t="str">
        <f t="shared" si="2"/>
        <v/>
      </c>
      <c r="K105" s="135" t="str">
        <f>'Закупка'!T105</f>
        <v/>
      </c>
      <c r="L105" s="144" t="str">
        <f>'Закупка'!U105</f>
        <v/>
      </c>
      <c r="M105" s="137" t="str">
        <f>'Закупка'!V105</f>
        <v/>
      </c>
    </row>
    <row r="106" ht="44.25" customHeight="1">
      <c r="A106" s="126" t="str">
        <f>'Закупка'!A106</f>
        <v/>
      </c>
      <c r="B106" s="127" t="str">
        <f>'Закупка'!B106</f>
        <v/>
      </c>
      <c r="C106" s="128" t="str">
        <f>'Закупка'!R106</f>
        <v/>
      </c>
      <c r="D106" s="129" t="str">
        <f t="array" ref="D106">INDEX('Закупка'!G106:K106, $A$2)</f>
        <v/>
      </c>
      <c r="E106" s="130" t="str">
        <f>'Закупка'!F106</f>
        <v/>
      </c>
      <c r="F106" s="131" t="str">
        <f t="shared" si="1"/>
        <v/>
      </c>
      <c r="G106" s="132"/>
      <c r="H106" s="133"/>
      <c r="I106" s="134"/>
      <c r="J106" s="131" t="str">
        <f t="shared" si="2"/>
        <v/>
      </c>
      <c r="K106" s="135" t="str">
        <f>'Закупка'!T106</f>
        <v/>
      </c>
      <c r="L106" s="144" t="str">
        <f>'Закупка'!U106</f>
        <v/>
      </c>
      <c r="M106" s="137" t="str">
        <f>'Закупка'!V106</f>
        <v/>
      </c>
    </row>
    <row r="107" ht="44.25" customHeight="1">
      <c r="A107" s="126" t="str">
        <f>'Закупка'!A107</f>
        <v/>
      </c>
      <c r="B107" s="127" t="str">
        <f>'Закупка'!B107</f>
        <v/>
      </c>
      <c r="C107" s="128" t="str">
        <f>'Закупка'!R107</f>
        <v/>
      </c>
      <c r="D107" s="129" t="str">
        <f t="array" ref="D107">INDEX('Закупка'!G107:K107, $A$2)</f>
        <v/>
      </c>
      <c r="E107" s="130" t="str">
        <f>'Закупка'!F107</f>
        <v/>
      </c>
      <c r="F107" s="131" t="str">
        <f t="shared" si="1"/>
        <v/>
      </c>
      <c r="G107" s="132"/>
      <c r="H107" s="133"/>
      <c r="I107" s="134"/>
      <c r="J107" s="131" t="str">
        <f t="shared" si="2"/>
        <v/>
      </c>
      <c r="K107" s="135" t="str">
        <f>'Закупка'!T107</f>
        <v/>
      </c>
      <c r="L107" s="144" t="str">
        <f>'Закупка'!U107</f>
        <v/>
      </c>
      <c r="M107" s="137" t="str">
        <f>'Закупка'!V107</f>
        <v/>
      </c>
    </row>
    <row r="108" ht="44.25" customHeight="1">
      <c r="A108" s="126" t="str">
        <f>'Закупка'!A108</f>
        <v/>
      </c>
      <c r="B108" s="127" t="str">
        <f>'Закупка'!B108</f>
        <v/>
      </c>
      <c r="C108" s="128" t="str">
        <f>'Закупка'!R108</f>
        <v/>
      </c>
      <c r="D108" s="129" t="str">
        <f t="array" ref="D108">INDEX('Закупка'!G108:K108, $A$2)</f>
        <v/>
      </c>
      <c r="E108" s="130" t="str">
        <f>'Закупка'!F108</f>
        <v/>
      </c>
      <c r="F108" s="131" t="str">
        <f t="shared" si="1"/>
        <v/>
      </c>
      <c r="G108" s="132"/>
      <c r="H108" s="133"/>
      <c r="I108" s="134"/>
      <c r="J108" s="131" t="str">
        <f t="shared" si="2"/>
        <v/>
      </c>
      <c r="K108" s="135" t="str">
        <f>'Закупка'!T108</f>
        <v/>
      </c>
      <c r="L108" s="144" t="str">
        <f>'Закупка'!U108</f>
        <v/>
      </c>
      <c r="M108" s="137" t="str">
        <f>'Закупка'!V108</f>
        <v/>
      </c>
    </row>
    <row r="109" ht="44.25" customHeight="1">
      <c r="A109" s="126" t="str">
        <f>'Закупка'!A109</f>
        <v/>
      </c>
      <c r="B109" s="127" t="str">
        <f>'Закупка'!B109</f>
        <v/>
      </c>
      <c r="C109" s="128" t="str">
        <f>'Закупка'!R109</f>
        <v/>
      </c>
      <c r="D109" s="129" t="str">
        <f t="array" ref="D109">INDEX('Закупка'!G109:K109, $A$2)</f>
        <v/>
      </c>
      <c r="E109" s="130" t="str">
        <f>'Закупка'!F109</f>
        <v/>
      </c>
      <c r="F109" s="131" t="str">
        <f t="shared" si="1"/>
        <v/>
      </c>
      <c r="G109" s="132"/>
      <c r="H109" s="133"/>
      <c r="I109" s="134"/>
      <c r="J109" s="131" t="str">
        <f t="shared" si="2"/>
        <v/>
      </c>
      <c r="K109" s="135" t="str">
        <f>'Закупка'!T109</f>
        <v/>
      </c>
      <c r="L109" s="144" t="str">
        <f>'Закупка'!U109</f>
        <v/>
      </c>
      <c r="M109" s="137" t="str">
        <f>'Закупка'!V109</f>
        <v/>
      </c>
    </row>
    <row r="110" ht="44.25" customHeight="1">
      <c r="A110" s="126" t="str">
        <f>'Закупка'!A110</f>
        <v/>
      </c>
      <c r="B110" s="127" t="str">
        <f>'Закупка'!B110</f>
        <v/>
      </c>
      <c r="C110" s="128" t="str">
        <f>'Закупка'!R110</f>
        <v/>
      </c>
      <c r="D110" s="129" t="str">
        <f t="array" ref="D110">INDEX('Закупка'!G110:K110, $A$2)</f>
        <v/>
      </c>
      <c r="E110" s="130" t="str">
        <f>'Закупка'!F110</f>
        <v/>
      </c>
      <c r="F110" s="131" t="str">
        <f t="shared" si="1"/>
        <v/>
      </c>
      <c r="G110" s="132"/>
      <c r="H110" s="133"/>
      <c r="I110" s="134"/>
      <c r="J110" s="131" t="str">
        <f t="shared" si="2"/>
        <v/>
      </c>
      <c r="K110" s="135" t="str">
        <f>'Закупка'!T110</f>
        <v/>
      </c>
      <c r="L110" s="144" t="str">
        <f>'Закупка'!U110</f>
        <v/>
      </c>
      <c r="M110" s="137" t="str">
        <f>'Закупка'!V110</f>
        <v/>
      </c>
    </row>
    <row r="111" ht="44.25" customHeight="1">
      <c r="A111" s="126" t="str">
        <f>'Закупка'!A111</f>
        <v/>
      </c>
      <c r="B111" s="127" t="str">
        <f>'Закупка'!B111</f>
        <v/>
      </c>
      <c r="C111" s="128" t="str">
        <f>'Закупка'!R111</f>
        <v/>
      </c>
      <c r="D111" s="129" t="str">
        <f t="array" ref="D111">INDEX('Закупка'!G111:K111, $A$2)</f>
        <v/>
      </c>
      <c r="E111" s="130" t="str">
        <f>'Закупка'!F111</f>
        <v/>
      </c>
      <c r="F111" s="131" t="str">
        <f t="shared" si="1"/>
        <v/>
      </c>
      <c r="G111" s="132"/>
      <c r="H111" s="133"/>
      <c r="I111" s="134"/>
      <c r="J111" s="131" t="str">
        <f t="shared" si="2"/>
        <v/>
      </c>
      <c r="K111" s="135" t="str">
        <f>'Закупка'!T111</f>
        <v/>
      </c>
      <c r="L111" s="144" t="str">
        <f>'Закупка'!U111</f>
        <v/>
      </c>
      <c r="M111" s="137" t="str">
        <f>'Закупка'!V111</f>
        <v/>
      </c>
    </row>
    <row r="112" ht="44.25" customHeight="1">
      <c r="A112" s="126" t="str">
        <f>'Закупка'!A112</f>
        <v/>
      </c>
      <c r="B112" s="127" t="str">
        <f>'Закупка'!B112</f>
        <v/>
      </c>
      <c r="C112" s="128" t="str">
        <f>'Закупка'!R112</f>
        <v/>
      </c>
      <c r="D112" s="129" t="str">
        <f t="array" ref="D112">INDEX('Закупка'!G112:K112, $A$2)</f>
        <v/>
      </c>
      <c r="E112" s="130" t="str">
        <f>'Закупка'!F112</f>
        <v/>
      </c>
      <c r="F112" s="131" t="str">
        <f t="shared" si="1"/>
        <v/>
      </c>
      <c r="G112" s="132"/>
      <c r="H112" s="133"/>
      <c r="I112" s="134"/>
      <c r="J112" s="131" t="str">
        <f t="shared" si="2"/>
        <v/>
      </c>
      <c r="K112" s="135" t="str">
        <f>'Закупка'!T112</f>
        <v/>
      </c>
      <c r="L112" s="144" t="str">
        <f>'Закупка'!U112</f>
        <v/>
      </c>
      <c r="M112" s="137" t="str">
        <f>'Закупка'!V112</f>
        <v/>
      </c>
    </row>
    <row r="113" ht="44.25" customHeight="1">
      <c r="A113" s="126" t="str">
        <f>'Закупка'!A113</f>
        <v/>
      </c>
      <c r="B113" s="127" t="str">
        <f>'Закупка'!B113</f>
        <v/>
      </c>
      <c r="C113" s="128" t="str">
        <f>'Закупка'!R113</f>
        <v/>
      </c>
      <c r="D113" s="129" t="str">
        <f t="array" ref="D113">INDEX('Закупка'!G113:K113, $A$2)</f>
        <v/>
      </c>
      <c r="E113" s="130" t="str">
        <f>'Закупка'!F113</f>
        <v/>
      </c>
      <c r="F113" s="131" t="str">
        <f t="shared" si="1"/>
        <v/>
      </c>
      <c r="G113" s="132"/>
      <c r="H113" s="133"/>
      <c r="I113" s="134"/>
      <c r="J113" s="131" t="str">
        <f t="shared" si="2"/>
        <v/>
      </c>
      <c r="K113" s="135" t="str">
        <f>'Закупка'!T113</f>
        <v/>
      </c>
      <c r="L113" s="144" t="str">
        <f>'Закупка'!U113</f>
        <v/>
      </c>
      <c r="M113" s="137" t="str">
        <f>'Закупка'!V113</f>
        <v/>
      </c>
    </row>
    <row r="114" ht="44.25" customHeight="1">
      <c r="A114" s="126" t="str">
        <f>'Закупка'!A114</f>
        <v/>
      </c>
      <c r="B114" s="127" t="str">
        <f>'Закупка'!B114</f>
        <v/>
      </c>
      <c r="C114" s="128" t="str">
        <f>'Закупка'!R114</f>
        <v/>
      </c>
      <c r="D114" s="129" t="str">
        <f t="array" ref="D114">INDEX('Закупка'!G114:K114, $A$2)</f>
        <v/>
      </c>
      <c r="E114" s="130" t="str">
        <f>'Закупка'!F114</f>
        <v/>
      </c>
      <c r="F114" s="131" t="str">
        <f t="shared" si="1"/>
        <v/>
      </c>
      <c r="G114" s="132"/>
      <c r="H114" s="133"/>
      <c r="I114" s="134"/>
      <c r="J114" s="131" t="str">
        <f t="shared" si="2"/>
        <v/>
      </c>
      <c r="K114" s="135" t="str">
        <f>'Закупка'!T114</f>
        <v/>
      </c>
      <c r="L114" s="144" t="str">
        <f>'Закупка'!U114</f>
        <v/>
      </c>
      <c r="M114" s="137" t="str">
        <f>'Закупка'!V114</f>
        <v/>
      </c>
    </row>
    <row r="115" ht="44.25" customHeight="1">
      <c r="A115" s="126" t="str">
        <f>'Закупка'!A115</f>
        <v/>
      </c>
      <c r="B115" s="127" t="str">
        <f>'Закупка'!B115</f>
        <v/>
      </c>
      <c r="C115" s="128" t="str">
        <f>'Закупка'!R115</f>
        <v/>
      </c>
      <c r="D115" s="129" t="str">
        <f t="array" ref="D115">INDEX('Закупка'!G115:K115, $A$2)</f>
        <v/>
      </c>
      <c r="E115" s="130" t="str">
        <f>'Закупка'!F115</f>
        <v/>
      </c>
      <c r="F115" s="131" t="str">
        <f t="shared" si="1"/>
        <v/>
      </c>
      <c r="G115" s="132"/>
      <c r="H115" s="133"/>
      <c r="I115" s="134"/>
      <c r="J115" s="131" t="str">
        <f t="shared" si="2"/>
        <v/>
      </c>
      <c r="K115" s="135" t="str">
        <f>'Закупка'!T115</f>
        <v/>
      </c>
      <c r="L115" s="144" t="str">
        <f>'Закупка'!U115</f>
        <v/>
      </c>
      <c r="M115" s="137" t="str">
        <f>'Закупка'!V115</f>
        <v/>
      </c>
    </row>
    <row r="116" ht="44.25" customHeight="1">
      <c r="A116" s="126" t="str">
        <f>'Закупка'!A116</f>
        <v/>
      </c>
      <c r="B116" s="127" t="str">
        <f>'Закупка'!B116</f>
        <v/>
      </c>
      <c r="C116" s="128" t="str">
        <f>'Закупка'!R116</f>
        <v/>
      </c>
      <c r="D116" s="129" t="str">
        <f t="array" ref="D116">INDEX('Закупка'!G116:K116, $A$2)</f>
        <v/>
      </c>
      <c r="E116" s="130" t="str">
        <f>'Закупка'!F116</f>
        <v/>
      </c>
      <c r="F116" s="131" t="str">
        <f t="shared" si="1"/>
        <v/>
      </c>
      <c r="G116" s="132"/>
      <c r="H116" s="133"/>
      <c r="I116" s="134"/>
      <c r="J116" s="131" t="str">
        <f t="shared" si="2"/>
        <v/>
      </c>
      <c r="K116" s="135" t="str">
        <f>'Закупка'!T116</f>
        <v/>
      </c>
      <c r="L116" s="144" t="str">
        <f>'Закупка'!U116</f>
        <v/>
      </c>
      <c r="M116" s="137" t="str">
        <f>'Закупка'!V116</f>
        <v/>
      </c>
    </row>
    <row r="117" ht="44.25" customHeight="1">
      <c r="A117" s="126" t="str">
        <f>'Закупка'!A117</f>
        <v/>
      </c>
      <c r="B117" s="127" t="str">
        <f>'Закупка'!B117</f>
        <v/>
      </c>
      <c r="C117" s="128" t="str">
        <f>'Закупка'!R117</f>
        <v/>
      </c>
      <c r="D117" s="129" t="str">
        <f t="array" ref="D117">INDEX('Закупка'!G117:K117, $A$2)</f>
        <v/>
      </c>
      <c r="E117" s="130" t="str">
        <f>'Закупка'!F117</f>
        <v/>
      </c>
      <c r="F117" s="131" t="str">
        <f t="shared" si="1"/>
        <v/>
      </c>
      <c r="G117" s="132"/>
      <c r="H117" s="133"/>
      <c r="I117" s="134"/>
      <c r="J117" s="131" t="str">
        <f t="shared" si="2"/>
        <v/>
      </c>
      <c r="K117" s="135" t="str">
        <f>'Закупка'!T117</f>
        <v/>
      </c>
      <c r="L117" s="144" t="str">
        <f>'Закупка'!U117</f>
        <v/>
      </c>
      <c r="M117" s="137" t="str">
        <f>'Закупка'!V117</f>
        <v/>
      </c>
    </row>
    <row r="118" ht="44.25" customHeight="1">
      <c r="A118" s="126" t="str">
        <f>'Закупка'!A118</f>
        <v/>
      </c>
      <c r="B118" s="127" t="str">
        <f>'Закупка'!B118</f>
        <v/>
      </c>
      <c r="C118" s="128" t="str">
        <f>'Закупка'!R118</f>
        <v/>
      </c>
      <c r="D118" s="129" t="str">
        <f t="array" ref="D118">INDEX('Закупка'!G118:K118, $A$2)</f>
        <v/>
      </c>
      <c r="E118" s="130" t="str">
        <f>'Закупка'!F118</f>
        <v/>
      </c>
      <c r="F118" s="131" t="str">
        <f t="shared" si="1"/>
        <v/>
      </c>
      <c r="G118" s="132"/>
      <c r="H118" s="133"/>
      <c r="I118" s="134"/>
      <c r="J118" s="131" t="str">
        <f t="shared" si="2"/>
        <v/>
      </c>
      <c r="K118" s="135" t="str">
        <f>'Закупка'!T118</f>
        <v/>
      </c>
      <c r="L118" s="144" t="str">
        <f>'Закупка'!U118</f>
        <v/>
      </c>
      <c r="M118" s="137" t="str">
        <f>'Закупка'!V118</f>
        <v/>
      </c>
    </row>
    <row r="119" ht="44.25" customHeight="1">
      <c r="A119" s="126" t="str">
        <f>'Закупка'!A119</f>
        <v/>
      </c>
      <c r="B119" s="127" t="str">
        <f>'Закупка'!B119</f>
        <v/>
      </c>
      <c r="C119" s="128" t="str">
        <f>'Закупка'!R119</f>
        <v/>
      </c>
      <c r="D119" s="129" t="str">
        <f t="array" ref="D119">INDEX('Закупка'!G119:K119, $A$2)</f>
        <v/>
      </c>
      <c r="E119" s="130" t="str">
        <f>'Закупка'!F119</f>
        <v/>
      </c>
      <c r="F119" s="131" t="str">
        <f t="shared" si="1"/>
        <v/>
      </c>
      <c r="G119" s="132"/>
      <c r="H119" s="133"/>
      <c r="I119" s="134"/>
      <c r="J119" s="131" t="str">
        <f t="shared" si="2"/>
        <v/>
      </c>
      <c r="K119" s="135" t="str">
        <f>'Закупка'!T119</f>
        <v/>
      </c>
      <c r="L119" s="144" t="str">
        <f>'Закупка'!U119</f>
        <v/>
      </c>
      <c r="M119" s="137" t="str">
        <f>'Закупка'!V119</f>
        <v/>
      </c>
    </row>
    <row r="120" ht="44.25" customHeight="1">
      <c r="A120" s="126" t="str">
        <f>'Закупка'!A120</f>
        <v/>
      </c>
      <c r="B120" s="127" t="str">
        <f>'Закупка'!B120</f>
        <v/>
      </c>
      <c r="C120" s="128" t="str">
        <f>'Закупка'!R120</f>
        <v/>
      </c>
      <c r="D120" s="129" t="str">
        <f t="array" ref="D120">INDEX('Закупка'!G120:K120, $A$2)</f>
        <v/>
      </c>
      <c r="E120" s="130" t="str">
        <f>'Закупка'!F120</f>
        <v/>
      </c>
      <c r="F120" s="131" t="str">
        <f t="shared" si="1"/>
        <v/>
      </c>
      <c r="G120" s="132"/>
      <c r="H120" s="133"/>
      <c r="I120" s="134"/>
      <c r="J120" s="131" t="str">
        <f t="shared" si="2"/>
        <v/>
      </c>
      <c r="K120" s="135" t="str">
        <f>'Закупка'!T120</f>
        <v/>
      </c>
      <c r="L120" s="144" t="str">
        <f>'Закупка'!U120</f>
        <v/>
      </c>
      <c r="M120" s="137" t="str">
        <f>'Закупка'!V120</f>
        <v/>
      </c>
    </row>
    <row r="121" ht="44.25" customHeight="1">
      <c r="A121" s="126" t="str">
        <f>'Закупка'!A121</f>
        <v/>
      </c>
      <c r="B121" s="127" t="str">
        <f>'Закупка'!B121</f>
        <v/>
      </c>
      <c r="C121" s="128" t="str">
        <f>'Закупка'!R121</f>
        <v/>
      </c>
      <c r="D121" s="129" t="str">
        <f t="array" ref="D121">INDEX('Закупка'!G121:K121, $A$2)</f>
        <v/>
      </c>
      <c r="E121" s="130" t="str">
        <f>'Закупка'!F121</f>
        <v/>
      </c>
      <c r="F121" s="131" t="str">
        <f t="shared" si="1"/>
        <v/>
      </c>
      <c r="G121" s="132"/>
      <c r="H121" s="133"/>
      <c r="I121" s="134"/>
      <c r="J121" s="131" t="str">
        <f t="shared" si="2"/>
        <v/>
      </c>
      <c r="K121" s="135" t="str">
        <f>'Закупка'!T121</f>
        <v/>
      </c>
      <c r="L121" s="144" t="str">
        <f>'Закупка'!U121</f>
        <v/>
      </c>
      <c r="M121" s="137" t="str">
        <f>'Закупка'!V121</f>
        <v/>
      </c>
    </row>
    <row r="122" ht="44.25" customHeight="1">
      <c r="A122" s="126" t="str">
        <f>'Закупка'!A122</f>
        <v/>
      </c>
      <c r="B122" s="127" t="str">
        <f>'Закупка'!B122</f>
        <v/>
      </c>
      <c r="C122" s="128" t="str">
        <f>'Закупка'!R122</f>
        <v/>
      </c>
      <c r="D122" s="129" t="str">
        <f t="array" ref="D122">INDEX('Закупка'!G122:K122, $A$2)</f>
        <v/>
      </c>
      <c r="E122" s="130" t="str">
        <f>'Закупка'!F122</f>
        <v/>
      </c>
      <c r="F122" s="131" t="str">
        <f t="shared" si="1"/>
        <v/>
      </c>
      <c r="G122" s="132"/>
      <c r="H122" s="133"/>
      <c r="I122" s="134"/>
      <c r="J122" s="131" t="str">
        <f t="shared" si="2"/>
        <v/>
      </c>
      <c r="K122" s="135" t="str">
        <f>'Закупка'!T122</f>
        <v/>
      </c>
      <c r="L122" s="144" t="str">
        <f>'Закупка'!U122</f>
        <v/>
      </c>
      <c r="M122" s="137" t="str">
        <f>'Закупка'!V122</f>
        <v/>
      </c>
    </row>
    <row r="123" ht="44.25" customHeight="1">
      <c r="A123" s="126" t="str">
        <f>'Закупка'!A123</f>
        <v/>
      </c>
      <c r="B123" s="127" t="str">
        <f>'Закупка'!B123</f>
        <v/>
      </c>
      <c r="C123" s="128" t="str">
        <f>'Закупка'!R123</f>
        <v/>
      </c>
      <c r="D123" s="129" t="str">
        <f t="array" ref="D123">INDEX('Закупка'!G123:K123, $A$2)</f>
        <v/>
      </c>
      <c r="E123" s="130" t="str">
        <f>'Закупка'!F123</f>
        <v/>
      </c>
      <c r="F123" s="131" t="str">
        <f t="shared" si="1"/>
        <v/>
      </c>
      <c r="G123" s="132"/>
      <c r="H123" s="133"/>
      <c r="I123" s="134"/>
      <c r="J123" s="131" t="str">
        <f t="shared" si="2"/>
        <v/>
      </c>
      <c r="K123" s="135" t="str">
        <f>'Закупка'!T123</f>
        <v/>
      </c>
      <c r="L123" s="144" t="str">
        <f>'Закупка'!U123</f>
        <v/>
      </c>
      <c r="M123" s="137" t="str">
        <f>'Закупка'!V123</f>
        <v/>
      </c>
    </row>
    <row r="124" ht="44.25" customHeight="1">
      <c r="A124" s="126" t="str">
        <f>'Закупка'!A124</f>
        <v/>
      </c>
      <c r="B124" s="127" t="str">
        <f>'Закупка'!B124</f>
        <v/>
      </c>
      <c r="C124" s="128" t="str">
        <f>'Закупка'!R124</f>
        <v/>
      </c>
      <c r="D124" s="129" t="str">
        <f t="array" ref="D124">INDEX('Закупка'!G124:K124, $A$2)</f>
        <v/>
      </c>
      <c r="E124" s="130" t="str">
        <f>'Закупка'!F124</f>
        <v/>
      </c>
      <c r="F124" s="131" t="str">
        <f t="shared" si="1"/>
        <v/>
      </c>
      <c r="G124" s="132"/>
      <c r="H124" s="133"/>
      <c r="I124" s="134"/>
      <c r="J124" s="131" t="str">
        <f t="shared" si="2"/>
        <v/>
      </c>
      <c r="K124" s="135" t="str">
        <f>'Закупка'!T124</f>
        <v/>
      </c>
      <c r="L124" s="144" t="str">
        <f>'Закупка'!U124</f>
        <v/>
      </c>
      <c r="M124" s="137" t="str">
        <f>'Закупка'!V124</f>
        <v/>
      </c>
    </row>
    <row r="125" ht="44.25" customHeight="1">
      <c r="A125" s="126" t="str">
        <f>'Закупка'!A125</f>
        <v/>
      </c>
      <c r="B125" s="127" t="str">
        <f>'Закупка'!B125</f>
        <v/>
      </c>
      <c r="C125" s="128" t="str">
        <f>'Закупка'!R125</f>
        <v/>
      </c>
      <c r="D125" s="129" t="str">
        <f t="array" ref="D125">INDEX('Закупка'!G125:K125, $A$2)</f>
        <v/>
      </c>
      <c r="E125" s="130" t="str">
        <f>'Закупка'!F125</f>
        <v/>
      </c>
      <c r="F125" s="131" t="str">
        <f t="shared" si="1"/>
        <v/>
      </c>
      <c r="G125" s="132"/>
      <c r="H125" s="133"/>
      <c r="I125" s="134"/>
      <c r="J125" s="131" t="str">
        <f t="shared" si="2"/>
        <v/>
      </c>
      <c r="K125" s="135" t="str">
        <f>'Закупка'!T125</f>
        <v/>
      </c>
      <c r="L125" s="144" t="str">
        <f>'Закупка'!U125</f>
        <v/>
      </c>
      <c r="M125" s="137" t="str">
        <f>'Закупка'!V125</f>
        <v/>
      </c>
    </row>
    <row r="126" ht="44.25" customHeight="1">
      <c r="A126" s="126" t="str">
        <f>'Закупка'!A126</f>
        <v/>
      </c>
      <c r="B126" s="127" t="str">
        <f>'Закупка'!B126</f>
        <v/>
      </c>
      <c r="C126" s="128" t="str">
        <f>'Закупка'!R126</f>
        <v/>
      </c>
      <c r="D126" s="129" t="str">
        <f t="array" ref="D126">INDEX('Закупка'!G126:K126, $A$2)</f>
        <v/>
      </c>
      <c r="E126" s="130" t="str">
        <f>'Закупка'!F126</f>
        <v/>
      </c>
      <c r="F126" s="131" t="str">
        <f t="shared" si="1"/>
        <v/>
      </c>
      <c r="G126" s="132"/>
      <c r="H126" s="133"/>
      <c r="I126" s="134"/>
      <c r="J126" s="131" t="str">
        <f t="shared" si="2"/>
        <v/>
      </c>
      <c r="K126" s="135" t="str">
        <f>'Закупка'!T126</f>
        <v/>
      </c>
      <c r="L126" s="144" t="str">
        <f>'Закупка'!U126</f>
        <v/>
      </c>
      <c r="M126" s="137" t="str">
        <f>'Закупка'!V126</f>
        <v/>
      </c>
    </row>
    <row r="127" ht="44.25" customHeight="1">
      <c r="A127" s="126" t="str">
        <f>'Закупка'!A127</f>
        <v/>
      </c>
      <c r="B127" s="127" t="str">
        <f>'Закупка'!B127</f>
        <v/>
      </c>
      <c r="C127" s="128" t="str">
        <f>'Закупка'!R127</f>
        <v/>
      </c>
      <c r="D127" s="129" t="str">
        <f t="array" ref="D127">INDEX('Закупка'!G127:K127, $A$2)</f>
        <v/>
      </c>
      <c r="E127" s="130" t="str">
        <f>'Закупка'!F127</f>
        <v/>
      </c>
      <c r="F127" s="131" t="str">
        <f t="shared" si="1"/>
        <v/>
      </c>
      <c r="G127" s="132"/>
      <c r="H127" s="133"/>
      <c r="I127" s="134"/>
      <c r="J127" s="131" t="str">
        <f t="shared" si="2"/>
        <v/>
      </c>
      <c r="K127" s="135" t="str">
        <f>'Закупка'!T127</f>
        <v/>
      </c>
      <c r="L127" s="144" t="str">
        <f>'Закупка'!U127</f>
        <v/>
      </c>
      <c r="M127" s="137" t="str">
        <f>'Закупка'!V127</f>
        <v/>
      </c>
    </row>
    <row r="128" ht="44.25" customHeight="1">
      <c r="A128" s="126" t="str">
        <f>'Закупка'!A128</f>
        <v/>
      </c>
      <c r="B128" s="127" t="str">
        <f>'Закупка'!B128</f>
        <v/>
      </c>
      <c r="C128" s="128" t="str">
        <f>'Закупка'!R128</f>
        <v/>
      </c>
      <c r="D128" s="129" t="str">
        <f t="array" ref="D128">INDEX('Закупка'!G128:K128, $A$2)</f>
        <v/>
      </c>
      <c r="E128" s="130" t="str">
        <f>'Закупка'!F128</f>
        <v/>
      </c>
      <c r="F128" s="131" t="str">
        <f t="shared" si="1"/>
        <v/>
      </c>
      <c r="G128" s="132"/>
      <c r="H128" s="133"/>
      <c r="I128" s="134"/>
      <c r="J128" s="131" t="str">
        <f t="shared" si="2"/>
        <v/>
      </c>
      <c r="K128" s="135" t="str">
        <f>'Закупка'!T128</f>
        <v/>
      </c>
      <c r="L128" s="144" t="str">
        <f>'Закупка'!U128</f>
        <v/>
      </c>
      <c r="M128" s="137" t="str">
        <f>'Закупка'!V128</f>
        <v/>
      </c>
    </row>
    <row r="129" ht="44.25" customHeight="1">
      <c r="A129" s="126" t="str">
        <f>'Закупка'!A129</f>
        <v/>
      </c>
      <c r="B129" s="127" t="str">
        <f>'Закупка'!B129</f>
        <v/>
      </c>
      <c r="C129" s="128" t="str">
        <f>'Закупка'!R129</f>
        <v/>
      </c>
      <c r="D129" s="129" t="str">
        <f t="array" ref="D129">INDEX('Закупка'!G129:K129, $A$2)</f>
        <v/>
      </c>
      <c r="E129" s="130" t="str">
        <f>'Закупка'!F129</f>
        <v/>
      </c>
      <c r="F129" s="131" t="str">
        <f t="shared" si="1"/>
        <v/>
      </c>
      <c r="G129" s="132"/>
      <c r="H129" s="133"/>
      <c r="I129" s="134"/>
      <c r="J129" s="131" t="str">
        <f t="shared" si="2"/>
        <v/>
      </c>
      <c r="K129" s="135" t="str">
        <f>'Закупка'!T129</f>
        <v/>
      </c>
      <c r="L129" s="144" t="str">
        <f>'Закупка'!U129</f>
        <v/>
      </c>
      <c r="M129" s="137" t="str">
        <f>'Закупка'!V129</f>
        <v/>
      </c>
    </row>
    <row r="130" ht="44.25" customHeight="1">
      <c r="A130" s="126" t="str">
        <f>'Закупка'!A130</f>
        <v/>
      </c>
      <c r="B130" s="127" t="str">
        <f>'Закупка'!B130</f>
        <v/>
      </c>
      <c r="C130" s="128" t="str">
        <f>'Закупка'!R130</f>
        <v/>
      </c>
      <c r="D130" s="129" t="str">
        <f t="array" ref="D130">INDEX('Закупка'!G130:K130, $A$2)</f>
        <v/>
      </c>
      <c r="E130" s="130" t="str">
        <f>'Закупка'!F130</f>
        <v/>
      </c>
      <c r="F130" s="131" t="str">
        <f t="shared" si="1"/>
        <v/>
      </c>
      <c r="G130" s="132"/>
      <c r="H130" s="133"/>
      <c r="I130" s="134"/>
      <c r="J130" s="131" t="str">
        <f t="shared" si="2"/>
        <v/>
      </c>
      <c r="K130" s="135" t="str">
        <f>'Закупка'!T130</f>
        <v/>
      </c>
      <c r="L130" s="144" t="str">
        <f>'Закупка'!U130</f>
        <v/>
      </c>
      <c r="M130" s="137" t="str">
        <f>'Закупка'!V130</f>
        <v/>
      </c>
    </row>
    <row r="131" ht="44.25" customHeight="1">
      <c r="A131" s="126" t="str">
        <f>'Закупка'!A131</f>
        <v/>
      </c>
      <c r="B131" s="127" t="str">
        <f>'Закупка'!B131</f>
        <v/>
      </c>
      <c r="C131" s="128" t="str">
        <f>'Закупка'!R131</f>
        <v/>
      </c>
      <c r="D131" s="129" t="str">
        <f t="array" ref="D131">INDEX('Закупка'!G131:K131, $A$2)</f>
        <v/>
      </c>
      <c r="E131" s="130" t="str">
        <f>'Закупка'!F131</f>
        <v/>
      </c>
      <c r="F131" s="131" t="str">
        <f t="shared" si="1"/>
        <v/>
      </c>
      <c r="G131" s="132"/>
      <c r="H131" s="133"/>
      <c r="I131" s="134"/>
      <c r="J131" s="131" t="str">
        <f t="shared" si="2"/>
        <v/>
      </c>
      <c r="K131" s="135" t="str">
        <f>'Закупка'!T131</f>
        <v/>
      </c>
      <c r="L131" s="144" t="str">
        <f>'Закупка'!U131</f>
        <v/>
      </c>
      <c r="M131" s="137" t="str">
        <f>'Закупка'!V131</f>
        <v/>
      </c>
    </row>
    <row r="132" ht="44.25" customHeight="1">
      <c r="A132" s="126" t="str">
        <f>'Закупка'!A132</f>
        <v/>
      </c>
      <c r="B132" s="127" t="str">
        <f>'Закупка'!B132</f>
        <v/>
      </c>
      <c r="C132" s="128" t="str">
        <f>'Закупка'!R132</f>
        <v/>
      </c>
      <c r="D132" s="129" t="str">
        <f t="array" ref="D132">INDEX('Закупка'!G132:K132, $A$2)</f>
        <v/>
      </c>
      <c r="E132" s="130" t="str">
        <f>'Закупка'!F132</f>
        <v/>
      </c>
      <c r="F132" s="131" t="str">
        <f t="shared" si="1"/>
        <v/>
      </c>
      <c r="G132" s="132"/>
      <c r="H132" s="133"/>
      <c r="I132" s="134"/>
      <c r="J132" s="131" t="str">
        <f t="shared" si="2"/>
        <v/>
      </c>
      <c r="K132" s="135" t="str">
        <f>'Закупка'!T132</f>
        <v/>
      </c>
      <c r="L132" s="144" t="str">
        <f>'Закупка'!U132</f>
        <v/>
      </c>
      <c r="M132" s="137" t="str">
        <f>'Закупка'!V132</f>
        <v/>
      </c>
    </row>
    <row r="133" ht="44.25" customHeight="1">
      <c r="A133" s="126" t="str">
        <f>'Закупка'!A133</f>
        <v/>
      </c>
      <c r="B133" s="127" t="str">
        <f>'Закупка'!B133</f>
        <v/>
      </c>
      <c r="C133" s="128" t="str">
        <f>'Закупка'!R133</f>
        <v/>
      </c>
      <c r="D133" s="129" t="str">
        <f t="array" ref="D133">INDEX('Закупка'!G133:K133, $A$2)</f>
        <v/>
      </c>
      <c r="E133" s="130" t="str">
        <f>'Закупка'!F133</f>
        <v/>
      </c>
      <c r="F133" s="131" t="str">
        <f t="shared" si="1"/>
        <v/>
      </c>
      <c r="G133" s="132"/>
      <c r="H133" s="133"/>
      <c r="I133" s="134"/>
      <c r="J133" s="131" t="str">
        <f t="shared" si="2"/>
        <v/>
      </c>
      <c r="K133" s="135" t="str">
        <f>'Закупка'!T133</f>
        <v/>
      </c>
      <c r="L133" s="144" t="str">
        <f>'Закупка'!U133</f>
        <v/>
      </c>
      <c r="M133" s="137" t="str">
        <f>'Закупка'!V133</f>
        <v/>
      </c>
    </row>
    <row r="134" ht="44.25" customHeight="1">
      <c r="A134" s="126" t="str">
        <f>'Закупка'!A134</f>
        <v/>
      </c>
      <c r="B134" s="127" t="str">
        <f>'Закупка'!B134</f>
        <v/>
      </c>
      <c r="C134" s="128" t="str">
        <f>'Закупка'!R134</f>
        <v/>
      </c>
      <c r="D134" s="129" t="str">
        <f t="array" ref="D134">INDEX('Закупка'!G134:K134, $A$2)</f>
        <v/>
      </c>
      <c r="E134" s="130" t="str">
        <f>'Закупка'!F134</f>
        <v/>
      </c>
      <c r="F134" s="131" t="str">
        <f t="shared" si="1"/>
        <v/>
      </c>
      <c r="G134" s="132"/>
      <c r="H134" s="133"/>
      <c r="I134" s="134"/>
      <c r="J134" s="131" t="str">
        <f t="shared" si="2"/>
        <v/>
      </c>
      <c r="K134" s="135" t="str">
        <f>'Закупка'!T134</f>
        <v/>
      </c>
      <c r="L134" s="144" t="str">
        <f>'Закупка'!U134</f>
        <v/>
      </c>
      <c r="M134" s="137" t="str">
        <f>'Закупка'!V134</f>
        <v/>
      </c>
    </row>
    <row r="135" ht="44.25" customHeight="1">
      <c r="A135" s="126" t="str">
        <f>'Закупка'!A135</f>
        <v/>
      </c>
      <c r="B135" s="127" t="str">
        <f>'Закупка'!B135</f>
        <v/>
      </c>
      <c r="C135" s="128" t="str">
        <f>'Закупка'!R135</f>
        <v/>
      </c>
      <c r="D135" s="129" t="str">
        <f t="array" ref="D135">INDEX('Закупка'!G135:K135, $A$2)</f>
        <v/>
      </c>
      <c r="E135" s="130" t="str">
        <f>'Закупка'!F135</f>
        <v/>
      </c>
      <c r="F135" s="131" t="str">
        <f t="shared" si="1"/>
        <v/>
      </c>
      <c r="G135" s="132"/>
      <c r="H135" s="133"/>
      <c r="I135" s="134"/>
      <c r="J135" s="131" t="str">
        <f t="shared" si="2"/>
        <v/>
      </c>
      <c r="K135" s="135" t="str">
        <f>'Закупка'!T135</f>
        <v/>
      </c>
      <c r="L135" s="144" t="str">
        <f>'Закупка'!U135</f>
        <v/>
      </c>
      <c r="M135" s="137" t="str">
        <f>'Закупка'!V135</f>
        <v/>
      </c>
    </row>
    <row r="136" ht="44.25" customHeight="1">
      <c r="A136" s="126" t="str">
        <f>'Закупка'!A136</f>
        <v/>
      </c>
      <c r="B136" s="127" t="str">
        <f>'Закупка'!B136</f>
        <v/>
      </c>
      <c r="C136" s="128" t="str">
        <f>'Закупка'!R136</f>
        <v/>
      </c>
      <c r="D136" s="129" t="str">
        <f t="array" ref="D136">INDEX('Закупка'!G136:K136, $A$2)</f>
        <v/>
      </c>
      <c r="E136" s="130" t="str">
        <f>'Закупка'!F136</f>
        <v/>
      </c>
      <c r="F136" s="131" t="str">
        <f t="shared" si="1"/>
        <v/>
      </c>
      <c r="G136" s="132"/>
      <c r="H136" s="133"/>
      <c r="I136" s="134"/>
      <c r="J136" s="131" t="str">
        <f t="shared" si="2"/>
        <v/>
      </c>
      <c r="K136" s="135" t="str">
        <f>'Закупка'!T136</f>
        <v/>
      </c>
      <c r="L136" s="144" t="str">
        <f>'Закупка'!U136</f>
        <v/>
      </c>
      <c r="M136" s="137" t="str">
        <f>'Закупка'!V136</f>
        <v/>
      </c>
    </row>
    <row r="137" ht="44.25" customHeight="1">
      <c r="A137" s="126" t="str">
        <f>'Закупка'!A137</f>
        <v/>
      </c>
      <c r="B137" s="127" t="str">
        <f>'Закупка'!B137</f>
        <v/>
      </c>
      <c r="C137" s="128" t="str">
        <f>'Закупка'!R137</f>
        <v/>
      </c>
      <c r="D137" s="129" t="str">
        <f t="array" ref="D137">INDEX('Закупка'!G137:K137, $A$2)</f>
        <v/>
      </c>
      <c r="E137" s="130" t="str">
        <f>'Закупка'!F137</f>
        <v/>
      </c>
      <c r="F137" s="131" t="str">
        <f t="shared" si="1"/>
        <v/>
      </c>
      <c r="G137" s="132"/>
      <c r="H137" s="133"/>
      <c r="I137" s="134"/>
      <c r="J137" s="131" t="str">
        <f t="shared" si="2"/>
        <v/>
      </c>
      <c r="K137" s="135" t="str">
        <f>'Закупка'!T137</f>
        <v/>
      </c>
      <c r="L137" s="144" t="str">
        <f>'Закупка'!U137</f>
        <v/>
      </c>
      <c r="M137" s="137" t="str">
        <f>'Закупка'!V137</f>
        <v/>
      </c>
    </row>
    <row r="138" ht="44.25" customHeight="1">
      <c r="A138" s="126" t="str">
        <f>'Закупка'!A138</f>
        <v/>
      </c>
      <c r="B138" s="127" t="str">
        <f>'Закупка'!B138</f>
        <v/>
      </c>
      <c r="C138" s="128" t="str">
        <f>'Закупка'!R138</f>
        <v/>
      </c>
      <c r="D138" s="129" t="str">
        <f t="array" ref="D138">INDEX('Закупка'!G138:K138, $A$2)</f>
        <v/>
      </c>
      <c r="E138" s="130" t="str">
        <f>'Закупка'!F138</f>
        <v/>
      </c>
      <c r="F138" s="131" t="str">
        <f t="shared" si="1"/>
        <v/>
      </c>
      <c r="G138" s="132"/>
      <c r="H138" s="133"/>
      <c r="I138" s="134"/>
      <c r="J138" s="131" t="str">
        <f t="shared" si="2"/>
        <v/>
      </c>
      <c r="K138" s="135" t="str">
        <f>'Закупка'!T138</f>
        <v/>
      </c>
      <c r="L138" s="144" t="str">
        <f>'Закупка'!U138</f>
        <v/>
      </c>
      <c r="M138" s="137" t="str">
        <f>'Закупка'!V138</f>
        <v/>
      </c>
    </row>
    <row r="139" ht="44.25" customHeight="1">
      <c r="A139" s="126" t="str">
        <f>'Закупка'!A139</f>
        <v/>
      </c>
      <c r="B139" s="127" t="str">
        <f>'Закупка'!B139</f>
        <v/>
      </c>
      <c r="C139" s="128" t="str">
        <f>'Закупка'!R139</f>
        <v/>
      </c>
      <c r="D139" s="129" t="str">
        <f t="array" ref="D139">INDEX('Закупка'!G139:K139, $A$2)</f>
        <v/>
      </c>
      <c r="E139" s="130" t="str">
        <f>'Закупка'!F139</f>
        <v/>
      </c>
      <c r="F139" s="131" t="str">
        <f t="shared" si="1"/>
        <v/>
      </c>
      <c r="G139" s="132"/>
      <c r="H139" s="133"/>
      <c r="I139" s="134"/>
      <c r="J139" s="131" t="str">
        <f t="shared" si="2"/>
        <v/>
      </c>
      <c r="K139" s="135" t="str">
        <f>'Закупка'!T139</f>
        <v/>
      </c>
      <c r="L139" s="144" t="str">
        <f>'Закупка'!U139</f>
        <v/>
      </c>
      <c r="M139" s="137" t="str">
        <f>'Закупка'!V139</f>
        <v/>
      </c>
    </row>
    <row r="140" ht="44.25" customHeight="1">
      <c r="A140" s="126" t="str">
        <f>'Закупка'!A140</f>
        <v/>
      </c>
      <c r="B140" s="127" t="str">
        <f>'Закупка'!B140</f>
        <v/>
      </c>
      <c r="C140" s="128" t="str">
        <f>'Закупка'!R140</f>
        <v/>
      </c>
      <c r="D140" s="129" t="str">
        <f t="array" ref="D140">INDEX('Закупка'!G140:K140, $A$2)</f>
        <v/>
      </c>
      <c r="E140" s="130" t="str">
        <f>'Закупка'!F140</f>
        <v/>
      </c>
      <c r="F140" s="131" t="str">
        <f t="shared" si="1"/>
        <v/>
      </c>
      <c r="G140" s="132"/>
      <c r="H140" s="133"/>
      <c r="I140" s="134"/>
      <c r="J140" s="131" t="str">
        <f t="shared" si="2"/>
        <v/>
      </c>
      <c r="K140" s="135" t="str">
        <f>'Закупка'!T140</f>
        <v/>
      </c>
      <c r="L140" s="144" t="str">
        <f>'Закупка'!U140</f>
        <v/>
      </c>
      <c r="M140" s="137" t="str">
        <f>'Закупка'!V140</f>
        <v/>
      </c>
    </row>
    <row r="141" ht="44.25" customHeight="1">
      <c r="A141" s="126" t="str">
        <f>'Закупка'!A141</f>
        <v/>
      </c>
      <c r="B141" s="127" t="str">
        <f>'Закупка'!B141</f>
        <v/>
      </c>
      <c r="C141" s="128" t="str">
        <f>'Закупка'!R141</f>
        <v/>
      </c>
      <c r="D141" s="129" t="str">
        <f t="array" ref="D141">INDEX('Закупка'!G141:K141, $A$2)</f>
        <v/>
      </c>
      <c r="E141" s="130" t="str">
        <f>'Закупка'!F141</f>
        <v/>
      </c>
      <c r="F141" s="131" t="str">
        <f t="shared" si="1"/>
        <v/>
      </c>
      <c r="G141" s="132"/>
      <c r="H141" s="133"/>
      <c r="I141" s="134"/>
      <c r="J141" s="131" t="str">
        <f t="shared" si="2"/>
        <v/>
      </c>
      <c r="K141" s="135" t="str">
        <f>'Закупка'!T141</f>
        <v/>
      </c>
      <c r="L141" s="144" t="str">
        <f>'Закупка'!U141</f>
        <v/>
      </c>
      <c r="M141" s="137" t="str">
        <f>'Закупка'!V141</f>
        <v/>
      </c>
    </row>
    <row r="142" ht="44.25" customHeight="1">
      <c r="A142" s="126" t="str">
        <f>'Закупка'!A142</f>
        <v/>
      </c>
      <c r="B142" s="127" t="str">
        <f>'Закупка'!B142</f>
        <v/>
      </c>
      <c r="C142" s="128" t="str">
        <f>'Закупка'!R142</f>
        <v/>
      </c>
      <c r="D142" s="129" t="str">
        <f t="array" ref="D142">INDEX('Закупка'!G142:K142, $A$2)</f>
        <v/>
      </c>
      <c r="E142" s="130" t="str">
        <f>'Закупка'!F142</f>
        <v/>
      </c>
      <c r="F142" s="131" t="str">
        <f t="shared" si="1"/>
        <v/>
      </c>
      <c r="G142" s="132"/>
      <c r="H142" s="133"/>
      <c r="I142" s="134"/>
      <c r="J142" s="131" t="str">
        <f t="shared" si="2"/>
        <v/>
      </c>
      <c r="K142" s="135" t="str">
        <f>'Закупка'!T142</f>
        <v/>
      </c>
      <c r="L142" s="144" t="str">
        <f>'Закупка'!U142</f>
        <v/>
      </c>
      <c r="M142" s="137" t="str">
        <f>'Закупка'!V142</f>
        <v/>
      </c>
    </row>
    <row r="143" ht="44.25" customHeight="1">
      <c r="A143" s="126" t="str">
        <f>'Закупка'!A143</f>
        <v/>
      </c>
      <c r="B143" s="127" t="str">
        <f>'Закупка'!B143</f>
        <v/>
      </c>
      <c r="C143" s="128" t="str">
        <f>'Закупка'!R143</f>
        <v/>
      </c>
      <c r="D143" s="129" t="str">
        <f t="array" ref="D143">INDEX('Закупка'!G143:K143, $A$2)</f>
        <v/>
      </c>
      <c r="E143" s="130" t="str">
        <f>'Закупка'!F143</f>
        <v/>
      </c>
      <c r="F143" s="131" t="str">
        <f t="shared" si="1"/>
        <v/>
      </c>
      <c r="G143" s="132"/>
      <c r="H143" s="133"/>
      <c r="I143" s="134"/>
      <c r="J143" s="131" t="str">
        <f t="shared" si="2"/>
        <v/>
      </c>
      <c r="K143" s="135" t="str">
        <f>'Закупка'!T143</f>
        <v/>
      </c>
      <c r="L143" s="144" t="str">
        <f>'Закупка'!U143</f>
        <v/>
      </c>
      <c r="M143" s="137" t="str">
        <f>'Закупка'!V143</f>
        <v/>
      </c>
    </row>
    <row r="144" ht="44.25" customHeight="1">
      <c r="A144" s="126" t="str">
        <f>'Закупка'!A144</f>
        <v/>
      </c>
      <c r="B144" s="127" t="str">
        <f>'Закупка'!B144</f>
        <v/>
      </c>
      <c r="C144" s="128" t="str">
        <f>'Закупка'!R144</f>
        <v/>
      </c>
      <c r="D144" s="129" t="str">
        <f t="array" ref="D144">INDEX('Закупка'!G144:K144, $A$2)</f>
        <v/>
      </c>
      <c r="E144" s="130" t="str">
        <f>'Закупка'!F144</f>
        <v/>
      </c>
      <c r="F144" s="131" t="str">
        <f t="shared" si="1"/>
        <v/>
      </c>
      <c r="G144" s="132"/>
      <c r="H144" s="133"/>
      <c r="I144" s="134"/>
      <c r="J144" s="131" t="str">
        <f t="shared" si="2"/>
        <v/>
      </c>
      <c r="K144" s="135" t="str">
        <f>'Закупка'!T144</f>
        <v/>
      </c>
      <c r="L144" s="144" t="str">
        <f>'Закупка'!U144</f>
        <v/>
      </c>
      <c r="M144" s="137" t="str">
        <f>'Закупка'!V144</f>
        <v/>
      </c>
    </row>
    <row r="145" ht="44.25" customHeight="1">
      <c r="A145" s="126" t="str">
        <f>'Закупка'!A145</f>
        <v/>
      </c>
      <c r="B145" s="127" t="str">
        <f>'Закупка'!B145</f>
        <v/>
      </c>
      <c r="C145" s="128" t="str">
        <f>'Закупка'!R145</f>
        <v/>
      </c>
      <c r="D145" s="129" t="str">
        <f t="array" ref="D145">INDEX('Закупка'!G145:K145, $A$2)</f>
        <v/>
      </c>
      <c r="E145" s="130" t="str">
        <f>'Закупка'!F145</f>
        <v/>
      </c>
      <c r="F145" s="131" t="str">
        <f t="shared" si="1"/>
        <v/>
      </c>
      <c r="G145" s="132"/>
      <c r="H145" s="133"/>
      <c r="I145" s="134"/>
      <c r="J145" s="131" t="str">
        <f t="shared" si="2"/>
        <v/>
      </c>
      <c r="K145" s="135" t="str">
        <f>'Закупка'!T145</f>
        <v/>
      </c>
      <c r="L145" s="144" t="str">
        <f>'Закупка'!U145</f>
        <v/>
      </c>
      <c r="M145" s="137" t="str">
        <f>'Закупка'!V145</f>
        <v/>
      </c>
    </row>
    <row r="146" ht="44.25" customHeight="1">
      <c r="A146" s="126" t="str">
        <f>'Закупка'!A146</f>
        <v/>
      </c>
      <c r="B146" s="127" t="str">
        <f>'Закупка'!B146</f>
        <v/>
      </c>
      <c r="C146" s="128" t="str">
        <f>'Закупка'!R146</f>
        <v/>
      </c>
      <c r="D146" s="129" t="str">
        <f t="array" ref="D146">INDEX('Закупка'!G146:K146, $A$2)</f>
        <v/>
      </c>
      <c r="E146" s="130" t="str">
        <f>'Закупка'!F146</f>
        <v/>
      </c>
      <c r="F146" s="131" t="str">
        <f t="shared" si="1"/>
        <v/>
      </c>
      <c r="G146" s="132"/>
      <c r="H146" s="133"/>
      <c r="I146" s="134"/>
      <c r="J146" s="131" t="str">
        <f t="shared" si="2"/>
        <v/>
      </c>
      <c r="K146" s="135" t="str">
        <f>'Закупка'!T146</f>
        <v/>
      </c>
      <c r="L146" s="144" t="str">
        <f>'Закупка'!U146</f>
        <v/>
      </c>
      <c r="M146" s="137" t="str">
        <f>'Закупка'!V146</f>
        <v/>
      </c>
    </row>
    <row r="147" ht="44.25" customHeight="1">
      <c r="A147" s="126" t="str">
        <f>'Закупка'!A147</f>
        <v/>
      </c>
      <c r="B147" s="127" t="str">
        <f>'Закупка'!B147</f>
        <v/>
      </c>
      <c r="C147" s="128" t="str">
        <f>'Закупка'!R147</f>
        <v/>
      </c>
      <c r="D147" s="129" t="str">
        <f t="array" ref="D147">INDEX('Закупка'!G147:K147, $A$2)</f>
        <v/>
      </c>
      <c r="E147" s="130" t="str">
        <f>'Закупка'!F147</f>
        <v/>
      </c>
      <c r="F147" s="131" t="str">
        <f t="shared" si="1"/>
        <v/>
      </c>
      <c r="G147" s="132"/>
      <c r="H147" s="133"/>
      <c r="I147" s="134"/>
      <c r="J147" s="131" t="str">
        <f t="shared" si="2"/>
        <v/>
      </c>
      <c r="K147" s="135" t="str">
        <f>'Закупка'!T147</f>
        <v/>
      </c>
      <c r="L147" s="144" t="str">
        <f>'Закупка'!U147</f>
        <v/>
      </c>
      <c r="M147" s="137" t="str">
        <f>'Закупка'!V147</f>
        <v/>
      </c>
    </row>
    <row r="148" ht="44.25" customHeight="1">
      <c r="A148" s="126" t="str">
        <f>'Закупка'!A148</f>
        <v/>
      </c>
      <c r="B148" s="127" t="str">
        <f>'Закупка'!B148</f>
        <v/>
      </c>
      <c r="C148" s="128" t="str">
        <f>'Закупка'!R148</f>
        <v/>
      </c>
      <c r="D148" s="129" t="str">
        <f t="array" ref="D148">INDEX('Закупка'!G148:K148, $A$2)</f>
        <v/>
      </c>
      <c r="E148" s="130" t="str">
        <f>'Закупка'!F148</f>
        <v/>
      </c>
      <c r="F148" s="131" t="str">
        <f t="shared" si="1"/>
        <v/>
      </c>
      <c r="G148" s="132"/>
      <c r="H148" s="133"/>
      <c r="I148" s="134"/>
      <c r="J148" s="131" t="str">
        <f t="shared" si="2"/>
        <v/>
      </c>
      <c r="K148" s="135" t="str">
        <f>'Закупка'!T148</f>
        <v/>
      </c>
      <c r="L148" s="144" t="str">
        <f>'Закупка'!U148</f>
        <v/>
      </c>
      <c r="M148" s="137" t="str">
        <f>'Закупка'!V148</f>
        <v/>
      </c>
    </row>
    <row r="149" ht="44.25" customHeight="1">
      <c r="A149" s="126" t="str">
        <f>'Закупка'!A149</f>
        <v/>
      </c>
      <c r="B149" s="127" t="str">
        <f>'Закупка'!B149</f>
        <v/>
      </c>
      <c r="C149" s="128" t="str">
        <f>'Закупка'!R149</f>
        <v/>
      </c>
      <c r="D149" s="129" t="str">
        <f t="array" ref="D149">INDEX('Закупка'!G149:K149, $A$2)</f>
        <v/>
      </c>
      <c r="E149" s="130" t="str">
        <f>'Закупка'!F149</f>
        <v/>
      </c>
      <c r="F149" s="131" t="str">
        <f t="shared" si="1"/>
        <v/>
      </c>
      <c r="G149" s="132"/>
      <c r="H149" s="133"/>
      <c r="I149" s="134"/>
      <c r="J149" s="131" t="str">
        <f t="shared" si="2"/>
        <v/>
      </c>
      <c r="K149" s="135" t="str">
        <f>'Закупка'!T149</f>
        <v/>
      </c>
      <c r="L149" s="144" t="str">
        <f>'Закупка'!U149</f>
        <v/>
      </c>
      <c r="M149" s="137" t="str">
        <f>'Закупка'!V149</f>
        <v/>
      </c>
    </row>
    <row r="150" ht="44.25" customHeight="1">
      <c r="A150" s="126" t="str">
        <f>'Закупка'!A150</f>
        <v/>
      </c>
      <c r="B150" s="127" t="str">
        <f>'Закупка'!B150</f>
        <v/>
      </c>
      <c r="C150" s="128" t="str">
        <f>'Закупка'!R150</f>
        <v/>
      </c>
      <c r="D150" s="129" t="str">
        <f t="array" ref="D150">INDEX('Закупка'!G150:K150, $A$2)</f>
        <v/>
      </c>
      <c r="E150" s="130" t="str">
        <f>'Закупка'!F150</f>
        <v/>
      </c>
      <c r="F150" s="131" t="str">
        <f t="shared" si="1"/>
        <v/>
      </c>
      <c r="G150" s="132"/>
      <c r="H150" s="133"/>
      <c r="I150" s="134"/>
      <c r="J150" s="131" t="str">
        <f t="shared" si="2"/>
        <v/>
      </c>
      <c r="K150" s="135" t="str">
        <f>'Закупка'!T150</f>
        <v/>
      </c>
      <c r="L150" s="144" t="str">
        <f>'Закупка'!U150</f>
        <v/>
      </c>
      <c r="M150" s="137" t="str">
        <f>'Закупка'!V150</f>
        <v/>
      </c>
    </row>
    <row r="151" ht="44.25" customHeight="1">
      <c r="A151" s="126" t="str">
        <f>'Закупка'!A151</f>
        <v/>
      </c>
      <c r="B151" s="127" t="str">
        <f>'Закупка'!B151</f>
        <v/>
      </c>
      <c r="C151" s="128" t="str">
        <f>'Закупка'!R151</f>
        <v/>
      </c>
      <c r="D151" s="129" t="str">
        <f t="array" ref="D151">INDEX('Закупка'!G151:K151, $A$2)</f>
        <v/>
      </c>
      <c r="E151" s="130" t="str">
        <f>'Закупка'!F151</f>
        <v/>
      </c>
      <c r="F151" s="131" t="str">
        <f t="shared" si="1"/>
        <v/>
      </c>
      <c r="G151" s="132"/>
      <c r="H151" s="133"/>
      <c r="I151" s="134"/>
      <c r="J151" s="131" t="str">
        <f t="shared" si="2"/>
        <v/>
      </c>
      <c r="K151" s="135" t="str">
        <f>'Закупка'!T151</f>
        <v/>
      </c>
      <c r="L151" s="144" t="str">
        <f>'Закупка'!U151</f>
        <v/>
      </c>
      <c r="M151" s="137" t="str">
        <f>'Закупка'!V151</f>
        <v/>
      </c>
    </row>
    <row r="152" ht="44.25" customHeight="1">
      <c r="A152" s="126" t="str">
        <f>'Закупка'!A152</f>
        <v/>
      </c>
      <c r="B152" s="127" t="str">
        <f>'Закупка'!B152</f>
        <v/>
      </c>
      <c r="C152" s="128" t="str">
        <f>'Закупка'!R152</f>
        <v/>
      </c>
      <c r="D152" s="129" t="str">
        <f t="array" ref="D152">INDEX('Закупка'!G152:K152, $A$2)</f>
        <v/>
      </c>
      <c r="E152" s="130" t="str">
        <f>'Закупка'!F152</f>
        <v/>
      </c>
      <c r="F152" s="131" t="str">
        <f t="shared" si="1"/>
        <v/>
      </c>
      <c r="G152" s="132"/>
      <c r="H152" s="133"/>
      <c r="I152" s="134"/>
      <c r="J152" s="131" t="str">
        <f t="shared" si="2"/>
        <v/>
      </c>
      <c r="K152" s="135" t="str">
        <f>'Закупка'!T152</f>
        <v/>
      </c>
      <c r="L152" s="144" t="str">
        <f>'Закупка'!U152</f>
        <v/>
      </c>
      <c r="M152" s="137" t="str">
        <f>'Закупка'!V152</f>
        <v/>
      </c>
    </row>
    <row r="153" ht="44.25" customHeight="1">
      <c r="A153" s="126" t="str">
        <f>'Закупка'!A153</f>
        <v/>
      </c>
      <c r="B153" s="127" t="str">
        <f>'Закупка'!B153</f>
        <v/>
      </c>
      <c r="C153" s="128" t="str">
        <f>'Закупка'!R153</f>
        <v/>
      </c>
      <c r="D153" s="129" t="str">
        <f t="array" ref="D153">INDEX('Закупка'!G153:K153, $A$2)</f>
        <v/>
      </c>
      <c r="E153" s="130" t="str">
        <f>'Закупка'!F153</f>
        <v/>
      </c>
      <c r="F153" s="131" t="str">
        <f t="shared" si="1"/>
        <v/>
      </c>
      <c r="G153" s="132"/>
      <c r="H153" s="133"/>
      <c r="I153" s="134"/>
      <c r="J153" s="131" t="str">
        <f t="shared" si="2"/>
        <v/>
      </c>
      <c r="K153" s="135" t="str">
        <f>'Закупка'!T153</f>
        <v/>
      </c>
      <c r="L153" s="144" t="str">
        <f>'Закупка'!U153</f>
        <v/>
      </c>
      <c r="M153" s="137" t="str">
        <f>'Закупка'!V153</f>
        <v/>
      </c>
    </row>
    <row r="154" ht="44.25" customHeight="1">
      <c r="A154" s="126" t="str">
        <f>'Закупка'!A154</f>
        <v/>
      </c>
      <c r="B154" s="127" t="str">
        <f>'Закупка'!B154</f>
        <v/>
      </c>
      <c r="C154" s="128" t="str">
        <f>'Закупка'!R154</f>
        <v/>
      </c>
      <c r="D154" s="129" t="str">
        <f t="array" ref="D154">INDEX('Закупка'!G154:K154, $A$2)</f>
        <v/>
      </c>
      <c r="E154" s="130" t="str">
        <f>'Закупка'!F154</f>
        <v/>
      </c>
      <c r="F154" s="131" t="str">
        <f t="shared" si="1"/>
        <v/>
      </c>
      <c r="G154" s="132"/>
      <c r="H154" s="133"/>
      <c r="I154" s="134"/>
      <c r="J154" s="131" t="str">
        <f t="shared" si="2"/>
        <v/>
      </c>
      <c r="K154" s="135" t="str">
        <f>'Закупка'!T154</f>
        <v/>
      </c>
      <c r="L154" s="144" t="str">
        <f>'Закупка'!U154</f>
        <v/>
      </c>
      <c r="M154" s="137" t="str">
        <f>'Закупка'!V154</f>
        <v/>
      </c>
    </row>
    <row r="155" ht="44.25" customHeight="1">
      <c r="A155" s="126" t="str">
        <f>'Закупка'!A155</f>
        <v/>
      </c>
      <c r="B155" s="127" t="str">
        <f>'Закупка'!B155</f>
        <v/>
      </c>
      <c r="C155" s="128" t="str">
        <f>'Закупка'!R155</f>
        <v/>
      </c>
      <c r="D155" s="129" t="str">
        <f t="array" ref="D155">INDEX('Закупка'!G155:K155, $A$2)</f>
        <v/>
      </c>
      <c r="E155" s="130" t="str">
        <f>'Закупка'!F155</f>
        <v/>
      </c>
      <c r="F155" s="131" t="str">
        <f t="shared" si="1"/>
        <v/>
      </c>
      <c r="G155" s="132"/>
      <c r="H155" s="133"/>
      <c r="I155" s="134"/>
      <c r="J155" s="131" t="str">
        <f t="shared" si="2"/>
        <v/>
      </c>
      <c r="K155" s="135" t="str">
        <f>'Закупка'!T155</f>
        <v/>
      </c>
      <c r="L155" s="144" t="str">
        <f>'Закупка'!U155</f>
        <v/>
      </c>
      <c r="M155" s="137" t="str">
        <f>'Закупка'!V155</f>
        <v/>
      </c>
    </row>
    <row r="156" ht="44.25" customHeight="1">
      <c r="A156" s="126" t="str">
        <f>'Закупка'!A156</f>
        <v/>
      </c>
      <c r="B156" s="127" t="str">
        <f>'Закупка'!B156</f>
        <v/>
      </c>
      <c r="C156" s="128" t="str">
        <f>'Закупка'!R156</f>
        <v/>
      </c>
      <c r="D156" s="129" t="str">
        <f t="array" ref="D156">INDEX('Закупка'!G156:K156, $A$2)</f>
        <v/>
      </c>
      <c r="E156" s="130" t="str">
        <f>'Закупка'!F156</f>
        <v/>
      </c>
      <c r="F156" s="131" t="str">
        <f t="shared" si="1"/>
        <v/>
      </c>
      <c r="G156" s="132"/>
      <c r="H156" s="133"/>
      <c r="I156" s="134"/>
      <c r="J156" s="131" t="str">
        <f t="shared" si="2"/>
        <v/>
      </c>
      <c r="K156" s="135" t="str">
        <f>'Закупка'!T156</f>
        <v/>
      </c>
      <c r="L156" s="144" t="str">
        <f>'Закупка'!U156</f>
        <v/>
      </c>
      <c r="M156" s="137" t="str">
        <f>'Закупка'!V156</f>
        <v/>
      </c>
    </row>
    <row r="157" ht="44.25" customHeight="1">
      <c r="A157" s="126" t="str">
        <f>'Закупка'!A157</f>
        <v/>
      </c>
      <c r="B157" s="127" t="str">
        <f>'Закупка'!B157</f>
        <v/>
      </c>
      <c r="C157" s="128" t="str">
        <f>'Закупка'!R157</f>
        <v/>
      </c>
      <c r="D157" s="129" t="str">
        <f t="array" ref="D157">INDEX('Закупка'!G157:K157, $A$2)</f>
        <v/>
      </c>
      <c r="E157" s="130" t="str">
        <f>'Закупка'!F157</f>
        <v/>
      </c>
      <c r="F157" s="131" t="str">
        <f t="shared" si="1"/>
        <v/>
      </c>
      <c r="G157" s="132"/>
      <c r="H157" s="133"/>
      <c r="I157" s="134"/>
      <c r="J157" s="131" t="str">
        <f t="shared" si="2"/>
        <v/>
      </c>
      <c r="K157" s="135" t="str">
        <f>'Закупка'!T157</f>
        <v/>
      </c>
      <c r="L157" s="144" t="str">
        <f>'Закупка'!U157</f>
        <v/>
      </c>
      <c r="M157" s="137" t="str">
        <f>'Закупка'!V157</f>
        <v/>
      </c>
    </row>
    <row r="158" ht="44.25" customHeight="1">
      <c r="A158" s="126" t="str">
        <f>'Закупка'!A158</f>
        <v/>
      </c>
      <c r="B158" s="127" t="str">
        <f>'Закупка'!B158</f>
        <v/>
      </c>
      <c r="C158" s="128" t="str">
        <f>'Закупка'!R158</f>
        <v/>
      </c>
      <c r="D158" s="129" t="str">
        <f t="array" ref="D158">INDEX('Закупка'!G158:K158, $A$2)</f>
        <v/>
      </c>
      <c r="E158" s="130" t="str">
        <f>'Закупка'!F158</f>
        <v/>
      </c>
      <c r="F158" s="131" t="str">
        <f t="shared" si="1"/>
        <v/>
      </c>
      <c r="G158" s="132"/>
      <c r="H158" s="133"/>
      <c r="I158" s="134"/>
      <c r="J158" s="131" t="str">
        <f t="shared" si="2"/>
        <v/>
      </c>
      <c r="K158" s="135" t="str">
        <f>'Закупка'!T158</f>
        <v/>
      </c>
      <c r="L158" s="144" t="str">
        <f>'Закупка'!U158</f>
        <v/>
      </c>
      <c r="M158" s="137" t="str">
        <f>'Закупка'!V158</f>
        <v/>
      </c>
    </row>
    <row r="159" ht="44.25" customHeight="1">
      <c r="A159" s="126" t="str">
        <f>'Закупка'!A159</f>
        <v/>
      </c>
      <c r="B159" s="127" t="str">
        <f>'Закупка'!B159</f>
        <v/>
      </c>
      <c r="C159" s="128" t="str">
        <f>'Закупка'!R159</f>
        <v/>
      </c>
      <c r="D159" s="129" t="str">
        <f t="array" ref="D159">INDEX('Закупка'!G159:K159, $A$2)</f>
        <v/>
      </c>
      <c r="E159" s="130" t="str">
        <f>'Закупка'!F159</f>
        <v/>
      </c>
      <c r="F159" s="131" t="str">
        <f t="shared" si="1"/>
        <v/>
      </c>
      <c r="G159" s="132"/>
      <c r="H159" s="133"/>
      <c r="I159" s="134"/>
      <c r="J159" s="131" t="str">
        <f t="shared" si="2"/>
        <v/>
      </c>
      <c r="K159" s="135" t="str">
        <f>'Закупка'!T159</f>
        <v/>
      </c>
      <c r="L159" s="144" t="str">
        <f>'Закупка'!U159</f>
        <v/>
      </c>
      <c r="M159" s="137" t="str">
        <f>'Закупка'!V159</f>
        <v/>
      </c>
    </row>
    <row r="160" ht="44.25" customHeight="1">
      <c r="A160" s="126" t="str">
        <f>'Закупка'!A160</f>
        <v/>
      </c>
      <c r="B160" s="127" t="str">
        <f>'Закупка'!B160</f>
        <v/>
      </c>
      <c r="C160" s="128" t="str">
        <f>'Закупка'!R160</f>
        <v/>
      </c>
      <c r="D160" s="129" t="str">
        <f t="array" ref="D160">INDEX('Закупка'!G160:K160, $A$2)</f>
        <v/>
      </c>
      <c r="E160" s="130" t="str">
        <f>'Закупка'!F160</f>
        <v/>
      </c>
      <c r="F160" s="131" t="str">
        <f t="shared" si="1"/>
        <v/>
      </c>
      <c r="G160" s="132"/>
      <c r="H160" s="133"/>
      <c r="I160" s="134"/>
      <c r="J160" s="131" t="str">
        <f t="shared" si="2"/>
        <v/>
      </c>
      <c r="K160" s="135" t="str">
        <f>'Закупка'!T160</f>
        <v/>
      </c>
      <c r="L160" s="144" t="str">
        <f>'Закупка'!U160</f>
        <v/>
      </c>
      <c r="M160" s="137" t="str">
        <f>'Закупка'!V160</f>
        <v/>
      </c>
    </row>
    <row r="161" ht="44.25" customHeight="1">
      <c r="A161" s="126" t="str">
        <f>'Закупка'!A161</f>
        <v/>
      </c>
      <c r="B161" s="127" t="str">
        <f>'Закупка'!B161</f>
        <v/>
      </c>
      <c r="C161" s="128" t="str">
        <f>'Закупка'!R161</f>
        <v/>
      </c>
      <c r="D161" s="129" t="str">
        <f t="array" ref="D161">INDEX('Закупка'!G161:K161, $A$2)</f>
        <v/>
      </c>
      <c r="E161" s="130" t="str">
        <f>'Закупка'!F161</f>
        <v/>
      </c>
      <c r="F161" s="131" t="str">
        <f t="shared" si="1"/>
        <v/>
      </c>
      <c r="G161" s="132"/>
      <c r="H161" s="133"/>
      <c r="I161" s="134"/>
      <c r="J161" s="131" t="str">
        <f t="shared" si="2"/>
        <v/>
      </c>
      <c r="K161" s="135" t="str">
        <f>'Закупка'!T161</f>
        <v/>
      </c>
      <c r="L161" s="144" t="str">
        <f>'Закупка'!U161</f>
        <v/>
      </c>
      <c r="M161" s="137" t="str">
        <f>'Закупка'!V161</f>
        <v/>
      </c>
    </row>
    <row r="162" ht="44.25" customHeight="1">
      <c r="A162" s="126" t="str">
        <f>'Закупка'!A162</f>
        <v/>
      </c>
      <c r="B162" s="127" t="str">
        <f>'Закупка'!B162</f>
        <v/>
      </c>
      <c r="C162" s="128" t="str">
        <f>'Закупка'!R162</f>
        <v/>
      </c>
      <c r="D162" s="129" t="str">
        <f t="array" ref="D162">INDEX('Закупка'!G162:K162, $A$2)</f>
        <v/>
      </c>
      <c r="E162" s="130" t="str">
        <f>'Закупка'!F162</f>
        <v/>
      </c>
      <c r="F162" s="131" t="str">
        <f t="shared" si="1"/>
        <v/>
      </c>
      <c r="G162" s="132"/>
      <c r="H162" s="133"/>
      <c r="I162" s="134"/>
      <c r="J162" s="131" t="str">
        <f t="shared" si="2"/>
        <v/>
      </c>
      <c r="K162" s="135" t="str">
        <f>'Закупка'!T162</f>
        <v/>
      </c>
      <c r="L162" s="144" t="str">
        <f>'Закупка'!U162</f>
        <v/>
      </c>
      <c r="M162" s="137" t="str">
        <f>'Закупка'!V162</f>
        <v/>
      </c>
    </row>
    <row r="163" ht="44.25" customHeight="1">
      <c r="A163" s="126" t="str">
        <f>'Закупка'!A163</f>
        <v/>
      </c>
      <c r="B163" s="127" t="str">
        <f>'Закупка'!B163</f>
        <v/>
      </c>
      <c r="C163" s="128" t="str">
        <f>'Закупка'!R163</f>
        <v/>
      </c>
      <c r="D163" s="129" t="str">
        <f t="array" ref="D163">INDEX('Закупка'!G163:K163, $A$2)</f>
        <v/>
      </c>
      <c r="E163" s="130" t="str">
        <f>'Закупка'!F163</f>
        <v/>
      </c>
      <c r="F163" s="131" t="str">
        <f t="shared" si="1"/>
        <v/>
      </c>
      <c r="G163" s="132"/>
      <c r="H163" s="133"/>
      <c r="I163" s="134"/>
      <c r="J163" s="131" t="str">
        <f t="shared" si="2"/>
        <v/>
      </c>
      <c r="K163" s="135" t="str">
        <f>'Закупка'!T163</f>
        <v/>
      </c>
      <c r="L163" s="144" t="str">
        <f>'Закупка'!U163</f>
        <v/>
      </c>
      <c r="M163" s="137" t="str">
        <f>'Закупка'!V163</f>
        <v/>
      </c>
    </row>
    <row r="164" ht="44.25" customHeight="1">
      <c r="A164" s="126" t="str">
        <f>'Закупка'!A164</f>
        <v/>
      </c>
      <c r="B164" s="127" t="str">
        <f>'Закупка'!B164</f>
        <v/>
      </c>
      <c r="C164" s="128" t="str">
        <f>'Закупка'!R164</f>
        <v/>
      </c>
      <c r="D164" s="129" t="str">
        <f t="array" ref="D164">INDEX('Закупка'!G164:K164, $A$2)</f>
        <v/>
      </c>
      <c r="E164" s="130" t="str">
        <f>'Закупка'!F164</f>
        <v/>
      </c>
      <c r="F164" s="131" t="str">
        <f t="shared" si="1"/>
        <v/>
      </c>
      <c r="G164" s="132"/>
      <c r="H164" s="133"/>
      <c r="I164" s="134"/>
      <c r="J164" s="131" t="str">
        <f t="shared" si="2"/>
        <v/>
      </c>
      <c r="K164" s="135" t="str">
        <f>'Закупка'!T164</f>
        <v/>
      </c>
      <c r="L164" s="144" t="str">
        <f>'Закупка'!U164</f>
        <v/>
      </c>
      <c r="M164" s="137" t="str">
        <f>'Закупка'!V164</f>
        <v/>
      </c>
    </row>
    <row r="165" ht="44.25" customHeight="1">
      <c r="A165" s="126" t="str">
        <f>'Закупка'!A165</f>
        <v/>
      </c>
      <c r="B165" s="127" t="str">
        <f>'Закупка'!B165</f>
        <v/>
      </c>
      <c r="C165" s="128" t="str">
        <f>'Закупка'!R165</f>
        <v/>
      </c>
      <c r="D165" s="129" t="str">
        <f t="array" ref="D165">INDEX('Закупка'!G165:K165, $A$2)</f>
        <v/>
      </c>
      <c r="E165" s="130" t="str">
        <f>'Закупка'!F165</f>
        <v/>
      </c>
      <c r="F165" s="131" t="str">
        <f t="shared" si="1"/>
        <v/>
      </c>
      <c r="G165" s="132"/>
      <c r="H165" s="133"/>
      <c r="I165" s="134"/>
      <c r="J165" s="131" t="str">
        <f t="shared" si="2"/>
        <v/>
      </c>
      <c r="K165" s="135" t="str">
        <f>'Закупка'!T165</f>
        <v/>
      </c>
      <c r="L165" s="144" t="str">
        <f>'Закупка'!U165</f>
        <v/>
      </c>
      <c r="M165" s="137" t="str">
        <f>'Закупка'!V165</f>
        <v/>
      </c>
    </row>
    <row r="166" ht="44.25" customHeight="1">
      <c r="A166" s="126" t="str">
        <f>'Закупка'!A166</f>
        <v/>
      </c>
      <c r="B166" s="127" t="str">
        <f>'Закупка'!B166</f>
        <v/>
      </c>
      <c r="C166" s="128" t="str">
        <f>'Закупка'!R166</f>
        <v/>
      </c>
      <c r="D166" s="129" t="str">
        <f t="array" ref="D166">INDEX('Закупка'!G166:K166, $A$2)</f>
        <v/>
      </c>
      <c r="E166" s="130" t="str">
        <f>'Закупка'!F166</f>
        <v/>
      </c>
      <c r="F166" s="131" t="str">
        <f t="shared" si="1"/>
        <v/>
      </c>
      <c r="G166" s="132"/>
      <c r="H166" s="133"/>
      <c r="I166" s="134"/>
      <c r="J166" s="131" t="str">
        <f t="shared" si="2"/>
        <v/>
      </c>
      <c r="K166" s="135" t="str">
        <f>'Закупка'!T166</f>
        <v/>
      </c>
      <c r="L166" s="144" t="str">
        <f>'Закупка'!U166</f>
        <v/>
      </c>
      <c r="M166" s="137" t="str">
        <f>'Закупка'!V166</f>
        <v/>
      </c>
    </row>
    <row r="167" ht="44.25" customHeight="1">
      <c r="A167" s="126" t="str">
        <f>'Закупка'!A167</f>
        <v/>
      </c>
      <c r="B167" s="127" t="str">
        <f>'Закупка'!B167</f>
        <v/>
      </c>
      <c r="C167" s="128" t="str">
        <f>'Закупка'!R167</f>
        <v/>
      </c>
      <c r="D167" s="129" t="str">
        <f t="array" ref="D167">INDEX('Закупка'!G167:K167, $A$2)</f>
        <v/>
      </c>
      <c r="E167" s="130" t="str">
        <f>'Закупка'!F167</f>
        <v/>
      </c>
      <c r="F167" s="131" t="str">
        <f t="shared" si="1"/>
        <v/>
      </c>
      <c r="G167" s="132"/>
      <c r="H167" s="133"/>
      <c r="I167" s="134"/>
      <c r="J167" s="131" t="str">
        <f t="shared" si="2"/>
        <v/>
      </c>
      <c r="K167" s="135" t="str">
        <f>'Закупка'!T167</f>
        <v/>
      </c>
      <c r="L167" s="144" t="str">
        <f>'Закупка'!U167</f>
        <v/>
      </c>
      <c r="M167" s="137" t="str">
        <f>'Закупка'!V167</f>
        <v/>
      </c>
    </row>
    <row r="168" ht="44.25" customHeight="1">
      <c r="A168" s="126" t="str">
        <f>'Закупка'!A168</f>
        <v/>
      </c>
      <c r="B168" s="127" t="str">
        <f>'Закупка'!B168</f>
        <v/>
      </c>
      <c r="C168" s="128" t="str">
        <f>'Закупка'!R168</f>
        <v/>
      </c>
      <c r="D168" s="129" t="str">
        <f t="array" ref="D168">INDEX('Закупка'!G168:K168, $A$2)</f>
        <v/>
      </c>
      <c r="E168" s="130" t="str">
        <f>'Закупка'!F168</f>
        <v/>
      </c>
      <c r="F168" s="131" t="str">
        <f t="shared" si="1"/>
        <v/>
      </c>
      <c r="G168" s="132"/>
      <c r="H168" s="133"/>
      <c r="I168" s="134"/>
      <c r="J168" s="131" t="str">
        <f t="shared" si="2"/>
        <v/>
      </c>
      <c r="K168" s="135" t="str">
        <f>'Закупка'!T168</f>
        <v/>
      </c>
      <c r="L168" s="144" t="str">
        <f>'Закупка'!U168</f>
        <v/>
      </c>
      <c r="M168" s="137" t="str">
        <f>'Закупка'!V168</f>
        <v/>
      </c>
    </row>
    <row r="169" ht="44.25" customHeight="1">
      <c r="A169" s="126" t="str">
        <f>'Закупка'!A169</f>
        <v/>
      </c>
      <c r="B169" s="127" t="str">
        <f>'Закупка'!B169</f>
        <v/>
      </c>
      <c r="C169" s="128" t="str">
        <f>'Закупка'!R169</f>
        <v/>
      </c>
      <c r="D169" s="129" t="str">
        <f t="array" ref="D169">INDEX('Закупка'!G169:K169, $A$2)</f>
        <v/>
      </c>
      <c r="E169" s="130" t="str">
        <f>'Закупка'!F169</f>
        <v/>
      </c>
      <c r="F169" s="131" t="str">
        <f t="shared" si="1"/>
        <v/>
      </c>
      <c r="G169" s="132"/>
      <c r="H169" s="133"/>
      <c r="I169" s="134"/>
      <c r="J169" s="131" t="str">
        <f t="shared" si="2"/>
        <v/>
      </c>
      <c r="K169" s="135" t="str">
        <f>'Закупка'!T169</f>
        <v/>
      </c>
      <c r="L169" s="144" t="str">
        <f>'Закупка'!U169</f>
        <v/>
      </c>
      <c r="M169" s="137" t="str">
        <f>'Закупка'!V169</f>
        <v/>
      </c>
    </row>
    <row r="170" ht="44.25" customHeight="1">
      <c r="A170" s="126" t="str">
        <f>'Закупка'!A170</f>
        <v/>
      </c>
      <c r="B170" s="127" t="str">
        <f>'Закупка'!B170</f>
        <v/>
      </c>
      <c r="C170" s="128" t="str">
        <f>'Закупка'!R170</f>
        <v/>
      </c>
      <c r="D170" s="129" t="str">
        <f t="array" ref="D170">INDEX('Закупка'!G170:K170, $A$2)</f>
        <v/>
      </c>
      <c r="E170" s="130" t="str">
        <f>'Закупка'!F170</f>
        <v/>
      </c>
      <c r="F170" s="131" t="str">
        <f t="shared" si="1"/>
        <v/>
      </c>
      <c r="G170" s="132"/>
      <c r="H170" s="133"/>
      <c r="I170" s="134"/>
      <c r="J170" s="131" t="str">
        <f t="shared" si="2"/>
        <v/>
      </c>
      <c r="K170" s="135" t="str">
        <f>'Закупка'!T170</f>
        <v/>
      </c>
      <c r="L170" s="144" t="str">
        <f>'Закупка'!U170</f>
        <v/>
      </c>
      <c r="M170" s="137" t="str">
        <f>'Закупка'!V170</f>
        <v/>
      </c>
    </row>
    <row r="171" ht="44.25" customHeight="1">
      <c r="A171" s="126" t="str">
        <f>'Закупка'!A171</f>
        <v/>
      </c>
      <c r="B171" s="127" t="str">
        <f>'Закупка'!B171</f>
        <v/>
      </c>
      <c r="C171" s="128" t="str">
        <f>'Закупка'!R171</f>
        <v/>
      </c>
      <c r="D171" s="129" t="str">
        <f t="array" ref="D171">INDEX('Закупка'!G171:K171, $A$2)</f>
        <v/>
      </c>
      <c r="E171" s="130" t="str">
        <f>'Закупка'!F171</f>
        <v/>
      </c>
      <c r="F171" s="131" t="str">
        <f t="shared" si="1"/>
        <v/>
      </c>
      <c r="G171" s="132"/>
      <c r="H171" s="133"/>
      <c r="I171" s="134"/>
      <c r="J171" s="131" t="str">
        <f t="shared" si="2"/>
        <v/>
      </c>
      <c r="K171" s="135" t="str">
        <f>'Закупка'!T171</f>
        <v/>
      </c>
      <c r="L171" s="144" t="str">
        <f>'Закупка'!U171</f>
        <v/>
      </c>
      <c r="M171" s="137" t="str">
        <f>'Закупка'!V171</f>
        <v/>
      </c>
    </row>
    <row r="172" ht="44.25" customHeight="1">
      <c r="A172" s="126" t="str">
        <f>'Закупка'!A172</f>
        <v/>
      </c>
      <c r="B172" s="127" t="str">
        <f>'Закупка'!B172</f>
        <v/>
      </c>
      <c r="C172" s="128" t="str">
        <f>'Закупка'!R172</f>
        <v/>
      </c>
      <c r="D172" s="129" t="str">
        <f t="array" ref="D172">INDEX('Закупка'!G172:K172, $A$2)</f>
        <v/>
      </c>
      <c r="E172" s="130" t="str">
        <f>'Закупка'!F172</f>
        <v/>
      </c>
      <c r="F172" s="131" t="str">
        <f t="shared" si="1"/>
        <v/>
      </c>
      <c r="G172" s="132"/>
      <c r="H172" s="133"/>
      <c r="I172" s="134"/>
      <c r="J172" s="131" t="str">
        <f t="shared" si="2"/>
        <v/>
      </c>
      <c r="K172" s="135" t="str">
        <f>'Закупка'!T172</f>
        <v/>
      </c>
      <c r="L172" s="144" t="str">
        <f>'Закупка'!U172</f>
        <v/>
      </c>
      <c r="M172" s="137" t="str">
        <f>'Закупка'!V172</f>
        <v/>
      </c>
    </row>
    <row r="173" ht="44.25" customHeight="1">
      <c r="A173" s="126" t="str">
        <f>'Закупка'!A173</f>
        <v/>
      </c>
      <c r="B173" s="127" t="str">
        <f>'Закупка'!B173</f>
        <v/>
      </c>
      <c r="C173" s="128" t="str">
        <f>'Закупка'!R173</f>
        <v/>
      </c>
      <c r="D173" s="129" t="str">
        <f t="array" ref="D173">INDEX('Закупка'!G173:K173, $A$2)</f>
        <v/>
      </c>
      <c r="E173" s="130" t="str">
        <f>'Закупка'!F173</f>
        <v/>
      </c>
      <c r="F173" s="131" t="str">
        <f t="shared" si="1"/>
        <v/>
      </c>
      <c r="G173" s="132"/>
      <c r="H173" s="133"/>
      <c r="I173" s="134"/>
      <c r="J173" s="131" t="str">
        <f t="shared" si="2"/>
        <v/>
      </c>
      <c r="K173" s="135" t="str">
        <f>'Закупка'!T173</f>
        <v/>
      </c>
      <c r="L173" s="144" t="str">
        <f>'Закупка'!U173</f>
        <v/>
      </c>
      <c r="M173" s="137" t="str">
        <f>'Закупка'!V173</f>
        <v/>
      </c>
    </row>
    <row r="174" ht="44.25" customHeight="1">
      <c r="A174" s="126" t="str">
        <f>'Закупка'!A174</f>
        <v/>
      </c>
      <c r="B174" s="127" t="str">
        <f>'Закупка'!B174</f>
        <v/>
      </c>
      <c r="C174" s="128" t="str">
        <f>'Закупка'!R174</f>
        <v/>
      </c>
      <c r="D174" s="129" t="str">
        <f t="array" ref="D174">INDEX('Закупка'!G174:K174, $A$2)</f>
        <v/>
      </c>
      <c r="E174" s="130" t="str">
        <f>'Закупка'!F174</f>
        <v/>
      </c>
      <c r="F174" s="131" t="str">
        <f t="shared" si="1"/>
        <v/>
      </c>
      <c r="G174" s="132"/>
      <c r="H174" s="133"/>
      <c r="I174" s="134"/>
      <c r="J174" s="131" t="str">
        <f t="shared" si="2"/>
        <v/>
      </c>
      <c r="K174" s="135" t="str">
        <f>'Закупка'!T174</f>
        <v/>
      </c>
      <c r="L174" s="144" t="str">
        <f>'Закупка'!U174</f>
        <v/>
      </c>
      <c r="M174" s="137" t="str">
        <f>'Закупка'!V174</f>
        <v/>
      </c>
    </row>
    <row r="175" ht="44.25" customHeight="1">
      <c r="A175" s="126" t="str">
        <f>'Закупка'!A175</f>
        <v/>
      </c>
      <c r="B175" s="127" t="str">
        <f>'Закупка'!B175</f>
        <v/>
      </c>
      <c r="C175" s="128" t="str">
        <f>'Закупка'!R175</f>
        <v/>
      </c>
      <c r="D175" s="129" t="str">
        <f t="array" ref="D175">INDEX('Закупка'!G175:K175, $A$2)</f>
        <v/>
      </c>
      <c r="E175" s="130" t="str">
        <f>'Закупка'!F175</f>
        <v/>
      </c>
      <c r="F175" s="131" t="str">
        <f t="shared" si="1"/>
        <v/>
      </c>
      <c r="G175" s="132"/>
      <c r="H175" s="133"/>
      <c r="I175" s="134"/>
      <c r="J175" s="131" t="str">
        <f t="shared" si="2"/>
        <v/>
      </c>
      <c r="K175" s="135" t="str">
        <f>'Закупка'!T175</f>
        <v/>
      </c>
      <c r="L175" s="144" t="str">
        <f>'Закупка'!U175</f>
        <v/>
      </c>
      <c r="M175" s="137" t="str">
        <f>'Закупка'!V175</f>
        <v/>
      </c>
    </row>
    <row r="176" ht="44.25" customHeight="1">
      <c r="A176" s="126" t="str">
        <f>'Закупка'!A176</f>
        <v/>
      </c>
      <c r="B176" s="127" t="str">
        <f>'Закупка'!B176</f>
        <v/>
      </c>
      <c r="C176" s="128" t="str">
        <f>'Закупка'!R176</f>
        <v/>
      </c>
      <c r="D176" s="129" t="str">
        <f t="array" ref="D176">INDEX('Закупка'!G176:K176, $A$2)</f>
        <v/>
      </c>
      <c r="E176" s="130" t="str">
        <f>'Закупка'!F176</f>
        <v/>
      </c>
      <c r="F176" s="131" t="str">
        <f t="shared" si="1"/>
        <v/>
      </c>
      <c r="G176" s="132"/>
      <c r="H176" s="133"/>
      <c r="I176" s="134"/>
      <c r="J176" s="131" t="str">
        <f t="shared" si="2"/>
        <v/>
      </c>
      <c r="K176" s="135" t="str">
        <f>'Закупка'!T176</f>
        <v/>
      </c>
      <c r="L176" s="144" t="str">
        <f>'Закупка'!U176</f>
        <v/>
      </c>
      <c r="M176" s="137" t="str">
        <f>'Закупка'!V176</f>
        <v/>
      </c>
    </row>
    <row r="177" ht="44.25" customHeight="1">
      <c r="A177" s="126" t="str">
        <f>'Закупка'!A177</f>
        <v/>
      </c>
      <c r="B177" s="127" t="str">
        <f>'Закупка'!B177</f>
        <v/>
      </c>
      <c r="C177" s="128" t="str">
        <f>'Закупка'!R177</f>
        <v/>
      </c>
      <c r="D177" s="129" t="str">
        <f t="array" ref="D177">INDEX('Закупка'!G177:K177, $A$2)</f>
        <v/>
      </c>
      <c r="E177" s="130" t="str">
        <f>'Закупка'!F177</f>
        <v/>
      </c>
      <c r="F177" s="131" t="str">
        <f t="shared" si="1"/>
        <v/>
      </c>
      <c r="G177" s="132"/>
      <c r="H177" s="133"/>
      <c r="I177" s="134"/>
      <c r="J177" s="131" t="str">
        <f t="shared" si="2"/>
        <v/>
      </c>
      <c r="K177" s="135" t="str">
        <f>'Закупка'!T177</f>
        <v/>
      </c>
      <c r="L177" s="144" t="str">
        <f>'Закупка'!U177</f>
        <v/>
      </c>
      <c r="M177" s="137" t="str">
        <f>'Закупка'!V177</f>
        <v/>
      </c>
    </row>
    <row r="178" ht="44.25" customHeight="1">
      <c r="A178" s="126" t="str">
        <f>'Закупка'!A178</f>
        <v/>
      </c>
      <c r="B178" s="127" t="str">
        <f>'Закупка'!B178</f>
        <v/>
      </c>
      <c r="C178" s="128" t="str">
        <f>'Закупка'!R178</f>
        <v/>
      </c>
      <c r="D178" s="129" t="str">
        <f t="array" ref="D178">INDEX('Закупка'!G178:K178, $A$2)</f>
        <v/>
      </c>
      <c r="E178" s="130" t="str">
        <f>'Закупка'!F178</f>
        <v/>
      </c>
      <c r="F178" s="131" t="str">
        <f t="shared" si="1"/>
        <v/>
      </c>
      <c r="G178" s="132"/>
      <c r="H178" s="133"/>
      <c r="I178" s="134"/>
      <c r="J178" s="131" t="str">
        <f t="shared" si="2"/>
        <v/>
      </c>
      <c r="K178" s="135" t="str">
        <f>'Закупка'!T178</f>
        <v/>
      </c>
      <c r="L178" s="144" t="str">
        <f>'Закупка'!U178</f>
        <v/>
      </c>
      <c r="M178" s="137" t="str">
        <f>'Закупка'!V178</f>
        <v/>
      </c>
    </row>
    <row r="179" ht="44.25" customHeight="1">
      <c r="A179" s="126" t="str">
        <f>'Закупка'!A179</f>
        <v/>
      </c>
      <c r="B179" s="127" t="str">
        <f>'Закупка'!B179</f>
        <v/>
      </c>
      <c r="C179" s="128" t="str">
        <f>'Закупка'!R179</f>
        <v/>
      </c>
      <c r="D179" s="129" t="str">
        <f t="array" ref="D179">INDEX('Закупка'!G179:K179, $A$2)</f>
        <v/>
      </c>
      <c r="E179" s="130" t="str">
        <f>'Закупка'!F179</f>
        <v/>
      </c>
      <c r="F179" s="131" t="str">
        <f t="shared" si="1"/>
        <v/>
      </c>
      <c r="G179" s="132"/>
      <c r="H179" s="133"/>
      <c r="I179" s="134"/>
      <c r="J179" s="131" t="str">
        <f t="shared" si="2"/>
        <v/>
      </c>
      <c r="K179" s="135" t="str">
        <f>'Закупка'!T179</f>
        <v/>
      </c>
      <c r="L179" s="144" t="str">
        <f>'Закупка'!U179</f>
        <v/>
      </c>
      <c r="M179" s="137" t="str">
        <f>'Закупка'!V179</f>
        <v/>
      </c>
    </row>
    <row r="180" ht="44.25" customHeight="1">
      <c r="A180" s="126" t="str">
        <f>'Закупка'!A180</f>
        <v/>
      </c>
      <c r="B180" s="127" t="str">
        <f>'Закупка'!B180</f>
        <v/>
      </c>
      <c r="C180" s="128" t="str">
        <f>'Закупка'!R180</f>
        <v/>
      </c>
      <c r="D180" s="129" t="str">
        <f t="array" ref="D180">INDEX('Закупка'!G180:K180, $A$2)</f>
        <v/>
      </c>
      <c r="E180" s="130" t="str">
        <f>'Закупка'!F180</f>
        <v/>
      </c>
      <c r="F180" s="131" t="str">
        <f t="shared" si="1"/>
        <v/>
      </c>
      <c r="G180" s="132"/>
      <c r="H180" s="133"/>
      <c r="I180" s="134"/>
      <c r="J180" s="131" t="str">
        <f t="shared" si="2"/>
        <v/>
      </c>
      <c r="K180" s="135" t="str">
        <f>'Закупка'!T180</f>
        <v/>
      </c>
      <c r="L180" s="144" t="str">
        <f>'Закупка'!U180</f>
        <v/>
      </c>
      <c r="M180" s="137" t="str">
        <f>'Закупка'!V180</f>
        <v/>
      </c>
    </row>
    <row r="181" ht="44.25" customHeight="1">
      <c r="A181" s="126" t="str">
        <f>'Закупка'!A181</f>
        <v/>
      </c>
      <c r="B181" s="127" t="str">
        <f>'Закупка'!B181</f>
        <v/>
      </c>
      <c r="C181" s="128" t="str">
        <f>'Закупка'!R181</f>
        <v/>
      </c>
      <c r="D181" s="129" t="str">
        <f t="array" ref="D181">INDEX('Закупка'!G181:K181, $A$2)</f>
        <v/>
      </c>
      <c r="E181" s="130" t="str">
        <f>'Закупка'!F181</f>
        <v/>
      </c>
      <c r="F181" s="131" t="str">
        <f t="shared" si="1"/>
        <v/>
      </c>
      <c r="G181" s="132"/>
      <c r="H181" s="133"/>
      <c r="I181" s="134"/>
      <c r="J181" s="131" t="str">
        <f t="shared" si="2"/>
        <v/>
      </c>
      <c r="K181" s="135" t="str">
        <f>'Закупка'!T181</f>
        <v/>
      </c>
      <c r="L181" s="144" t="str">
        <f>'Закупка'!U181</f>
        <v/>
      </c>
      <c r="M181" s="137" t="str">
        <f>'Закупка'!V181</f>
        <v/>
      </c>
    </row>
    <row r="182" ht="44.25" customHeight="1">
      <c r="A182" s="126" t="str">
        <f>'Закупка'!A182</f>
        <v/>
      </c>
      <c r="B182" s="127" t="str">
        <f>'Закупка'!B182</f>
        <v/>
      </c>
      <c r="C182" s="128" t="str">
        <f>'Закупка'!R182</f>
        <v/>
      </c>
      <c r="D182" s="129" t="str">
        <f t="array" ref="D182">INDEX('Закупка'!G182:K182, $A$2)</f>
        <v/>
      </c>
      <c r="E182" s="130" t="str">
        <f>'Закупка'!F182</f>
        <v/>
      </c>
      <c r="F182" s="131" t="str">
        <f t="shared" si="1"/>
        <v/>
      </c>
      <c r="G182" s="132"/>
      <c r="H182" s="133"/>
      <c r="I182" s="134"/>
      <c r="J182" s="131" t="str">
        <f t="shared" si="2"/>
        <v/>
      </c>
      <c r="K182" s="135" t="str">
        <f>'Закупка'!T182</f>
        <v/>
      </c>
      <c r="L182" s="144" t="str">
        <f>'Закупка'!U182</f>
        <v/>
      </c>
      <c r="M182" s="137" t="str">
        <f>'Закупка'!V182</f>
        <v/>
      </c>
    </row>
    <row r="183" ht="44.25" customHeight="1">
      <c r="A183" s="126" t="str">
        <f>'Закупка'!A183</f>
        <v/>
      </c>
      <c r="B183" s="127" t="str">
        <f>'Закупка'!B183</f>
        <v/>
      </c>
      <c r="C183" s="128" t="str">
        <f>'Закупка'!R183</f>
        <v/>
      </c>
      <c r="D183" s="129" t="str">
        <f t="array" ref="D183">INDEX('Закупка'!G183:K183, $A$2)</f>
        <v/>
      </c>
      <c r="E183" s="130" t="str">
        <f>'Закупка'!F183</f>
        <v/>
      </c>
      <c r="F183" s="131" t="str">
        <f t="shared" si="1"/>
        <v/>
      </c>
      <c r="G183" s="132"/>
      <c r="H183" s="133"/>
      <c r="I183" s="134"/>
      <c r="J183" s="131" t="str">
        <f t="shared" si="2"/>
        <v/>
      </c>
      <c r="K183" s="135" t="str">
        <f>'Закупка'!T183</f>
        <v/>
      </c>
      <c r="L183" s="144" t="str">
        <f>'Закупка'!U183</f>
        <v/>
      </c>
      <c r="M183" s="137" t="str">
        <f>'Закупка'!V183</f>
        <v/>
      </c>
    </row>
    <row r="184" ht="44.25" customHeight="1">
      <c r="A184" s="126" t="str">
        <f>'Закупка'!A184</f>
        <v/>
      </c>
      <c r="B184" s="127" t="str">
        <f>'Закупка'!B184</f>
        <v/>
      </c>
      <c r="C184" s="128" t="str">
        <f>'Закупка'!R184</f>
        <v/>
      </c>
      <c r="D184" s="129" t="str">
        <f t="array" ref="D184">INDEX('Закупка'!G184:K184, $A$2)</f>
        <v/>
      </c>
      <c r="E184" s="130" t="str">
        <f>'Закупка'!F184</f>
        <v/>
      </c>
      <c r="F184" s="131" t="str">
        <f t="shared" si="1"/>
        <v/>
      </c>
      <c r="G184" s="132"/>
      <c r="H184" s="133"/>
      <c r="I184" s="134"/>
      <c r="J184" s="131" t="str">
        <f t="shared" si="2"/>
        <v/>
      </c>
      <c r="K184" s="135" t="str">
        <f>'Закупка'!T184</f>
        <v/>
      </c>
      <c r="L184" s="144" t="str">
        <f>'Закупка'!U184</f>
        <v/>
      </c>
      <c r="M184" s="137" t="str">
        <f>'Закупка'!V184</f>
        <v/>
      </c>
    </row>
    <row r="185" ht="44.25" customHeight="1">
      <c r="A185" s="126" t="str">
        <f>'Закупка'!A185</f>
        <v/>
      </c>
      <c r="B185" s="127" t="str">
        <f>'Закупка'!B185</f>
        <v/>
      </c>
      <c r="C185" s="128" t="str">
        <f>'Закупка'!R185</f>
        <v/>
      </c>
      <c r="D185" s="129" t="str">
        <f t="array" ref="D185">INDEX('Закупка'!G185:K185, $A$2)</f>
        <v/>
      </c>
      <c r="E185" s="130" t="str">
        <f>'Закупка'!F185</f>
        <v/>
      </c>
      <c r="F185" s="131" t="str">
        <f t="shared" si="1"/>
        <v/>
      </c>
      <c r="G185" s="132"/>
      <c r="H185" s="133"/>
      <c r="I185" s="134"/>
      <c r="J185" s="131" t="str">
        <f t="shared" si="2"/>
        <v/>
      </c>
      <c r="K185" s="135" t="str">
        <f>'Закупка'!T185</f>
        <v/>
      </c>
      <c r="L185" s="144" t="str">
        <f>'Закупка'!U185</f>
        <v/>
      </c>
      <c r="M185" s="137" t="str">
        <f>'Закупка'!V185</f>
        <v/>
      </c>
    </row>
    <row r="186" ht="44.25" customHeight="1">
      <c r="A186" s="126" t="str">
        <f>'Закупка'!A186</f>
        <v/>
      </c>
      <c r="B186" s="127" t="str">
        <f>'Закупка'!B186</f>
        <v/>
      </c>
      <c r="C186" s="128" t="str">
        <f>'Закупка'!R186</f>
        <v/>
      </c>
      <c r="D186" s="129" t="str">
        <f t="array" ref="D186">INDEX('Закупка'!G186:K186, $A$2)</f>
        <v/>
      </c>
      <c r="E186" s="130" t="str">
        <f>'Закупка'!F186</f>
        <v/>
      </c>
      <c r="F186" s="131" t="str">
        <f t="shared" si="1"/>
        <v/>
      </c>
      <c r="G186" s="132"/>
      <c r="H186" s="133"/>
      <c r="I186" s="134"/>
      <c r="J186" s="131" t="str">
        <f t="shared" si="2"/>
        <v/>
      </c>
      <c r="K186" s="135" t="str">
        <f>'Закупка'!T186</f>
        <v/>
      </c>
      <c r="L186" s="144" t="str">
        <f>'Закупка'!U186</f>
        <v/>
      </c>
      <c r="M186" s="137" t="str">
        <f>'Закупка'!V186</f>
        <v/>
      </c>
    </row>
    <row r="187" ht="44.25" customHeight="1">
      <c r="A187" s="126" t="str">
        <f>'Закупка'!A187</f>
        <v/>
      </c>
      <c r="B187" s="127" t="str">
        <f>'Закупка'!B187</f>
        <v/>
      </c>
      <c r="C187" s="128" t="str">
        <f>'Закупка'!R187</f>
        <v/>
      </c>
      <c r="D187" s="129" t="str">
        <f t="array" ref="D187">INDEX('Закупка'!G187:K187, $A$2)</f>
        <v/>
      </c>
      <c r="E187" s="130" t="str">
        <f>'Закупка'!F187</f>
        <v/>
      </c>
      <c r="F187" s="131" t="str">
        <f t="shared" si="1"/>
        <v/>
      </c>
      <c r="G187" s="132"/>
      <c r="H187" s="133"/>
      <c r="I187" s="134"/>
      <c r="J187" s="131" t="str">
        <f t="shared" si="2"/>
        <v/>
      </c>
      <c r="K187" s="135" t="str">
        <f>'Закупка'!T187</f>
        <v/>
      </c>
      <c r="L187" s="144" t="str">
        <f>'Закупка'!U187</f>
        <v/>
      </c>
      <c r="M187" s="137" t="str">
        <f>'Закупка'!V187</f>
        <v/>
      </c>
    </row>
    <row r="188" ht="44.25" customHeight="1">
      <c r="A188" s="126" t="str">
        <f>'Закупка'!A188</f>
        <v/>
      </c>
      <c r="B188" s="127" t="str">
        <f>'Закупка'!B188</f>
        <v/>
      </c>
      <c r="C188" s="128" t="str">
        <f>'Закупка'!R188</f>
        <v/>
      </c>
      <c r="D188" s="129" t="str">
        <f t="array" ref="D188">INDEX('Закупка'!G188:K188, $A$2)</f>
        <v/>
      </c>
      <c r="E188" s="130" t="str">
        <f>'Закупка'!F188</f>
        <v/>
      </c>
      <c r="F188" s="131" t="str">
        <f t="shared" si="1"/>
        <v/>
      </c>
      <c r="G188" s="132"/>
      <c r="H188" s="133"/>
      <c r="I188" s="134"/>
      <c r="J188" s="131" t="str">
        <f t="shared" si="2"/>
        <v/>
      </c>
      <c r="K188" s="135" t="str">
        <f>'Закупка'!T188</f>
        <v/>
      </c>
      <c r="L188" s="144" t="str">
        <f>'Закупка'!U188</f>
        <v/>
      </c>
      <c r="M188" s="137" t="str">
        <f>'Закупка'!V188</f>
        <v/>
      </c>
    </row>
    <row r="189" ht="44.25" customHeight="1">
      <c r="A189" s="126" t="str">
        <f>'Закупка'!A189</f>
        <v/>
      </c>
      <c r="B189" s="127" t="str">
        <f>'Закупка'!B189</f>
        <v/>
      </c>
      <c r="C189" s="128" t="str">
        <f>'Закупка'!R189</f>
        <v/>
      </c>
      <c r="D189" s="129" t="str">
        <f t="array" ref="D189">INDEX('Закупка'!G189:K189, $A$2)</f>
        <v/>
      </c>
      <c r="E189" s="130" t="str">
        <f>'Закупка'!F189</f>
        <v/>
      </c>
      <c r="F189" s="131" t="str">
        <f t="shared" si="1"/>
        <v/>
      </c>
      <c r="G189" s="132"/>
      <c r="H189" s="133"/>
      <c r="I189" s="134"/>
      <c r="J189" s="131" t="str">
        <f t="shared" si="2"/>
        <v/>
      </c>
      <c r="K189" s="135" t="str">
        <f>'Закупка'!T189</f>
        <v/>
      </c>
      <c r="L189" s="144" t="str">
        <f>'Закупка'!U189</f>
        <v/>
      </c>
      <c r="M189" s="137" t="str">
        <f>'Закупка'!V189</f>
        <v/>
      </c>
    </row>
    <row r="190" ht="44.25" customHeight="1">
      <c r="A190" s="126" t="str">
        <f>'Закупка'!A190</f>
        <v/>
      </c>
      <c r="B190" s="127" t="str">
        <f>'Закупка'!B190</f>
        <v/>
      </c>
      <c r="C190" s="128" t="str">
        <f>'Закупка'!R190</f>
        <v/>
      </c>
      <c r="D190" s="129" t="str">
        <f t="array" ref="D190">INDEX('Закупка'!G190:K190, $A$2)</f>
        <v/>
      </c>
      <c r="E190" s="130" t="str">
        <f>'Закупка'!F190</f>
        <v/>
      </c>
      <c r="F190" s="131" t="str">
        <f t="shared" si="1"/>
        <v/>
      </c>
      <c r="G190" s="132"/>
      <c r="H190" s="133"/>
      <c r="I190" s="134"/>
      <c r="J190" s="131" t="str">
        <f t="shared" si="2"/>
        <v/>
      </c>
      <c r="K190" s="135" t="str">
        <f>'Закупка'!T190</f>
        <v/>
      </c>
      <c r="L190" s="144" t="str">
        <f>'Закупка'!U190</f>
        <v/>
      </c>
      <c r="M190" s="137" t="str">
        <f>'Закупка'!V190</f>
        <v/>
      </c>
    </row>
    <row r="191" ht="44.25" customHeight="1">
      <c r="A191" s="126" t="str">
        <f>'Закупка'!A191</f>
        <v/>
      </c>
      <c r="B191" s="127" t="str">
        <f>'Закупка'!B191</f>
        <v/>
      </c>
      <c r="C191" s="128" t="str">
        <f>'Закупка'!R191</f>
        <v/>
      </c>
      <c r="D191" s="129" t="str">
        <f t="array" ref="D191">INDEX('Закупка'!G191:K191, $A$2)</f>
        <v/>
      </c>
      <c r="E191" s="130" t="str">
        <f>'Закупка'!F191</f>
        <v/>
      </c>
      <c r="F191" s="131" t="str">
        <f t="shared" si="1"/>
        <v/>
      </c>
      <c r="G191" s="132"/>
      <c r="H191" s="133"/>
      <c r="I191" s="134"/>
      <c r="J191" s="131" t="str">
        <f t="shared" si="2"/>
        <v/>
      </c>
      <c r="K191" s="135" t="str">
        <f>'Закупка'!T191</f>
        <v/>
      </c>
      <c r="L191" s="144" t="str">
        <f>'Закупка'!U191</f>
        <v/>
      </c>
      <c r="M191" s="137" t="str">
        <f>'Закупка'!V191</f>
        <v/>
      </c>
    </row>
    <row r="192" ht="44.25" customHeight="1">
      <c r="A192" s="126" t="str">
        <f>'Закупка'!A192</f>
        <v/>
      </c>
      <c r="B192" s="127" t="str">
        <f>'Закупка'!B192</f>
        <v/>
      </c>
      <c r="C192" s="128" t="str">
        <f>'Закупка'!R192</f>
        <v/>
      </c>
      <c r="D192" s="129" t="str">
        <f t="array" ref="D192">INDEX('Закупка'!G192:K192, $A$2)</f>
        <v/>
      </c>
      <c r="E192" s="130" t="str">
        <f>'Закупка'!F192</f>
        <v/>
      </c>
      <c r="F192" s="131" t="str">
        <f t="shared" si="1"/>
        <v/>
      </c>
      <c r="G192" s="132"/>
      <c r="H192" s="133"/>
      <c r="I192" s="134"/>
      <c r="J192" s="131" t="str">
        <f t="shared" si="2"/>
        <v/>
      </c>
      <c r="K192" s="135" t="str">
        <f>'Закупка'!T192</f>
        <v/>
      </c>
      <c r="L192" s="144" t="str">
        <f>'Закупка'!U192</f>
        <v/>
      </c>
      <c r="M192" s="137" t="str">
        <f>'Закупка'!V192</f>
        <v/>
      </c>
    </row>
    <row r="193" ht="44.25" customHeight="1">
      <c r="A193" s="126" t="str">
        <f>'Закупка'!A193</f>
        <v/>
      </c>
      <c r="B193" s="127" t="str">
        <f>'Закупка'!B193</f>
        <v/>
      </c>
      <c r="C193" s="128" t="str">
        <f>'Закупка'!R193</f>
        <v/>
      </c>
      <c r="D193" s="129" t="str">
        <f t="array" ref="D193">INDEX('Закупка'!G193:K193, $A$2)</f>
        <v/>
      </c>
      <c r="E193" s="130" t="str">
        <f>'Закупка'!F193</f>
        <v/>
      </c>
      <c r="F193" s="131" t="str">
        <f t="shared" si="1"/>
        <v/>
      </c>
      <c r="G193" s="132"/>
      <c r="H193" s="133"/>
      <c r="I193" s="134"/>
      <c r="J193" s="131" t="str">
        <f t="shared" si="2"/>
        <v/>
      </c>
      <c r="K193" s="135" t="str">
        <f>'Закупка'!T193</f>
        <v/>
      </c>
      <c r="L193" s="144" t="str">
        <f>'Закупка'!U193</f>
        <v/>
      </c>
      <c r="M193" s="137" t="str">
        <f>'Закупка'!V193</f>
        <v/>
      </c>
    </row>
    <row r="194" ht="44.25" customHeight="1">
      <c r="A194" s="126" t="str">
        <f>'Закупка'!A194</f>
        <v/>
      </c>
      <c r="B194" s="127" t="str">
        <f>'Закупка'!B194</f>
        <v/>
      </c>
      <c r="C194" s="128" t="str">
        <f>'Закупка'!R194</f>
        <v/>
      </c>
      <c r="D194" s="129" t="str">
        <f t="array" ref="D194">INDEX('Закупка'!G194:K194, $A$2)</f>
        <v/>
      </c>
      <c r="E194" s="130" t="str">
        <f>'Закупка'!F194</f>
        <v/>
      </c>
      <c r="F194" s="131" t="str">
        <f t="shared" si="1"/>
        <v/>
      </c>
      <c r="G194" s="132"/>
      <c r="H194" s="133"/>
      <c r="I194" s="134"/>
      <c r="J194" s="131" t="str">
        <f t="shared" si="2"/>
        <v/>
      </c>
      <c r="K194" s="135" t="str">
        <f>'Закупка'!T194</f>
        <v/>
      </c>
      <c r="L194" s="144" t="str">
        <f>'Закупка'!U194</f>
        <v/>
      </c>
      <c r="M194" s="137" t="str">
        <f>'Закупка'!V194</f>
        <v/>
      </c>
    </row>
    <row r="195" ht="44.25" customHeight="1">
      <c r="A195" s="126" t="str">
        <f>'Закупка'!A195</f>
        <v/>
      </c>
      <c r="B195" s="127" t="str">
        <f>'Закупка'!B195</f>
        <v/>
      </c>
      <c r="C195" s="128" t="str">
        <f>'Закупка'!R195</f>
        <v/>
      </c>
      <c r="D195" s="129" t="str">
        <f t="array" ref="D195">INDEX('Закупка'!G195:K195, $A$2)</f>
        <v/>
      </c>
      <c r="E195" s="130" t="str">
        <f>'Закупка'!F195</f>
        <v/>
      </c>
      <c r="F195" s="131" t="str">
        <f t="shared" si="1"/>
        <v/>
      </c>
      <c r="G195" s="132"/>
      <c r="H195" s="133"/>
      <c r="I195" s="134"/>
      <c r="J195" s="131" t="str">
        <f t="shared" si="2"/>
        <v/>
      </c>
      <c r="K195" s="135" t="str">
        <f>'Закупка'!T195</f>
        <v/>
      </c>
      <c r="L195" s="144" t="str">
        <f>'Закупка'!U195</f>
        <v/>
      </c>
      <c r="M195" s="137" t="str">
        <f>'Закупка'!V195</f>
        <v/>
      </c>
    </row>
    <row r="196" ht="44.25" customHeight="1">
      <c r="A196" s="126" t="str">
        <f>'Закупка'!A196</f>
        <v/>
      </c>
      <c r="B196" s="127" t="str">
        <f>'Закупка'!B196</f>
        <v/>
      </c>
      <c r="C196" s="128" t="str">
        <f>'Закупка'!R196</f>
        <v/>
      </c>
      <c r="D196" s="129" t="str">
        <f t="array" ref="D196">INDEX('Закупка'!G196:K196, $A$2)</f>
        <v/>
      </c>
      <c r="E196" s="130" t="str">
        <f>'Закупка'!F196</f>
        <v/>
      </c>
      <c r="F196" s="131" t="str">
        <f t="shared" si="1"/>
        <v/>
      </c>
      <c r="G196" s="132"/>
      <c r="H196" s="133"/>
      <c r="I196" s="134"/>
      <c r="J196" s="131" t="str">
        <f t="shared" si="2"/>
        <v/>
      </c>
      <c r="K196" s="135" t="str">
        <f>'Закупка'!T196</f>
        <v/>
      </c>
      <c r="L196" s="144" t="str">
        <f>'Закупка'!U196</f>
        <v/>
      </c>
      <c r="M196" s="137" t="str">
        <f>'Закупка'!V196</f>
        <v/>
      </c>
    </row>
    <row r="197" ht="44.25" customHeight="1">
      <c r="A197" s="138" t="str">
        <f>'Закупка'!A197</f>
        <v/>
      </c>
      <c r="B197" s="127" t="str">
        <f>'Закупка'!B197</f>
        <v/>
      </c>
      <c r="C197" s="128" t="str">
        <f>'Закупка'!R197</f>
        <v/>
      </c>
      <c r="D197" s="129" t="str">
        <f t="array" ref="D197">INDEX('Закупка'!G197:K197, $A$2)</f>
        <v/>
      </c>
      <c r="E197" s="139" t="str">
        <f>'Закупка'!F197</f>
        <v/>
      </c>
      <c r="F197" s="131" t="str">
        <f t="shared" si="1"/>
        <v/>
      </c>
      <c r="G197" s="132"/>
      <c r="H197" s="133"/>
      <c r="I197" s="134"/>
      <c r="J197" s="131" t="str">
        <f t="shared" si="2"/>
        <v/>
      </c>
      <c r="K197" s="135" t="str">
        <f>'Закупка'!T197</f>
        <v/>
      </c>
      <c r="L197" s="144" t="str">
        <f>'Закупка'!U197</f>
        <v/>
      </c>
      <c r="M197" s="137" t="str">
        <f>'Закупка'!V197</f>
        <v/>
      </c>
    </row>
    <row r="198" ht="44.25" customHeight="1">
      <c r="A198" s="138" t="str">
        <f>'Закупка'!A198</f>
        <v/>
      </c>
      <c r="B198" s="127" t="str">
        <f>'Закупка'!B198</f>
        <v/>
      </c>
      <c r="C198" s="128" t="str">
        <f>'Закупка'!R198</f>
        <v/>
      </c>
      <c r="D198" s="129" t="str">
        <f t="array" ref="D198">INDEX('Закупка'!G198:K198, $A$2)</f>
        <v/>
      </c>
      <c r="E198" s="139" t="str">
        <f>'Закупка'!F198</f>
        <v/>
      </c>
      <c r="F198" s="131" t="str">
        <f t="shared" si="1"/>
        <v/>
      </c>
      <c r="G198" s="132"/>
      <c r="H198" s="133"/>
      <c r="I198" s="134"/>
      <c r="J198" s="131" t="str">
        <f t="shared" si="2"/>
        <v/>
      </c>
      <c r="K198" s="135" t="str">
        <f>'Закупка'!T198</f>
        <v/>
      </c>
      <c r="L198" s="144" t="str">
        <f>'Закупка'!U198</f>
        <v/>
      </c>
      <c r="M198" s="137" t="str">
        <f>'Закупка'!V198</f>
        <v/>
      </c>
    </row>
    <row r="199" ht="44.25" customHeight="1">
      <c r="A199" s="138" t="str">
        <f>'Закупка'!A199</f>
        <v/>
      </c>
      <c r="B199" s="127" t="str">
        <f>'Закупка'!B199</f>
        <v/>
      </c>
      <c r="C199" s="128" t="str">
        <f>'Закупка'!R199</f>
        <v/>
      </c>
      <c r="D199" s="129" t="str">
        <f t="array" ref="D199">INDEX('Закупка'!G199:K199, $A$2)</f>
        <v/>
      </c>
      <c r="E199" s="139" t="str">
        <f>'Закупка'!F199</f>
        <v/>
      </c>
      <c r="F199" s="131" t="str">
        <f t="shared" si="1"/>
        <v/>
      </c>
      <c r="G199" s="132"/>
      <c r="H199" s="133"/>
      <c r="I199" s="134"/>
      <c r="J199" s="131" t="str">
        <f t="shared" si="2"/>
        <v/>
      </c>
      <c r="K199" s="135" t="str">
        <f>'Закупка'!T199</f>
        <v/>
      </c>
      <c r="L199" s="144" t="str">
        <f>'Закупка'!U199</f>
        <v/>
      </c>
      <c r="M199" s="13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1" t="s">
        <v>8</v>
      </c>
      <c r="B1" s="111" t="str">
        <f>VLOOKUP(A1, Lookup!B:C, 2, FALSE)</f>
        <v>Gloria</v>
      </c>
      <c r="C1" s="112"/>
      <c r="D1" s="113" t="s">
        <v>174</v>
      </c>
      <c r="E1" s="114" t="str">
        <f>'Закупка'!F1</f>
        <v>внтури пачки штук?</v>
      </c>
      <c r="F1" s="113" t="s">
        <v>175</v>
      </c>
      <c r="G1" s="115" t="s">
        <v>176</v>
      </c>
      <c r="J1" s="113" t="s">
        <v>177</v>
      </c>
      <c r="K1" s="116"/>
      <c r="L1" s="117"/>
      <c r="M1" s="118"/>
    </row>
    <row r="2" ht="23.25" customHeight="1">
      <c r="A2" s="119">
        <f>MATCH(A1, 'Закупка'!G1:K1, 0)</f>
        <v>4</v>
      </c>
      <c r="B2" s="120">
        <f>'Закупка'!B2</f>
        <v>45845</v>
      </c>
      <c r="C2" s="121"/>
      <c r="G2" s="122" t="s">
        <v>185</v>
      </c>
      <c r="H2" s="122" t="s">
        <v>186</v>
      </c>
      <c r="I2" s="122" t="s">
        <v>180</v>
      </c>
      <c r="K2" s="123" t="str">
        <f>'Закупка'!T1</f>
        <v>Holded артикул</v>
      </c>
      <c r="L2" s="124" t="str">
        <f>'Закупка'!U1</f>
        <v>название с holded</v>
      </c>
      <c r="M2" s="125" t="str">
        <f>'Закупка'!V1</f>
        <v>codigo de fabricasion</v>
      </c>
    </row>
    <row r="3" ht="45.0" customHeight="1">
      <c r="A3" s="126" t="str">
        <f>'Закупка'!A3</f>
        <v/>
      </c>
      <c r="B3" s="127" t="str">
        <f>'Закупка'!B3</f>
        <v>Фактура 1</v>
      </c>
      <c r="C3" s="128" t="str">
        <f>'Закупка'!R3</f>
        <v/>
      </c>
      <c r="D3" s="129" t="str">
        <f t="array" ref="D3">INDEX('Закупка'!G3:K3, $A$2)</f>
        <v/>
      </c>
      <c r="E3" s="130" t="str">
        <f>'Закупка'!F3</f>
        <v/>
      </c>
      <c r="F3" s="131" t="str">
        <f t="shared" ref="F3:F199" si="1">IF(D3&lt;&gt;"",D3*E3,)</f>
        <v/>
      </c>
      <c r="G3" s="132"/>
      <c r="H3" s="133"/>
      <c r="I3" s="145"/>
      <c r="J3" s="131"/>
      <c r="K3" s="135" t="str">
        <f>'Закупка'!T3</f>
        <v/>
      </c>
      <c r="L3" s="136" t="str">
        <f>'Закупка'!U3</f>
        <v/>
      </c>
      <c r="M3" s="137" t="str">
        <f>'Закупка'!V3</f>
        <v/>
      </c>
    </row>
    <row r="4" ht="45.0" customHeight="1">
      <c r="A4" s="126" t="str">
        <f>'Закупка'!A4</f>
        <v>1.1</v>
      </c>
      <c r="B4" s="127" t="str">
        <f>'Закупка'!B4</f>
        <v>RANUNCULUS CLOONEY TUAREQ</v>
      </c>
      <c r="C4" s="128" t="str">
        <f>'Закупка'!R4</f>
        <v/>
      </c>
      <c r="D4" s="129">
        <f t="array" ref="D4">INDEX('Закупка'!G4:K4, $A$2)</f>
        <v>3</v>
      </c>
      <c r="E4" s="130" t="str">
        <f>'Закупка'!F4</f>
        <v>10</v>
      </c>
      <c r="F4" s="131">
        <f t="shared" si="1"/>
        <v>30</v>
      </c>
      <c r="G4" s="132">
        <v>3.0</v>
      </c>
      <c r="H4" s="133">
        <v>30.0</v>
      </c>
      <c r="I4" s="145"/>
      <c r="J4" s="131"/>
      <c r="K4" s="135">
        <f>'Закупка'!T4</f>
        <v>8400518</v>
      </c>
      <c r="L4" s="136" t="str">
        <f>'Закупка'!U4</f>
        <v>RANUNCULUS - Butterfly - flor</v>
      </c>
      <c r="M4" s="137" t="str">
        <f>'Закупка'!V4</f>
        <v> RANUBUBL, RANUBUSA, 174946, 147132, 126830</v>
      </c>
    </row>
    <row r="5" ht="45.0" customHeight="1">
      <c r="A5" s="126" t="str">
        <f>'Закупка'!A5</f>
        <v>1.2</v>
      </c>
      <c r="B5" s="127" t="str">
        <f>'Закупка'!B5</f>
        <v>RANUNCULUS CLOONEY GRAND PASTEL</v>
      </c>
      <c r="C5" s="128" t="str">
        <f>'Закупка'!R5</f>
        <v/>
      </c>
      <c r="D5" s="129" t="str">
        <f t="array" ref="D5">INDEX('Закупка'!G5:K5, $A$2)</f>
        <v/>
      </c>
      <c r="E5" s="130" t="str">
        <f>'Закупка'!F5</f>
        <v>10</v>
      </c>
      <c r="F5" s="131" t="str">
        <f t="shared" si="1"/>
        <v/>
      </c>
      <c r="G5" s="132"/>
      <c r="H5" s="133"/>
      <c r="I5" s="145"/>
      <c r="J5" s="131"/>
      <c r="K5" s="135">
        <f>'Закупка'!T5</f>
        <v>8400518</v>
      </c>
      <c r="L5" s="136" t="str">
        <f>'Закупка'!U5</f>
        <v>RANUNCULUS - Butterfly - flor</v>
      </c>
      <c r="M5" s="137" t="str">
        <f>'Закупка'!V5</f>
        <v> RANUBUBL, RANUBUSA, 174946, 147132, 126830</v>
      </c>
    </row>
    <row r="6" ht="45.0" customHeight="1">
      <c r="A6" s="126" t="str">
        <f>'Закупка'!A6</f>
        <v>1.3</v>
      </c>
      <c r="B6" s="127" t="str">
        <f>'Закупка'!B6</f>
        <v>ALSTROEMERIA SI SOFIENA</v>
      </c>
      <c r="C6" s="128" t="str">
        <f>'Закупка'!R6</f>
        <v/>
      </c>
      <c r="D6" s="129">
        <f t="array" ref="D6">INDEX('Закупка'!G6:K6, $A$2)</f>
        <v>2</v>
      </c>
      <c r="E6" s="130" t="str">
        <f>'Закупка'!F6</f>
        <v>10</v>
      </c>
      <c r="F6" s="131">
        <f t="shared" si="1"/>
        <v>20</v>
      </c>
      <c r="G6" s="132">
        <v>2.0</v>
      </c>
      <c r="H6" s="133">
        <v>20.0</v>
      </c>
      <c r="I6" s="145"/>
      <c r="J6" s="131"/>
      <c r="K6" s="135">
        <f>'Закупка'!T6</f>
        <v>8400154</v>
      </c>
      <c r="L6" s="136" t="str">
        <f>'Закупка'!U6</f>
        <v>ALSTROEMERIA - flor</v>
      </c>
      <c r="M6" s="137" t="str">
        <f>'Закупка'!V6</f>
        <v>00027, 11920, 146548, 148465, ALS VA, 148462, 148466, 11920, ALS-P, 137896, 137077, 137894, 148289, 148469, ALSTROEMERIES ALSTROEMERIA, ALSP, 11920</v>
      </c>
    </row>
    <row r="7" ht="45.0" customHeight="1">
      <c r="A7" s="126" t="str">
        <f>'Закупка'!A7</f>
        <v>1.4</v>
      </c>
      <c r="B7" s="127" t="str">
        <f>'Закупка'!B7</f>
        <v>ROSA LARGE BELLE ROSE</v>
      </c>
      <c r="C7" s="128" t="str">
        <f>'Закупка'!R7</f>
        <v/>
      </c>
      <c r="D7" s="129" t="str">
        <f t="array" ref="D7">INDEX('Закупка'!G7:K7, $A$2)</f>
        <v/>
      </c>
      <c r="E7" s="130" t="str">
        <f>'Закупка'!F7</f>
        <v>10</v>
      </c>
      <c r="F7" s="131" t="str">
        <f t="shared" si="1"/>
        <v/>
      </c>
      <c r="G7" s="132"/>
      <c r="H7" s="133"/>
      <c r="I7" s="145"/>
      <c r="J7" s="131"/>
      <c r="K7" s="135">
        <f>'Закупка'!T7</f>
        <v>8400731</v>
      </c>
      <c r="L7" s="136" t="str">
        <f>'Закупка'!U7</f>
        <v>RS ROSA LA BELLE LOLOMARIK - flor</v>
      </c>
      <c r="M7" s="137">
        <f>'Закупка'!V7</f>
        <v>181496</v>
      </c>
    </row>
    <row r="8" ht="45.0" customHeight="1">
      <c r="A8" s="126" t="str">
        <f>'Закупка'!A8</f>
        <v>1.5</v>
      </c>
      <c r="B8" s="127" t="str">
        <f>'Закупка'!B8</f>
        <v>ROSA GARDEN PRISCILLA!</v>
      </c>
      <c r="C8" s="128" t="str">
        <f>'Закупка'!R8</f>
        <v/>
      </c>
      <c r="D8" s="129">
        <f t="array" ref="D8">INDEX('Закупка'!G8:K8, $A$2)</f>
        <v>2</v>
      </c>
      <c r="E8" s="130" t="str">
        <f>'Закупка'!F8</f>
        <v>5</v>
      </c>
      <c r="F8" s="131">
        <f t="shared" si="1"/>
        <v>10</v>
      </c>
      <c r="G8" s="132">
        <v>2.0</v>
      </c>
      <c r="H8" s="133">
        <v>10.0</v>
      </c>
      <c r="I8" s="145"/>
      <c r="J8" s="131"/>
      <c r="K8" s="135">
        <f>'Закупка'!T8</f>
        <v>84001081</v>
      </c>
      <c r="L8" s="136" t="str">
        <f>'Закупка'!U8</f>
        <v>ROSA PRISCILLA - flor</v>
      </c>
      <c r="M8" s="137" t="str">
        <f>'Закупка'!V8</f>
        <v/>
      </c>
    </row>
    <row r="9" ht="45.0" customHeight="1">
      <c r="A9" s="126" t="str">
        <f>'Закупка'!A9</f>
        <v>1.6</v>
      </c>
      <c r="B9" s="127" t="str">
        <f>'Закупка'!B9</f>
        <v>ROSA GARDEN MIX UHURU</v>
      </c>
      <c r="C9" s="128" t="str">
        <f>'Закупка'!R9</f>
        <v/>
      </c>
      <c r="D9" s="129" t="str">
        <f t="array" ref="D9">INDEX('Закупка'!G9:K9, $A$2)</f>
        <v/>
      </c>
      <c r="E9" s="130" t="str">
        <f>'Закупка'!F9</f>
        <v>6</v>
      </c>
      <c r="F9" s="131" t="str">
        <f t="shared" si="1"/>
        <v/>
      </c>
      <c r="G9" s="132"/>
      <c r="H9" s="133"/>
      <c r="I9" s="145"/>
      <c r="J9" s="131"/>
      <c r="K9" s="135">
        <f>'Закупка'!T9</f>
        <v>84001157</v>
      </c>
      <c r="L9" s="136" t="str">
        <f>'Закупка'!U9</f>
        <v>RISA GARDAN MIX - flor/3</v>
      </c>
      <c r="M9" s="137" t="str">
        <f>'Закупка'!V9</f>
        <v/>
      </c>
    </row>
    <row r="10" ht="45.0" customHeight="1">
      <c r="A10" s="126" t="str">
        <f>'Закупка'!A10</f>
        <v>1.7</v>
      </c>
      <c r="B10" s="127" t="str">
        <f>'Закупка'!B10</f>
        <v>ROSA SPRAY CHIMO</v>
      </c>
      <c r="C10" s="128" t="str">
        <f>'Закупка'!R10</f>
        <v/>
      </c>
      <c r="D10" s="129">
        <f t="array" ref="D10">INDEX('Закупка'!G10:K10, $A$2)</f>
        <v>3</v>
      </c>
      <c r="E10" s="130" t="str">
        <f>'Закупка'!F10</f>
        <v>10</v>
      </c>
      <c r="F10" s="131">
        <f t="shared" si="1"/>
        <v>30</v>
      </c>
      <c r="G10" s="132">
        <v>3.0</v>
      </c>
      <c r="H10" s="133">
        <v>30.0</v>
      </c>
      <c r="I10" s="145"/>
      <c r="J10" s="131"/>
      <c r="K10" s="135">
        <f>'Закупка'!T10</f>
        <v>8400828</v>
      </c>
      <c r="L10" s="136" t="str">
        <f>'Закупка'!U10</f>
        <v>ROSA CHIMO - flor</v>
      </c>
      <c r="M10" s="137">
        <f>'Закупка'!V10</f>
        <v>135409</v>
      </c>
    </row>
    <row r="11" ht="45.0" customHeight="1">
      <c r="A11" s="126" t="str">
        <f>'Закупка'!A11</f>
        <v>1.8</v>
      </c>
      <c r="B11" s="127" t="str">
        <f>'Закупка'!B11</f>
        <v>ROSA SPRAY BIRDS NEST+</v>
      </c>
      <c r="C11" s="128" t="str">
        <f>'Закупка'!R11</f>
        <v/>
      </c>
      <c r="D11" s="129">
        <f t="array" ref="D11">INDEX('Закупка'!G11:K11, $A$2)</f>
        <v>1</v>
      </c>
      <c r="E11" s="130" t="str">
        <f>'Закупка'!F11</f>
        <v>10</v>
      </c>
      <c r="F11" s="131">
        <f t="shared" si="1"/>
        <v>10</v>
      </c>
      <c r="G11" s="132">
        <v>1.0</v>
      </c>
      <c r="H11" s="133">
        <v>10.0</v>
      </c>
      <c r="I11" s="145"/>
      <c r="J11" s="131"/>
      <c r="K11" s="135">
        <f>'Закупка'!T11</f>
        <v>84001078</v>
      </c>
      <c r="L11" s="136" t="str">
        <f>'Закупка'!U11</f>
        <v>ROSA BIRDS NEST - flor</v>
      </c>
      <c r="M11" s="137" t="str">
        <f>'Закупка'!V11</f>
        <v/>
      </c>
    </row>
    <row r="12" ht="45.0" customHeight="1">
      <c r="A12" s="126" t="str">
        <f>'Закупка'!A12</f>
        <v>1.9</v>
      </c>
      <c r="B12" s="127" t="str">
        <f>'Закупка'!B12</f>
        <v>ROSA LARGE CELEB</v>
      </c>
      <c r="C12" s="128" t="str">
        <f>'Закупка'!R12</f>
        <v/>
      </c>
      <c r="D12" s="129">
        <f t="array" ref="D12">INDEX('Закупка'!G12:K12, $A$2)</f>
        <v>3</v>
      </c>
      <c r="E12" s="130" t="str">
        <f>'Закупка'!F12</f>
        <v>10</v>
      </c>
      <c r="F12" s="131">
        <f t="shared" si="1"/>
        <v>30</v>
      </c>
      <c r="G12" s="132">
        <v>3.0</v>
      </c>
      <c r="H12" s="133">
        <v>28.0</v>
      </c>
      <c r="I12" s="145"/>
      <c r="J12" s="131"/>
      <c r="K12" s="135">
        <f>'Закупка'!T12</f>
        <v>84001044</v>
      </c>
      <c r="L12" s="136" t="str">
        <f>'Закупка'!U12</f>
        <v>ROSA CELEBRATING HEATHER - flor</v>
      </c>
      <c r="M12" s="137" t="str">
        <f>'Закупка'!V12</f>
        <v/>
      </c>
    </row>
    <row r="13" ht="45.0" customHeight="1">
      <c r="A13" s="126" t="str">
        <f>'Закупка'!A13</f>
        <v>1.10</v>
      </c>
      <c r="B13" s="127" t="str">
        <f>'Закупка'!B13</f>
        <v>ARR CACTUS</v>
      </c>
      <c r="C13" s="128" t="str">
        <f>'Закупка'!R13</f>
        <v/>
      </c>
      <c r="D13" s="129">
        <f t="array" ref="D13">INDEX('Закупка'!G13:K13, $A$2)</f>
        <v>9</v>
      </c>
      <c r="E13" s="130" t="str">
        <f>'Закупка'!F13</f>
        <v>1</v>
      </c>
      <c r="F13" s="131">
        <f t="shared" si="1"/>
        <v>9</v>
      </c>
      <c r="G13" s="132">
        <v>1.0</v>
      </c>
      <c r="H13" s="133">
        <v>9.0</v>
      </c>
      <c r="I13" s="145"/>
      <c r="J13" s="131"/>
      <c r="K13" s="135">
        <f>'Закупка'!T13</f>
        <v>8400594</v>
      </c>
      <c r="L13" s="136" t="str">
        <f>'Закупка'!U13</f>
        <v>CACTUS - planta/22</v>
      </c>
      <c r="M13" s="137" t="str">
        <f>'Закупка'!V13</f>
        <v>TEST 13 cactus</v>
      </c>
    </row>
    <row r="14" ht="45.0" customHeight="1">
      <c r="A14" s="126" t="str">
        <f>'Закупка'!A14</f>
        <v>1.11</v>
      </c>
      <c r="B14" s="127" t="str">
        <f>'Закупка'!B14</f>
        <v>ALOE ARBO</v>
      </c>
      <c r="C14" s="128" t="str">
        <f>'Закупка'!R14</f>
        <v/>
      </c>
      <c r="D14" s="129">
        <f t="array" ref="D14">INDEX('Закупка'!G14:K14, $A$2)</f>
        <v>1</v>
      </c>
      <c r="E14" s="130" t="str">
        <f>'Закупка'!F14</f>
        <v>1</v>
      </c>
      <c r="F14" s="131">
        <f t="shared" si="1"/>
        <v>1</v>
      </c>
      <c r="G14" s="132">
        <v>1.0</v>
      </c>
      <c r="H14" s="133">
        <v>1.0</v>
      </c>
      <c r="I14" s="145"/>
      <c r="J14" s="131"/>
      <c r="K14" s="135">
        <f>'Закупка'!T14</f>
        <v>84001156</v>
      </c>
      <c r="L14" s="136" t="str">
        <f>'Закупка'!U14</f>
        <v>ALOE ARBO - planta/67</v>
      </c>
      <c r="M14" s="137" t="str">
        <f>'Закупка'!V14</f>
        <v/>
      </c>
    </row>
    <row r="15" ht="45.0" customHeight="1">
      <c r="A15" s="126" t="str">
        <f>'Закупка'!A15</f>
        <v>1.12</v>
      </c>
      <c r="B15" s="127" t="str">
        <f>'Закупка'!B15</f>
        <v>ALOE ARBO</v>
      </c>
      <c r="C15" s="128" t="str">
        <f>'Закупка'!R15</f>
        <v/>
      </c>
      <c r="D15" s="129">
        <f t="array" ref="D15">INDEX('Закупка'!G15:K15, $A$2)</f>
        <v>4</v>
      </c>
      <c r="E15" s="130" t="str">
        <f>'Закупка'!F15</f>
        <v>1</v>
      </c>
      <c r="F15" s="131">
        <f t="shared" si="1"/>
        <v>4</v>
      </c>
      <c r="G15" s="132">
        <v>1.0</v>
      </c>
      <c r="H15" s="133">
        <v>4.0</v>
      </c>
      <c r="I15" s="145"/>
      <c r="J15" s="131"/>
      <c r="K15" s="135">
        <f>'Закупка'!T15</f>
        <v>84001155</v>
      </c>
      <c r="L15" s="136" t="str">
        <f>'Закупка'!U15</f>
        <v>ALOE ARBO - planta/47</v>
      </c>
      <c r="M15" s="137" t="str">
        <f>'Закупка'!V15</f>
        <v/>
      </c>
    </row>
    <row r="16" ht="45.0" customHeight="1">
      <c r="A16" s="126" t="str">
        <f>'Закупка'!A16</f>
        <v>1.13</v>
      </c>
      <c r="B16" s="127" t="str">
        <f>'Закупка'!B16</f>
        <v>ARR2 MB GROEN IJZER REK 1 BOL</v>
      </c>
      <c r="C16" s="128" t="str">
        <f>'Закупка'!R16</f>
        <v/>
      </c>
      <c r="D16" s="129">
        <f t="array" ref="D16">INDEX('Закупка'!G16:K16, $A$2)</f>
        <v>4</v>
      </c>
      <c r="E16" s="130" t="str">
        <f>'Закупка'!F16</f>
        <v>1</v>
      </c>
      <c r="F16" s="131">
        <f t="shared" si="1"/>
        <v>4</v>
      </c>
      <c r="G16" s="132">
        <v>1.0</v>
      </c>
      <c r="H16" s="133">
        <v>4.0</v>
      </c>
      <c r="I16" s="145"/>
      <c r="J16" s="131"/>
      <c r="K16" s="135">
        <f>'Закупка'!T16</f>
        <v>8400410</v>
      </c>
      <c r="L16" s="136" t="str">
        <f>'Закупка'!U16</f>
        <v>SUCCULENTUS T16, T22 - MIX - planta/22</v>
      </c>
      <c r="M16" s="137" t="str">
        <f>'Закупка'!V16</f>
        <v>6CRASA22, 54, CRASS16 </v>
      </c>
    </row>
    <row r="17" ht="45.0" customHeight="1">
      <c r="A17" s="126" t="str">
        <f>'Закупка'!A17</f>
        <v>1.14</v>
      </c>
      <c r="B17" s="127" t="str">
        <f>'Закупка'!B17</f>
        <v>ARR NARCISSUS TETE-A-TETE</v>
      </c>
      <c r="C17" s="128" t="str">
        <f>'Закупка'!R17</f>
        <v/>
      </c>
      <c r="D17" s="129">
        <f t="array" ref="D17">INDEX('Закупка'!G17:K17, $A$2)</f>
        <v>6</v>
      </c>
      <c r="E17" s="130" t="str">
        <f>'Закупка'!F17</f>
        <v>1</v>
      </c>
      <c r="F17" s="131">
        <f t="shared" si="1"/>
        <v>6</v>
      </c>
      <c r="G17" s="132">
        <v>1.0</v>
      </c>
      <c r="H17" s="133">
        <v>6.0</v>
      </c>
      <c r="I17" s="145"/>
      <c r="J17" s="131"/>
      <c r="K17" s="135">
        <f>'Закупка'!T17</f>
        <v>84001152</v>
      </c>
      <c r="L17" s="136" t="str">
        <f>'Закупка'!U17</f>
        <v>NARCISO TETE-A-TETE - composición/14</v>
      </c>
      <c r="M17" s="137" t="str">
        <f>'Закупка'!V17</f>
        <v/>
      </c>
    </row>
    <row r="18" ht="45.0" customHeight="1">
      <c r="A18" s="126" t="str">
        <f>'Закупка'!A18</f>
        <v>1.15</v>
      </c>
      <c r="B18" s="127" t="str">
        <f>'Закупка'!B18</f>
        <v>ARR NARCISSUS</v>
      </c>
      <c r="C18" s="128" t="str">
        <f>'Закупка'!R18</f>
        <v/>
      </c>
      <c r="D18" s="129">
        <f t="array" ref="D18">INDEX('Закупка'!G18:K18, $A$2)</f>
        <v>4</v>
      </c>
      <c r="E18" s="130" t="str">
        <f>'Закупка'!F18</f>
        <v>1</v>
      </c>
      <c r="F18" s="131">
        <f t="shared" si="1"/>
        <v>4</v>
      </c>
      <c r="G18" s="132">
        <v>1.0</v>
      </c>
      <c r="H18" s="133">
        <v>4.0</v>
      </c>
      <c r="I18" s="145"/>
      <c r="J18" s="131"/>
      <c r="K18" s="135">
        <f>'Закупка'!T18</f>
        <v>84001038</v>
      </c>
      <c r="L18" s="136" t="str">
        <f>'Закупка'!U18</f>
        <v>NARCIS MASCOTA - planta  /17</v>
      </c>
      <c r="M18" s="137" t="str">
        <f>'Закупка'!V18</f>
        <v/>
      </c>
    </row>
    <row r="19" ht="45.0" customHeight="1">
      <c r="A19" s="126" t="str">
        <f>'Закупка'!A19</f>
        <v>1.16</v>
      </c>
      <c r="B19" s="127" t="str">
        <f>'Закупка'!B19</f>
        <v>ARR2 PL KER BAROK DRACENA</v>
      </c>
      <c r="C19" s="128" t="str">
        <f>'Закупка'!R19</f>
        <v/>
      </c>
      <c r="D19" s="129">
        <f t="array" ref="D19">INDEX('Закупка'!G19:K19, $A$2)</f>
        <v>4</v>
      </c>
      <c r="E19" s="130" t="str">
        <f>'Закупка'!F19</f>
        <v>1</v>
      </c>
      <c r="F19" s="131">
        <f t="shared" si="1"/>
        <v>4</v>
      </c>
      <c r="G19" s="132">
        <v>1.0</v>
      </c>
      <c r="H19" s="133">
        <v>4.0</v>
      </c>
      <c r="I19" s="145"/>
      <c r="J19" s="131"/>
      <c r="K19" s="135">
        <f>'Закупка'!T19</f>
        <v>84001154</v>
      </c>
      <c r="L19" s="136" t="str">
        <f>'Закупка'!U19</f>
        <v>COMPOSITION DE DRECENA - planta/38</v>
      </c>
      <c r="M19" s="137" t="str">
        <f>'Закупка'!V19</f>
        <v/>
      </c>
    </row>
    <row r="20" ht="45.0" customHeight="1">
      <c r="A20" s="126" t="str">
        <f>'Закупка'!A20</f>
        <v>1.17</v>
      </c>
      <c r="B20" s="127" t="str">
        <f>'Закупка'!B20</f>
        <v>ARR2 PL KER BAROK DRACENA</v>
      </c>
      <c r="C20" s="128" t="str">
        <f>'Закупка'!R20</f>
        <v/>
      </c>
      <c r="D20" s="129" t="str">
        <f t="array" ref="D20">INDEX('Закупка'!G20:K20, $A$2)</f>
        <v/>
      </c>
      <c r="E20" s="130" t="str">
        <f>'Закупка'!F20</f>
        <v>1</v>
      </c>
      <c r="F20" s="131" t="str">
        <f t="shared" si="1"/>
        <v/>
      </c>
      <c r="G20" s="132"/>
      <c r="H20" s="133"/>
      <c r="I20" s="145"/>
      <c r="J20" s="131"/>
      <c r="K20" s="135">
        <f>'Закупка'!T20</f>
        <v>84001154</v>
      </c>
      <c r="L20" s="136" t="str">
        <f>'Закупка'!U20</f>
        <v>COMPOSITION DE DRECENA - planta/38</v>
      </c>
      <c r="M20" s="137" t="str">
        <f>'Закупка'!V20</f>
        <v/>
      </c>
    </row>
    <row r="21" ht="45.0" customHeight="1">
      <c r="A21" s="126" t="str">
        <f>'Закупка'!A21</f>
        <v>1.18</v>
      </c>
      <c r="B21" s="127" t="str">
        <f>'Закупка'!B21</f>
        <v>ARR2 PL GLAS CILINDER PHAL PAARS</v>
      </c>
      <c r="C21" s="128" t="str">
        <f>'Закупка'!R21</f>
        <v/>
      </c>
      <c r="D21" s="129">
        <f t="array" ref="D21">INDEX('Закупка'!G21:K21, $A$2)</f>
        <v>2</v>
      </c>
      <c r="E21" s="130" t="str">
        <f>'Закупка'!F21</f>
        <v>1</v>
      </c>
      <c r="F21" s="131">
        <f t="shared" si="1"/>
        <v>2</v>
      </c>
      <c r="G21" s="132">
        <v>2.0</v>
      </c>
      <c r="H21" s="133">
        <v>2.0</v>
      </c>
      <c r="I21" s="145"/>
      <c r="J21" s="131"/>
      <c r="K21" s="135">
        <f>'Закупка'!T21</f>
        <v>84001153</v>
      </c>
      <c r="L21" s="136" t="str">
        <f>'Закупка'!U21</f>
        <v>ARRANGEMENT DE PHALAENOPSIS - composición/56</v>
      </c>
      <c r="M21" s="137" t="str">
        <f>'Закупка'!V21</f>
        <v/>
      </c>
    </row>
    <row r="22" ht="45.0" customHeight="1">
      <c r="A22" s="126" t="str">
        <f>'Закупка'!A22</f>
        <v>1.19</v>
      </c>
      <c r="B22" s="127" t="str">
        <f>'Закупка'!B22</f>
        <v>CRASSULA OVATA</v>
      </c>
      <c r="C22" s="128" t="str">
        <f>'Закупка'!R22</f>
        <v/>
      </c>
      <c r="D22" s="129">
        <f t="array" ref="D22">INDEX('Закупка'!G22:K22, $A$2)</f>
        <v>1</v>
      </c>
      <c r="E22" s="130" t="str">
        <f>'Закупка'!F22</f>
        <v>1</v>
      </c>
      <c r="F22" s="131">
        <f t="shared" si="1"/>
        <v>1</v>
      </c>
      <c r="G22" s="132">
        <v>1.0</v>
      </c>
      <c r="H22" s="133">
        <v>1.0</v>
      </c>
      <c r="I22" s="145"/>
      <c r="J22" s="131"/>
      <c r="K22" s="135">
        <f>'Закупка'!T22</f>
        <v>8400365</v>
      </c>
      <c r="L22" s="136" t="str">
        <f>'Закупка'!U22</f>
        <v>ARBOL DE JADE T25 -planta/120</v>
      </c>
      <c r="M22" s="137" t="str">
        <f>'Закупка'!V22</f>
        <v> ARBOL DE JADE GRANDE  (Crassula Ovata) T-25</v>
      </c>
    </row>
    <row r="23" ht="45.0" customHeight="1">
      <c r="A23" s="126" t="str">
        <f>'Закупка'!A23</f>
        <v>1.20</v>
      </c>
      <c r="B23" s="127" t="str">
        <f>'Закупка'!B23</f>
        <v>CRASSULA OVATA</v>
      </c>
      <c r="C23" s="128" t="str">
        <f>'Закупка'!R23</f>
        <v/>
      </c>
      <c r="D23" s="129" t="str">
        <f t="array" ref="D23">INDEX('Закупка'!G23:K23, $A$2)</f>
        <v/>
      </c>
      <c r="E23" s="130" t="str">
        <f>'Закупка'!F23</f>
        <v>1</v>
      </c>
      <c r="F23" s="131" t="str">
        <f t="shared" si="1"/>
        <v/>
      </c>
      <c r="G23" s="132"/>
      <c r="H23" s="133"/>
      <c r="I23" s="145"/>
      <c r="J23" s="131"/>
      <c r="K23" s="135">
        <f>'Закупка'!T23</f>
        <v>8400365</v>
      </c>
      <c r="L23" s="136" t="str">
        <f>'Закупка'!U23</f>
        <v>ARBOL DE JADE T25 -planta/188</v>
      </c>
      <c r="M23" s="137" t="str">
        <f>'Закупка'!V23</f>
        <v> ARBOL DE JADE GRANDE  (Crassula Ovata) T-25</v>
      </c>
    </row>
    <row r="24" ht="45.0" customHeight="1">
      <c r="A24" s="126" t="str">
        <f>'Закупка'!A24</f>
        <v>1.21</v>
      </c>
      <c r="B24" s="127" t="str">
        <f>'Закупка'!B24</f>
        <v>CODIAEUM VARI MRS ICETON</v>
      </c>
      <c r="C24" s="128" t="str">
        <f>'Закупка'!R24</f>
        <v/>
      </c>
      <c r="D24" s="129">
        <f t="array" ref="D24">INDEX('Закупка'!G24:K24, $A$2)</f>
        <v>3</v>
      </c>
      <c r="E24" s="130" t="str">
        <f>'Закупка'!F24</f>
        <v>1</v>
      </c>
      <c r="F24" s="131">
        <f t="shared" si="1"/>
        <v>3</v>
      </c>
      <c r="G24" s="132">
        <v>3.0</v>
      </c>
      <c r="H24" s="133">
        <v>3.0</v>
      </c>
      <c r="I24" s="145"/>
      <c r="J24" s="131"/>
      <c r="K24" s="135">
        <f>'Закупка'!T24</f>
        <v>8400558</v>
      </c>
      <c r="L24" s="136" t="str">
        <f>'Закупка'!U24</f>
        <v>CROTON 50cm - Petra - planta/36</v>
      </c>
      <c r="M24" s="137" t="str">
        <f>'Закупка'!V24</f>
        <v>81945, CROMA20</v>
      </c>
    </row>
    <row r="25" ht="45.0" customHeight="1">
      <c r="A25" s="126" t="str">
        <f>'Закупка'!A25</f>
        <v>1.22</v>
      </c>
      <c r="B25" s="127" t="str">
        <f>'Закупка'!B25</f>
        <v>LAVANDULA STOE ANOUK</v>
      </c>
      <c r="C25" s="128" t="str">
        <f>'Закупка'!R25</f>
        <v/>
      </c>
      <c r="D25" s="129" t="str">
        <f t="array" ref="D25">INDEX('Закупка'!G25:K25, $A$2)</f>
        <v/>
      </c>
      <c r="E25" s="130" t="str">
        <f>'Закупка'!F25</f>
        <v>1</v>
      </c>
      <c r="F25" s="131" t="str">
        <f t="shared" si="1"/>
        <v/>
      </c>
      <c r="G25" s="132"/>
      <c r="H25" s="133"/>
      <c r="I25" s="145"/>
      <c r="J25" s="131"/>
      <c r="K25" s="135">
        <f>'Закупка'!T25</f>
        <v>8400357</v>
      </c>
      <c r="L25" s="136" t="str">
        <f>'Закупка'!U25</f>
        <v>LAVANDULA T13 - planta</v>
      </c>
      <c r="M25" s="137" t="str">
        <f>'Закупка'!V25</f>
        <v>LAV13 LAVANDULA T-13, 42454</v>
      </c>
    </row>
    <row r="26" ht="45.0" customHeight="1">
      <c r="A26" s="126" t="str">
        <f>'Закупка'!A26</f>
        <v>1.23</v>
      </c>
      <c r="B26" s="127" t="str">
        <f>'Закупка'!B26</f>
        <v>KALANCHOE LUCKY BELLS</v>
      </c>
      <c r="C26" s="128" t="str">
        <f>'Закупка'!R26</f>
        <v/>
      </c>
      <c r="D26" s="129">
        <f t="array" ref="D26">INDEX('Закупка'!G26:K26, $A$2)</f>
        <v>6</v>
      </c>
      <c r="E26" s="130" t="str">
        <f>'Закупка'!F26</f>
        <v>1</v>
      </c>
      <c r="F26" s="131">
        <f t="shared" si="1"/>
        <v>6</v>
      </c>
      <c r="G26" s="132">
        <v>1.0</v>
      </c>
      <c r="H26" s="133">
        <v>6.0</v>
      </c>
      <c r="I26" s="145"/>
      <c r="J26" s="131"/>
      <c r="K26" s="135">
        <f>'Закупка'!T26</f>
        <v>8400448</v>
      </c>
      <c r="L26" s="136" t="str">
        <f>'Закупка'!U26</f>
        <v>KALANCHOE T25 - Pumila - planta/18</v>
      </c>
      <c r="M26" s="137" t="str">
        <f>'Закупка'!V26</f>
        <v>KAL-P  KALANCHOE PUMILA T-25 planta, KCALT</v>
      </c>
    </row>
    <row r="27" ht="45.0" customHeight="1">
      <c r="A27" s="126" t="str">
        <f>'Закупка'!A27</f>
        <v>1.24</v>
      </c>
      <c r="B27" s="127" t="str">
        <f>'Закупка'!B27</f>
        <v>EUPHORBIA TRIGONA</v>
      </c>
      <c r="C27" s="128" t="str">
        <f>'Закупка'!R27</f>
        <v/>
      </c>
      <c r="D27" s="129" t="str">
        <f t="array" ref="D27">INDEX('Закупка'!G27:K27, $A$2)</f>
        <v/>
      </c>
      <c r="E27" s="130" t="str">
        <f>'Закупка'!F27</f>
        <v>1</v>
      </c>
      <c r="F27" s="131" t="str">
        <f t="shared" si="1"/>
        <v/>
      </c>
      <c r="G27" s="132"/>
      <c r="H27" s="133"/>
      <c r="I27" s="145"/>
      <c r="J27" s="131"/>
      <c r="K27" s="135">
        <f>'Закупка'!T27</f>
        <v>8400556</v>
      </c>
      <c r="L27" s="136" t="str">
        <f>'Закупка'!U27</f>
        <v>EUPHORBIA 30cm -Milii - planta/22</v>
      </c>
      <c r="M27" s="137" t="str">
        <f>'Закупка'!V27</f>
        <v>174581, EUV</v>
      </c>
    </row>
    <row r="28" ht="45.0" customHeight="1">
      <c r="A28" s="126" t="str">
        <f>'Закупка'!A28</f>
        <v>1.25</v>
      </c>
      <c r="B28" s="127" t="str">
        <f>'Закупка'!B28</f>
        <v>PTPB6537 ARRANGEMENTEN PASEN</v>
      </c>
      <c r="C28" s="128" t="str">
        <f>'Закупка'!R28</f>
        <v/>
      </c>
      <c r="D28" s="129">
        <f t="array" ref="D28">INDEX('Закупка'!G28:K28, $A$2)</f>
        <v>1</v>
      </c>
      <c r="E28" s="130" t="str">
        <f>'Закупка'!F28</f>
        <v>1</v>
      </c>
      <c r="F28" s="131">
        <f t="shared" si="1"/>
        <v>1</v>
      </c>
      <c r="G28" s="132">
        <v>1.0</v>
      </c>
      <c r="H28" s="133">
        <v>1.0</v>
      </c>
      <c r="I28" s="145"/>
      <c r="J28" s="131"/>
      <c r="K28" s="135">
        <f>'Закупка'!T28</f>
        <v>84001153</v>
      </c>
      <c r="L28" s="136" t="str">
        <f>'Закупка'!U28</f>
        <v>ARRANGEMENT DE PHALAENOPSIS - composición/56</v>
      </c>
      <c r="M28" s="137" t="str">
        <f>'Закупка'!V28</f>
        <v/>
      </c>
    </row>
    <row r="29" ht="45.0" customHeight="1">
      <c r="A29" s="126" t="str">
        <f>'Закупка'!A29</f>
        <v>1.26</v>
      </c>
      <c r="B29" s="127" t="str">
        <f>'Закупка'!B29</f>
        <v>PTPB6525 ARRANGEMENTEN PASEN</v>
      </c>
      <c r="C29" s="128" t="str">
        <f>'Закупка'!R29</f>
        <v/>
      </c>
      <c r="D29" s="129">
        <f t="array" ref="D29">INDEX('Закупка'!G29:K29, $A$2)</f>
        <v>1</v>
      </c>
      <c r="E29" s="130" t="str">
        <f>'Закупка'!F29</f>
        <v>1</v>
      </c>
      <c r="F29" s="131">
        <f t="shared" si="1"/>
        <v>1</v>
      </c>
      <c r="G29" s="132">
        <v>1.0</v>
      </c>
      <c r="H29" s="133">
        <v>1.0</v>
      </c>
      <c r="I29" s="145"/>
      <c r="J29" s="131"/>
      <c r="K29" s="135">
        <f>'Закупка'!T29</f>
        <v>84001153</v>
      </c>
      <c r="L29" s="136" t="str">
        <f>'Закупка'!U29</f>
        <v>ARRANGEMENT DE PHALAENOPSIS - composición/56</v>
      </c>
      <c r="M29" s="137" t="str">
        <f>'Закупка'!V29</f>
        <v/>
      </c>
    </row>
    <row r="30" ht="45.0" customHeight="1">
      <c r="A30" s="126" t="str">
        <f>'Закупка'!A30</f>
        <v>1.27</v>
      </c>
      <c r="B30" s="127" t="str">
        <f>'Закупка'!B30</f>
        <v>PHALAENOPSIS OTHER YELLOW</v>
      </c>
      <c r="C30" s="128" t="str">
        <f>'Закупка'!R30</f>
        <v/>
      </c>
      <c r="D30" s="129">
        <f t="array" ref="D30">INDEX('Закупка'!G30:K30, $A$2)</f>
        <v>6</v>
      </c>
      <c r="E30" s="130" t="str">
        <f>'Закупка'!F30</f>
        <v>1</v>
      </c>
      <c r="F30" s="131">
        <f t="shared" si="1"/>
        <v>6</v>
      </c>
      <c r="G30" s="132">
        <v>6.0</v>
      </c>
      <c r="H30" s="133">
        <v>6.0</v>
      </c>
      <c r="I30" s="145"/>
      <c r="J30" s="131"/>
      <c r="K30" s="135">
        <f>'Закупка'!T30</f>
        <v>8400391</v>
      </c>
      <c r="L30" s="136" t="str">
        <f>'Закупка'!U30</f>
        <v>PHALAENOPSIS MIX - planta/28</v>
      </c>
      <c r="M30" s="137" t="str">
        <f>'Закупка'!V30</f>
        <v>161202, 179376, 144102, 179304, 191963, 135419, 182797, 127000, 191284</v>
      </c>
    </row>
    <row r="31" ht="45.0" customHeight="1">
      <c r="A31" s="126" t="str">
        <f>'Закупка'!A31</f>
        <v>1.28</v>
      </c>
      <c r="B31" s="127" t="str">
        <f>'Закупка'!B31</f>
        <v>SUCCULENTEN OTHER</v>
      </c>
      <c r="C31" s="128" t="str">
        <f>'Закупка'!R31</f>
        <v/>
      </c>
      <c r="D31" s="129" t="str">
        <f t="array" ref="D31">INDEX('Закупка'!G31:K31, $A$2)</f>
        <v/>
      </c>
      <c r="E31" s="130" t="str">
        <f>'Закупка'!F31</f>
        <v>1</v>
      </c>
      <c r="F31" s="131" t="str">
        <f t="shared" si="1"/>
        <v/>
      </c>
      <c r="G31" s="132"/>
      <c r="H31" s="133"/>
      <c r="I31" s="145"/>
      <c r="J31" s="131"/>
      <c r="K31" s="135">
        <f>'Закупка'!T31</f>
        <v>8400591</v>
      </c>
      <c r="L31" s="136" t="str">
        <f>'Закупка'!U31</f>
        <v>SUCCULENTUS OTHER - planta/28</v>
      </c>
      <c r="M31" s="137" t="str">
        <f>'Закупка'!V31</f>
        <v>CRASSCI-9, AEON.012</v>
      </c>
    </row>
    <row r="32" ht="45.0" customHeight="1">
      <c r="A32" s="126" t="str">
        <f>'Закупка'!A32</f>
        <v>1.29</v>
      </c>
      <c r="B32" s="127" t="str">
        <f>'Закупка'!B32</f>
        <v>RHIPSALIS MIX</v>
      </c>
      <c r="C32" s="128" t="str">
        <f>'Закупка'!R32</f>
        <v/>
      </c>
      <c r="D32" s="129">
        <f t="array" ref="D32">INDEX('Закупка'!G32:K32, $A$2)</f>
        <v>12</v>
      </c>
      <c r="E32" s="130" t="str">
        <f>'Закупка'!F32</f>
        <v>1</v>
      </c>
      <c r="F32" s="131">
        <f t="shared" si="1"/>
        <v>12</v>
      </c>
      <c r="G32" s="132">
        <v>1.0</v>
      </c>
      <c r="H32" s="133">
        <v>12.0</v>
      </c>
      <c r="I32" s="145"/>
      <c r="J32" s="131"/>
      <c r="K32" s="135">
        <f>'Закупка'!T32</f>
        <v>8400895</v>
      </c>
      <c r="L32" s="136" t="str">
        <f>'Закупка'!U32</f>
        <v>RHIPSALIS MIX - T17 planta colganta</v>
      </c>
      <c r="M32" s="137">
        <f>'Закупка'!V32</f>
        <v>83612</v>
      </c>
    </row>
    <row r="33" ht="45.0" customHeight="1">
      <c r="A33" s="126" t="str">
        <f>'Закупка'!A33</f>
        <v/>
      </c>
      <c r="B33" s="127" t="str">
        <f>'Закупка'!B33</f>
        <v/>
      </c>
      <c r="C33" s="128" t="str">
        <f>'Закупка'!R33</f>
        <v/>
      </c>
      <c r="D33" s="129" t="str">
        <f t="array" ref="D33">INDEX('Закупка'!G33:K33, $A$2)</f>
        <v/>
      </c>
      <c r="E33" s="130" t="str">
        <f>'Закупка'!F33</f>
        <v/>
      </c>
      <c r="F33" s="131" t="str">
        <f t="shared" si="1"/>
        <v/>
      </c>
      <c r="G33" s="132"/>
      <c r="H33" s="133"/>
      <c r="I33" s="145"/>
      <c r="J33" s="131"/>
      <c r="K33" s="135" t="str">
        <f>'Закупка'!T33</f>
        <v/>
      </c>
      <c r="L33" s="136" t="str">
        <f>'Закупка'!U33</f>
        <v/>
      </c>
      <c r="M33" s="137" t="str">
        <f>'Закупка'!V33</f>
        <v/>
      </c>
    </row>
    <row r="34" ht="45.0" customHeight="1">
      <c r="A34" s="126" t="str">
        <f>'Закупка'!A34</f>
        <v/>
      </c>
      <c r="B34" s="127" t="str">
        <f>'Закупка'!B34</f>
        <v/>
      </c>
      <c r="C34" s="128" t="str">
        <f>'Закупка'!R34</f>
        <v/>
      </c>
      <c r="D34" s="129" t="str">
        <f t="array" ref="D34">INDEX('Закупка'!G34:K34, $A$2)</f>
        <v/>
      </c>
      <c r="E34" s="130" t="str">
        <f>'Закупка'!F34</f>
        <v/>
      </c>
      <c r="F34" s="131" t="str">
        <f t="shared" si="1"/>
        <v/>
      </c>
      <c r="G34" s="132"/>
      <c r="H34" s="133"/>
      <c r="I34" s="145"/>
      <c r="J34" s="131"/>
      <c r="K34" s="135" t="str">
        <f>'Закупка'!T34</f>
        <v/>
      </c>
      <c r="L34" s="136" t="str">
        <f>'Закупка'!U34</f>
        <v/>
      </c>
      <c r="M34" s="137" t="str">
        <f>'Закупка'!V34</f>
        <v/>
      </c>
    </row>
    <row r="35" ht="45.0" customHeight="1">
      <c r="A35" s="126" t="str">
        <f>'Закупка'!A35</f>
        <v/>
      </c>
      <c r="B35" s="127" t="str">
        <f>'Закупка'!B35</f>
        <v/>
      </c>
      <c r="C35" s="128" t="str">
        <f>'Закупка'!R35</f>
        <v/>
      </c>
      <c r="D35" s="129" t="str">
        <f t="array" ref="D35">INDEX('Закупка'!G35:K35, $A$2)</f>
        <v/>
      </c>
      <c r="E35" s="130" t="str">
        <f>'Закупка'!F35</f>
        <v/>
      </c>
      <c r="F35" s="131" t="str">
        <f t="shared" si="1"/>
        <v/>
      </c>
      <c r="G35" s="132"/>
      <c r="H35" s="133"/>
      <c r="I35" s="145"/>
      <c r="J35" s="131"/>
      <c r="K35" s="135" t="str">
        <f>'Закупка'!T35</f>
        <v/>
      </c>
      <c r="L35" s="136" t="str">
        <f>'Закупка'!U35</f>
        <v/>
      </c>
      <c r="M35" s="137" t="str">
        <f>'Закупка'!V35</f>
        <v/>
      </c>
    </row>
    <row r="36" ht="45.0" customHeight="1">
      <c r="A36" s="126" t="str">
        <f>'Закупка'!A36</f>
        <v/>
      </c>
      <c r="B36" s="127" t="str">
        <f>'Закупка'!B36</f>
        <v/>
      </c>
      <c r="C36" s="128" t="str">
        <f>'Закупка'!R36</f>
        <v/>
      </c>
      <c r="D36" s="129" t="str">
        <f t="array" ref="D36">INDEX('Закупка'!G36:K36, $A$2)</f>
        <v/>
      </c>
      <c r="E36" s="130" t="str">
        <f>'Закупка'!F36</f>
        <v/>
      </c>
      <c r="F36" s="131" t="str">
        <f t="shared" si="1"/>
        <v/>
      </c>
      <c r="G36" s="132"/>
      <c r="H36" s="133"/>
      <c r="I36" s="145"/>
      <c r="J36" s="131"/>
      <c r="K36" s="135" t="str">
        <f>'Закупка'!T36</f>
        <v/>
      </c>
      <c r="L36" s="136" t="str">
        <f>'Закупка'!U36</f>
        <v/>
      </c>
      <c r="M36" s="137" t="str">
        <f>'Закупка'!V36</f>
        <v/>
      </c>
    </row>
    <row r="37" ht="45.0" customHeight="1">
      <c r="A37" s="126" t="str">
        <f>'Закупка'!A37</f>
        <v/>
      </c>
      <c r="B37" s="127" t="str">
        <f>'Закупка'!B37</f>
        <v/>
      </c>
      <c r="C37" s="128" t="str">
        <f>'Закупка'!R37</f>
        <v/>
      </c>
      <c r="D37" s="129" t="str">
        <f t="array" ref="D37">INDEX('Закупка'!G37:K37, $A$2)</f>
        <v/>
      </c>
      <c r="E37" s="130" t="str">
        <f>'Закупка'!F37</f>
        <v/>
      </c>
      <c r="F37" s="131" t="str">
        <f t="shared" si="1"/>
        <v/>
      </c>
      <c r="G37" s="132"/>
      <c r="H37" s="133"/>
      <c r="I37" s="145"/>
      <c r="J37" s="131"/>
      <c r="K37" s="135" t="str">
        <f>'Закупка'!T37</f>
        <v/>
      </c>
      <c r="L37" s="136" t="str">
        <f>'Закупка'!U37</f>
        <v/>
      </c>
      <c r="M37" s="137" t="str">
        <f>'Закупка'!V37</f>
        <v/>
      </c>
    </row>
    <row r="38" ht="45.0" customHeight="1">
      <c r="A38" s="126" t="str">
        <f>'Закупка'!A38</f>
        <v/>
      </c>
      <c r="B38" s="127" t="str">
        <f>'Закупка'!B38</f>
        <v/>
      </c>
      <c r="C38" s="128" t="str">
        <f>'Закупка'!R38</f>
        <v/>
      </c>
      <c r="D38" s="129" t="str">
        <f t="array" ref="D38">INDEX('Закупка'!G38:K38, $A$2)</f>
        <v/>
      </c>
      <c r="E38" s="130" t="str">
        <f>'Закупка'!F38</f>
        <v/>
      </c>
      <c r="F38" s="131" t="str">
        <f t="shared" si="1"/>
        <v/>
      </c>
      <c r="G38" s="132"/>
      <c r="H38" s="133"/>
      <c r="I38" s="145"/>
      <c r="J38" s="131"/>
      <c r="K38" s="135" t="str">
        <f>'Закупка'!T38</f>
        <v/>
      </c>
      <c r="L38" s="136" t="str">
        <f>'Закупка'!U38</f>
        <v/>
      </c>
      <c r="M38" s="137" t="str">
        <f>'Закупка'!V38</f>
        <v/>
      </c>
    </row>
    <row r="39" ht="45.0" customHeight="1">
      <c r="A39" s="126" t="str">
        <f>'Закупка'!A39</f>
        <v/>
      </c>
      <c r="B39" s="127" t="str">
        <f>'Закупка'!B39</f>
        <v/>
      </c>
      <c r="C39" s="128" t="str">
        <f>'Закупка'!R39</f>
        <v/>
      </c>
      <c r="D39" s="129" t="str">
        <f t="array" ref="D39">INDEX('Закупка'!G39:K39, $A$2)</f>
        <v/>
      </c>
      <c r="E39" s="130" t="str">
        <f>'Закупка'!F39</f>
        <v/>
      </c>
      <c r="F39" s="131" t="str">
        <f t="shared" si="1"/>
        <v/>
      </c>
      <c r="G39" s="132"/>
      <c r="H39" s="133"/>
      <c r="I39" s="145"/>
      <c r="J39" s="131"/>
      <c r="K39" s="135" t="str">
        <f>'Закупка'!T39</f>
        <v/>
      </c>
      <c r="L39" s="136" t="str">
        <f>'Закупка'!U39</f>
        <v/>
      </c>
      <c r="M39" s="137" t="str">
        <f>'Закупка'!V39</f>
        <v/>
      </c>
    </row>
    <row r="40" ht="45.0" customHeight="1">
      <c r="A40" s="126" t="str">
        <f>'Закупка'!A40</f>
        <v/>
      </c>
      <c r="B40" s="127" t="str">
        <f>'Закупка'!B40</f>
        <v/>
      </c>
      <c r="C40" s="128" t="str">
        <f>'Закупка'!R40</f>
        <v/>
      </c>
      <c r="D40" s="129" t="str">
        <f t="array" ref="D40">INDEX('Закупка'!G40:K40, $A$2)</f>
        <v/>
      </c>
      <c r="E40" s="130" t="str">
        <f>'Закупка'!F40</f>
        <v/>
      </c>
      <c r="F40" s="131" t="str">
        <f t="shared" si="1"/>
        <v/>
      </c>
      <c r="G40" s="132"/>
      <c r="H40" s="133"/>
      <c r="I40" s="145"/>
      <c r="J40" s="131"/>
      <c r="K40" s="135" t="str">
        <f>'Закупка'!T40</f>
        <v/>
      </c>
      <c r="L40" s="136" t="str">
        <f>'Закупка'!U40</f>
        <v/>
      </c>
      <c r="M40" s="137" t="str">
        <f>'Закупка'!V40</f>
        <v/>
      </c>
    </row>
    <row r="41" ht="45.0" customHeight="1">
      <c r="A41" s="126" t="str">
        <f>'Закупка'!A41</f>
        <v/>
      </c>
      <c r="B41" s="127" t="str">
        <f>'Закупка'!B41</f>
        <v/>
      </c>
      <c r="C41" s="128" t="str">
        <f>'Закупка'!R41</f>
        <v/>
      </c>
      <c r="D41" s="129" t="str">
        <f t="array" ref="D41">INDEX('Закупка'!G41:K41, $A$2)</f>
        <v/>
      </c>
      <c r="E41" s="130" t="str">
        <f>'Закупка'!F41</f>
        <v/>
      </c>
      <c r="F41" s="131" t="str">
        <f t="shared" si="1"/>
        <v/>
      </c>
      <c r="G41" s="132"/>
      <c r="H41" s="133"/>
      <c r="I41" s="145"/>
      <c r="J41" s="131"/>
      <c r="K41" s="135" t="str">
        <f>'Закупка'!T41</f>
        <v/>
      </c>
      <c r="L41" s="136" t="str">
        <f>'Закупка'!U41</f>
        <v/>
      </c>
      <c r="M41" s="137" t="str">
        <f>'Закупка'!V41</f>
        <v/>
      </c>
    </row>
    <row r="42" ht="45.0" customHeight="1">
      <c r="A42" s="126" t="str">
        <f>'Закупка'!A42</f>
        <v/>
      </c>
      <c r="B42" s="127" t="str">
        <f>'Закупка'!B42</f>
        <v/>
      </c>
      <c r="C42" s="128" t="str">
        <f>'Закупка'!R42</f>
        <v/>
      </c>
      <c r="D42" s="129" t="str">
        <f t="array" ref="D42">INDEX('Закупка'!G42:K42, $A$2)</f>
        <v/>
      </c>
      <c r="E42" s="130" t="str">
        <f>'Закупка'!F42</f>
        <v/>
      </c>
      <c r="F42" s="131" t="str">
        <f t="shared" si="1"/>
        <v/>
      </c>
      <c r="G42" s="132"/>
      <c r="H42" s="133"/>
      <c r="I42" s="145"/>
      <c r="J42" s="131"/>
      <c r="K42" s="135" t="str">
        <f>'Закупка'!T42</f>
        <v/>
      </c>
      <c r="L42" s="136" t="str">
        <f>'Закупка'!U42</f>
        <v/>
      </c>
      <c r="M42" s="137" t="str">
        <f>'Закупка'!V42</f>
        <v/>
      </c>
    </row>
    <row r="43" ht="45.0" customHeight="1">
      <c r="A43" s="126" t="str">
        <f>'Закупка'!A43</f>
        <v/>
      </c>
      <c r="B43" s="127" t="str">
        <f>'Закупка'!B43</f>
        <v/>
      </c>
      <c r="C43" s="128" t="str">
        <f>'Закупка'!R43</f>
        <v/>
      </c>
      <c r="D43" s="129" t="str">
        <f t="array" ref="D43">INDEX('Закупка'!G43:K43, $A$2)</f>
        <v/>
      </c>
      <c r="E43" s="130" t="str">
        <f>'Закупка'!F43</f>
        <v/>
      </c>
      <c r="F43" s="131" t="str">
        <f t="shared" si="1"/>
        <v/>
      </c>
      <c r="G43" s="132"/>
      <c r="H43" s="133"/>
      <c r="I43" s="145"/>
      <c r="J43" s="131"/>
      <c r="K43" s="135" t="str">
        <f>'Закупка'!T43</f>
        <v/>
      </c>
      <c r="L43" s="136" t="str">
        <f>'Закупка'!U43</f>
        <v/>
      </c>
      <c r="M43" s="137" t="str">
        <f>'Закупка'!V43</f>
        <v/>
      </c>
    </row>
    <row r="44" ht="45.0" customHeight="1">
      <c r="A44" s="126" t="str">
        <f>'Закупка'!A44</f>
        <v/>
      </c>
      <c r="B44" s="127" t="str">
        <f>'Закупка'!B44</f>
        <v/>
      </c>
      <c r="C44" s="128" t="str">
        <f>'Закупка'!R44</f>
        <v/>
      </c>
      <c r="D44" s="129" t="str">
        <f t="array" ref="D44">INDEX('Закупка'!G44:K44, $A$2)</f>
        <v/>
      </c>
      <c r="E44" s="130" t="str">
        <f>'Закупка'!F44</f>
        <v/>
      </c>
      <c r="F44" s="131" t="str">
        <f t="shared" si="1"/>
        <v/>
      </c>
      <c r="G44" s="132"/>
      <c r="H44" s="133"/>
      <c r="I44" s="145"/>
      <c r="J44" s="131"/>
      <c r="K44" s="135" t="str">
        <f>'Закупка'!T44</f>
        <v/>
      </c>
      <c r="L44" s="136" t="str">
        <f>'Закупка'!U44</f>
        <v/>
      </c>
      <c r="M44" s="137" t="str">
        <f>'Закупка'!V44</f>
        <v/>
      </c>
    </row>
    <row r="45" ht="45.0" customHeight="1">
      <c r="A45" s="126" t="str">
        <f>'Закупка'!A45</f>
        <v/>
      </c>
      <c r="B45" s="127" t="str">
        <f>'Закупка'!B45</f>
        <v/>
      </c>
      <c r="C45" s="128" t="str">
        <f>'Закупка'!R45</f>
        <v/>
      </c>
      <c r="D45" s="129" t="str">
        <f t="array" ref="D45">INDEX('Закупка'!G45:K45, $A$2)</f>
        <v/>
      </c>
      <c r="E45" s="130" t="str">
        <f>'Закупка'!F45</f>
        <v/>
      </c>
      <c r="F45" s="131" t="str">
        <f t="shared" si="1"/>
        <v/>
      </c>
      <c r="G45" s="132"/>
      <c r="H45" s="133"/>
      <c r="I45" s="145"/>
      <c r="J45" s="131"/>
      <c r="K45" s="135" t="str">
        <f>'Закупка'!T45</f>
        <v/>
      </c>
      <c r="L45" s="136" t="str">
        <f>'Закупка'!U45</f>
        <v/>
      </c>
      <c r="M45" s="137" t="str">
        <f>'Закупка'!V45</f>
        <v/>
      </c>
    </row>
    <row r="46" ht="45.0" customHeight="1">
      <c r="A46" s="126" t="str">
        <f>'Закупка'!A46</f>
        <v/>
      </c>
      <c r="B46" s="127" t="str">
        <f>'Закупка'!B46</f>
        <v/>
      </c>
      <c r="C46" s="128" t="str">
        <f>'Закупка'!R46</f>
        <v/>
      </c>
      <c r="D46" s="129" t="str">
        <f t="array" ref="D46">INDEX('Закупка'!G46:K46, $A$2)</f>
        <v/>
      </c>
      <c r="E46" s="130" t="str">
        <f>'Закупка'!F46</f>
        <v/>
      </c>
      <c r="F46" s="131" t="str">
        <f t="shared" si="1"/>
        <v/>
      </c>
      <c r="G46" s="132"/>
      <c r="H46" s="133"/>
      <c r="I46" s="145"/>
      <c r="J46" s="131"/>
      <c r="K46" s="135" t="str">
        <f>'Закупка'!T46</f>
        <v/>
      </c>
      <c r="L46" s="136" t="str">
        <f>'Закупка'!U46</f>
        <v/>
      </c>
      <c r="M46" s="137" t="str">
        <f>'Закупка'!V46</f>
        <v/>
      </c>
    </row>
    <row r="47" ht="45.0" customHeight="1">
      <c r="A47" s="126" t="str">
        <f>'Закупка'!A47</f>
        <v/>
      </c>
      <c r="B47" s="127" t="str">
        <f>'Закупка'!B47</f>
        <v/>
      </c>
      <c r="C47" s="128" t="str">
        <f>'Закупка'!R47</f>
        <v/>
      </c>
      <c r="D47" s="129" t="str">
        <f t="array" ref="D47">INDEX('Закупка'!G47:K47, $A$2)</f>
        <v/>
      </c>
      <c r="E47" s="130" t="str">
        <f>'Закупка'!F47</f>
        <v/>
      </c>
      <c r="F47" s="131" t="str">
        <f t="shared" si="1"/>
        <v/>
      </c>
      <c r="G47" s="132"/>
      <c r="H47" s="133"/>
      <c r="I47" s="145"/>
      <c r="J47" s="131"/>
      <c r="K47" s="135" t="str">
        <f>'Закупка'!T47</f>
        <v/>
      </c>
      <c r="L47" s="136" t="str">
        <f>'Закупка'!U47</f>
        <v/>
      </c>
      <c r="M47" s="137" t="str">
        <f>'Закупка'!V47</f>
        <v/>
      </c>
    </row>
    <row r="48" ht="45.0" customHeight="1">
      <c r="A48" s="126" t="str">
        <f>'Закупка'!A48</f>
        <v/>
      </c>
      <c r="B48" s="127" t="str">
        <f>'Закупка'!B48</f>
        <v/>
      </c>
      <c r="C48" s="128" t="str">
        <f>'Закупка'!R48</f>
        <v/>
      </c>
      <c r="D48" s="129" t="str">
        <f t="array" ref="D48">INDEX('Закупка'!G48:K48, $A$2)</f>
        <v/>
      </c>
      <c r="E48" s="130" t="str">
        <f>'Закупка'!F48</f>
        <v/>
      </c>
      <c r="F48" s="131" t="str">
        <f t="shared" si="1"/>
        <v/>
      </c>
      <c r="G48" s="132"/>
      <c r="H48" s="133"/>
      <c r="I48" s="145"/>
      <c r="J48" s="131"/>
      <c r="K48" s="135" t="str">
        <f>'Закупка'!T48</f>
        <v/>
      </c>
      <c r="L48" s="136" t="str">
        <f>'Закупка'!U48</f>
        <v/>
      </c>
      <c r="M48" s="137" t="str">
        <f>'Закупка'!V48</f>
        <v/>
      </c>
    </row>
    <row r="49" ht="45.0" customHeight="1">
      <c r="A49" s="126" t="str">
        <f>'Закупка'!A49</f>
        <v/>
      </c>
      <c r="B49" s="127" t="str">
        <f>'Закупка'!B49</f>
        <v/>
      </c>
      <c r="C49" s="128" t="str">
        <f>'Закупка'!R49</f>
        <v/>
      </c>
      <c r="D49" s="129" t="str">
        <f t="array" ref="D49">INDEX('Закупка'!G49:K49, $A$2)</f>
        <v/>
      </c>
      <c r="E49" s="130" t="str">
        <f>'Закупка'!F49</f>
        <v/>
      </c>
      <c r="F49" s="131" t="str">
        <f t="shared" si="1"/>
        <v/>
      </c>
      <c r="G49" s="132"/>
      <c r="H49" s="133"/>
      <c r="I49" s="145"/>
      <c r="J49" s="131"/>
      <c r="K49" s="135" t="str">
        <f>'Закупка'!T49</f>
        <v/>
      </c>
      <c r="L49" s="136" t="str">
        <f>'Закупка'!U49</f>
        <v/>
      </c>
      <c r="M49" s="137" t="str">
        <f>'Закупка'!V49</f>
        <v/>
      </c>
    </row>
    <row r="50" ht="45.0" customHeight="1">
      <c r="A50" s="126" t="str">
        <f>'Закупка'!A50</f>
        <v/>
      </c>
      <c r="B50" s="127" t="str">
        <f>'Закупка'!B50</f>
        <v/>
      </c>
      <c r="C50" s="128" t="str">
        <f>'Закупка'!R50</f>
        <v/>
      </c>
      <c r="D50" s="129" t="str">
        <f t="array" ref="D50">INDEX('Закупка'!G50:K50, $A$2)</f>
        <v/>
      </c>
      <c r="E50" s="130" t="str">
        <f>'Закупка'!F50</f>
        <v/>
      </c>
      <c r="F50" s="131" t="str">
        <f t="shared" si="1"/>
        <v/>
      </c>
      <c r="G50" s="132"/>
      <c r="H50" s="133"/>
      <c r="I50" s="145"/>
      <c r="J50" s="131"/>
      <c r="K50" s="135" t="str">
        <f>'Закупка'!T50</f>
        <v/>
      </c>
      <c r="L50" s="136" t="str">
        <f>'Закупка'!U50</f>
        <v/>
      </c>
      <c r="M50" s="137" t="str">
        <f>'Закупка'!V50</f>
        <v/>
      </c>
    </row>
    <row r="51" ht="45.0" customHeight="1">
      <c r="A51" s="126" t="str">
        <f>'Закупка'!A51</f>
        <v/>
      </c>
      <c r="B51" s="127" t="str">
        <f>'Закупка'!B51</f>
        <v/>
      </c>
      <c r="C51" s="128" t="str">
        <f>'Закупка'!R51</f>
        <v/>
      </c>
      <c r="D51" s="129" t="str">
        <f t="array" ref="D51">INDEX('Закупка'!G51:K51, $A$2)</f>
        <v/>
      </c>
      <c r="E51" s="130" t="str">
        <f>'Закупка'!F51</f>
        <v/>
      </c>
      <c r="F51" s="131" t="str">
        <f t="shared" si="1"/>
        <v/>
      </c>
      <c r="G51" s="132"/>
      <c r="H51" s="133"/>
      <c r="I51" s="145"/>
      <c r="J51" s="131"/>
      <c r="K51" s="135" t="str">
        <f>'Закупка'!T51</f>
        <v/>
      </c>
      <c r="L51" s="136" t="str">
        <f>'Закупка'!U51</f>
        <v/>
      </c>
      <c r="M51" s="137" t="str">
        <f>'Закупка'!V51</f>
        <v/>
      </c>
    </row>
    <row r="52" ht="45.0" customHeight="1">
      <c r="A52" s="126" t="str">
        <f>'Закупка'!A52</f>
        <v/>
      </c>
      <c r="B52" s="127" t="str">
        <f>'Закупка'!B52</f>
        <v/>
      </c>
      <c r="C52" s="128" t="str">
        <f>'Закупка'!R52</f>
        <v/>
      </c>
      <c r="D52" s="129" t="str">
        <f t="array" ref="D52">INDEX('Закупка'!G52:K52, $A$2)</f>
        <v/>
      </c>
      <c r="E52" s="130" t="str">
        <f>'Закупка'!F52</f>
        <v/>
      </c>
      <c r="F52" s="131" t="str">
        <f t="shared" si="1"/>
        <v/>
      </c>
      <c r="G52" s="132"/>
      <c r="H52" s="133"/>
      <c r="I52" s="145"/>
      <c r="J52" s="131"/>
      <c r="K52" s="135" t="str">
        <f>'Закупка'!T52</f>
        <v/>
      </c>
      <c r="L52" s="136" t="str">
        <f>'Закупка'!U52</f>
        <v/>
      </c>
      <c r="M52" s="137" t="str">
        <f>'Закупка'!V52</f>
        <v/>
      </c>
    </row>
    <row r="53" ht="45.0" customHeight="1">
      <c r="A53" s="126" t="str">
        <f>'Закупка'!A53</f>
        <v/>
      </c>
      <c r="B53" s="127" t="str">
        <f>'Закупка'!B53</f>
        <v/>
      </c>
      <c r="C53" s="128" t="str">
        <f>'Закупка'!R53</f>
        <v/>
      </c>
      <c r="D53" s="129" t="str">
        <f t="array" ref="D53">INDEX('Закупка'!G53:K53, $A$2)</f>
        <v/>
      </c>
      <c r="E53" s="130" t="str">
        <f>'Закупка'!F53</f>
        <v/>
      </c>
      <c r="F53" s="131" t="str">
        <f t="shared" si="1"/>
        <v/>
      </c>
      <c r="G53" s="132"/>
      <c r="H53" s="133"/>
      <c r="I53" s="145"/>
      <c r="J53" s="131"/>
      <c r="K53" s="135" t="str">
        <f>'Закупка'!T53</f>
        <v/>
      </c>
      <c r="L53" s="136" t="str">
        <f>'Закупка'!U53</f>
        <v/>
      </c>
      <c r="M53" s="137" t="str">
        <f>'Закупка'!V53</f>
        <v/>
      </c>
    </row>
    <row r="54" ht="45.0" customHeight="1">
      <c r="A54" s="126" t="str">
        <f>'Закупка'!A54</f>
        <v/>
      </c>
      <c r="B54" s="127" t="str">
        <f>'Закупка'!B54</f>
        <v/>
      </c>
      <c r="C54" s="128" t="str">
        <f>'Закупка'!R54</f>
        <v/>
      </c>
      <c r="D54" s="129" t="str">
        <f t="array" ref="D54">INDEX('Закупка'!G54:K54, $A$2)</f>
        <v/>
      </c>
      <c r="E54" s="130" t="str">
        <f>'Закупка'!F54</f>
        <v/>
      </c>
      <c r="F54" s="131" t="str">
        <f t="shared" si="1"/>
        <v/>
      </c>
      <c r="G54" s="132"/>
      <c r="H54" s="133"/>
      <c r="I54" s="145"/>
      <c r="J54" s="131"/>
      <c r="K54" s="135" t="str">
        <f>'Закупка'!T54</f>
        <v/>
      </c>
      <c r="L54" s="136" t="str">
        <f>'Закупка'!U54</f>
        <v/>
      </c>
      <c r="M54" s="137" t="str">
        <f>'Закупка'!V54</f>
        <v/>
      </c>
    </row>
    <row r="55" ht="45.0" customHeight="1">
      <c r="A55" s="126" t="str">
        <f>'Закупка'!A55</f>
        <v/>
      </c>
      <c r="B55" s="127" t="str">
        <f>'Закупка'!B55</f>
        <v/>
      </c>
      <c r="C55" s="128" t="str">
        <f>'Закупка'!R55</f>
        <v/>
      </c>
      <c r="D55" s="129" t="str">
        <f t="array" ref="D55">INDEX('Закупка'!G55:K55, $A$2)</f>
        <v/>
      </c>
      <c r="E55" s="130" t="str">
        <f>'Закупка'!F55</f>
        <v/>
      </c>
      <c r="F55" s="131" t="str">
        <f t="shared" si="1"/>
        <v/>
      </c>
      <c r="G55" s="132"/>
      <c r="H55" s="133"/>
      <c r="I55" s="145"/>
      <c r="J55" s="131"/>
      <c r="K55" s="135" t="str">
        <f>'Закупка'!T55</f>
        <v/>
      </c>
      <c r="L55" s="136" t="str">
        <f>'Закупка'!U55</f>
        <v/>
      </c>
      <c r="M55" s="137" t="str">
        <f>'Закупка'!V55</f>
        <v/>
      </c>
    </row>
    <row r="56" ht="45.0" customHeight="1">
      <c r="A56" s="126" t="str">
        <f>'Закупка'!A56</f>
        <v/>
      </c>
      <c r="B56" s="127" t="str">
        <f>'Закупка'!B56</f>
        <v/>
      </c>
      <c r="C56" s="128" t="str">
        <f>'Закупка'!R56</f>
        <v/>
      </c>
      <c r="D56" s="129" t="str">
        <f t="array" ref="D56">INDEX('Закупка'!G56:K56, $A$2)</f>
        <v/>
      </c>
      <c r="E56" s="130" t="str">
        <f>'Закупка'!F56</f>
        <v/>
      </c>
      <c r="F56" s="131" t="str">
        <f t="shared" si="1"/>
        <v/>
      </c>
      <c r="G56" s="132"/>
      <c r="H56" s="133"/>
      <c r="I56" s="145"/>
      <c r="J56" s="131"/>
      <c r="K56" s="135" t="str">
        <f>'Закупка'!T56</f>
        <v/>
      </c>
      <c r="L56" s="136" t="str">
        <f>'Закупка'!U56</f>
        <v/>
      </c>
      <c r="M56" s="137" t="str">
        <f>'Закупка'!V56</f>
        <v/>
      </c>
    </row>
    <row r="57" ht="45.0" customHeight="1">
      <c r="A57" s="126" t="str">
        <f>'Закупка'!A57</f>
        <v/>
      </c>
      <c r="B57" s="127" t="str">
        <f>'Закупка'!B57</f>
        <v/>
      </c>
      <c r="C57" s="128" t="str">
        <f>'Закупка'!R57</f>
        <v/>
      </c>
      <c r="D57" s="129" t="str">
        <f t="array" ref="D57">INDEX('Закупка'!G57:K57, $A$2)</f>
        <v/>
      </c>
      <c r="E57" s="130" t="str">
        <f>'Закупка'!F57</f>
        <v/>
      </c>
      <c r="F57" s="131" t="str">
        <f t="shared" si="1"/>
        <v/>
      </c>
      <c r="G57" s="132"/>
      <c r="H57" s="133"/>
      <c r="I57" s="145"/>
      <c r="J57" s="131"/>
      <c r="K57" s="135" t="str">
        <f>'Закупка'!T57</f>
        <v/>
      </c>
      <c r="L57" s="136" t="str">
        <f>'Закупка'!U57</f>
        <v/>
      </c>
      <c r="M57" s="137" t="str">
        <f>'Закупка'!V57</f>
        <v/>
      </c>
    </row>
    <row r="58" ht="45.0" customHeight="1">
      <c r="A58" s="126" t="str">
        <f>'Закупка'!A58</f>
        <v/>
      </c>
      <c r="B58" s="127" t="str">
        <f>'Закупка'!B58</f>
        <v/>
      </c>
      <c r="C58" s="128" t="str">
        <f>'Закупка'!R58</f>
        <v/>
      </c>
      <c r="D58" s="129" t="str">
        <f t="array" ref="D58">INDEX('Закупка'!G58:K58, $A$2)</f>
        <v/>
      </c>
      <c r="E58" s="130" t="str">
        <f>'Закупка'!F58</f>
        <v/>
      </c>
      <c r="F58" s="131" t="str">
        <f t="shared" si="1"/>
        <v/>
      </c>
      <c r="G58" s="132"/>
      <c r="H58" s="133"/>
      <c r="I58" s="145"/>
      <c r="J58" s="131"/>
      <c r="K58" s="135" t="str">
        <f>'Закупка'!T58</f>
        <v/>
      </c>
      <c r="L58" s="136" t="str">
        <f>'Закупка'!U58</f>
        <v/>
      </c>
      <c r="M58" s="137" t="str">
        <f>'Закупка'!V58</f>
        <v/>
      </c>
    </row>
    <row r="59" ht="45.0" customHeight="1">
      <c r="A59" s="126" t="str">
        <f>'Закупка'!A59</f>
        <v/>
      </c>
      <c r="B59" s="127" t="str">
        <f>'Закупка'!B59</f>
        <v/>
      </c>
      <c r="C59" s="128" t="str">
        <f>'Закупка'!R59</f>
        <v/>
      </c>
      <c r="D59" s="129" t="str">
        <f t="array" ref="D59">INDEX('Закупка'!G59:K59, $A$2)</f>
        <v/>
      </c>
      <c r="E59" s="130" t="str">
        <f>'Закупка'!F59</f>
        <v/>
      </c>
      <c r="F59" s="131" t="str">
        <f t="shared" si="1"/>
        <v/>
      </c>
      <c r="G59" s="132"/>
      <c r="H59" s="133"/>
      <c r="I59" s="145"/>
      <c r="J59" s="131"/>
      <c r="K59" s="135" t="str">
        <f>'Закупка'!T59</f>
        <v/>
      </c>
      <c r="L59" s="136" t="str">
        <f>'Закупка'!U59</f>
        <v/>
      </c>
      <c r="M59" s="137" t="str">
        <f>'Закупка'!V59</f>
        <v/>
      </c>
    </row>
    <row r="60" ht="45.0" customHeight="1">
      <c r="A60" s="126" t="str">
        <f>'Закупка'!A60</f>
        <v/>
      </c>
      <c r="B60" s="127" t="str">
        <f>'Закупка'!B60</f>
        <v/>
      </c>
      <c r="C60" s="128" t="str">
        <f>'Закупка'!R60</f>
        <v/>
      </c>
      <c r="D60" s="129" t="str">
        <f t="array" ref="D60">INDEX('Закупка'!G60:K60, $A$2)</f>
        <v/>
      </c>
      <c r="E60" s="130" t="str">
        <f>'Закупка'!F60</f>
        <v/>
      </c>
      <c r="F60" s="131" t="str">
        <f t="shared" si="1"/>
        <v/>
      </c>
      <c r="G60" s="132"/>
      <c r="H60" s="133"/>
      <c r="I60" s="145"/>
      <c r="J60" s="131"/>
      <c r="K60" s="135" t="str">
        <f>'Закупка'!T60</f>
        <v/>
      </c>
      <c r="L60" s="136" t="str">
        <f>'Закупка'!U60</f>
        <v/>
      </c>
      <c r="M60" s="137" t="str">
        <f>'Закупка'!V60</f>
        <v/>
      </c>
    </row>
    <row r="61" ht="45.0" customHeight="1">
      <c r="A61" s="126" t="str">
        <f>'Закупка'!A61</f>
        <v/>
      </c>
      <c r="B61" s="127" t="str">
        <f>'Закупка'!B61</f>
        <v/>
      </c>
      <c r="C61" s="128" t="str">
        <f>'Закупка'!R61</f>
        <v/>
      </c>
      <c r="D61" s="129" t="str">
        <f t="array" ref="D61">INDEX('Закупка'!G61:K61, $A$2)</f>
        <v/>
      </c>
      <c r="E61" s="130" t="str">
        <f>'Закупка'!F61</f>
        <v/>
      </c>
      <c r="F61" s="131" t="str">
        <f t="shared" si="1"/>
        <v/>
      </c>
      <c r="G61" s="132"/>
      <c r="H61" s="133"/>
      <c r="I61" s="145"/>
      <c r="J61" s="131"/>
      <c r="K61" s="135" t="str">
        <f>'Закупка'!T61</f>
        <v/>
      </c>
      <c r="L61" s="136" t="str">
        <f>'Закупка'!U61</f>
        <v/>
      </c>
      <c r="M61" s="137" t="str">
        <f>'Закупка'!V61</f>
        <v/>
      </c>
    </row>
    <row r="62" ht="45.0" customHeight="1">
      <c r="A62" s="126" t="str">
        <f>'Закупка'!A62</f>
        <v/>
      </c>
      <c r="B62" s="127" t="str">
        <f>'Закупка'!B62</f>
        <v/>
      </c>
      <c r="C62" s="128" t="str">
        <f>'Закупка'!R62</f>
        <v/>
      </c>
      <c r="D62" s="129" t="str">
        <f t="array" ref="D62">INDEX('Закупка'!G62:K62, $A$2)</f>
        <v/>
      </c>
      <c r="E62" s="130" t="str">
        <f>'Закупка'!F62</f>
        <v/>
      </c>
      <c r="F62" s="131" t="str">
        <f t="shared" si="1"/>
        <v/>
      </c>
      <c r="G62" s="132"/>
      <c r="H62" s="133"/>
      <c r="I62" s="145"/>
      <c r="J62" s="131"/>
      <c r="K62" s="135" t="str">
        <f>'Закупка'!T62</f>
        <v/>
      </c>
      <c r="L62" s="136" t="str">
        <f>'Закупка'!U62</f>
        <v/>
      </c>
      <c r="M62" s="137" t="str">
        <f>'Закупка'!V62</f>
        <v/>
      </c>
    </row>
    <row r="63" ht="45.0" customHeight="1">
      <c r="A63" s="126" t="str">
        <f>'Закупка'!A63</f>
        <v/>
      </c>
      <c r="B63" s="127" t="str">
        <f>'Закупка'!B63</f>
        <v/>
      </c>
      <c r="C63" s="128" t="str">
        <f>'Закупка'!R63</f>
        <v/>
      </c>
      <c r="D63" s="129" t="str">
        <f t="array" ref="D63">INDEX('Закупка'!G63:K63, $A$2)</f>
        <v/>
      </c>
      <c r="E63" s="130" t="str">
        <f>'Закупка'!F63</f>
        <v/>
      </c>
      <c r="F63" s="131" t="str">
        <f t="shared" si="1"/>
        <v/>
      </c>
      <c r="G63" s="132"/>
      <c r="H63" s="133"/>
      <c r="I63" s="145"/>
      <c r="J63" s="131"/>
      <c r="K63" s="135" t="str">
        <f>'Закупка'!T63</f>
        <v/>
      </c>
      <c r="L63" s="136" t="str">
        <f>'Закупка'!U63</f>
        <v/>
      </c>
      <c r="M63" s="137" t="str">
        <f>'Закупка'!V63</f>
        <v/>
      </c>
    </row>
    <row r="64" ht="45.0" customHeight="1">
      <c r="A64" s="126" t="str">
        <f>'Закупка'!A64</f>
        <v/>
      </c>
      <c r="B64" s="127" t="str">
        <f>'Закупка'!B64</f>
        <v/>
      </c>
      <c r="C64" s="128" t="str">
        <f>'Закупка'!R64</f>
        <v/>
      </c>
      <c r="D64" s="129" t="str">
        <f t="array" ref="D64">INDEX('Закупка'!G64:K64, $A$2)</f>
        <v/>
      </c>
      <c r="E64" s="130" t="str">
        <f>'Закупка'!F64</f>
        <v/>
      </c>
      <c r="F64" s="131" t="str">
        <f t="shared" si="1"/>
        <v/>
      </c>
      <c r="G64" s="132"/>
      <c r="H64" s="133"/>
      <c r="I64" s="145"/>
      <c r="J64" s="131"/>
      <c r="K64" s="135" t="str">
        <f>'Закупка'!T64</f>
        <v/>
      </c>
      <c r="L64" s="136" t="str">
        <f>'Закупка'!U64</f>
        <v/>
      </c>
      <c r="M64" s="137" t="str">
        <f>'Закупка'!V64</f>
        <v/>
      </c>
    </row>
    <row r="65" ht="45.0" customHeight="1">
      <c r="A65" s="126" t="str">
        <f>'Закупка'!A65</f>
        <v/>
      </c>
      <c r="B65" s="127" t="str">
        <f>'Закупка'!B65</f>
        <v/>
      </c>
      <c r="C65" s="128" t="str">
        <f>'Закупка'!R65</f>
        <v/>
      </c>
      <c r="D65" s="129" t="str">
        <f t="array" ref="D65">INDEX('Закупка'!G65:K65, $A$2)</f>
        <v/>
      </c>
      <c r="E65" s="130" t="str">
        <f>'Закупка'!F65</f>
        <v/>
      </c>
      <c r="F65" s="131" t="str">
        <f t="shared" si="1"/>
        <v/>
      </c>
      <c r="G65" s="132"/>
      <c r="H65" s="133"/>
      <c r="I65" s="145"/>
      <c r="J65" s="131"/>
      <c r="K65" s="135" t="str">
        <f>'Закупка'!T65</f>
        <v/>
      </c>
      <c r="L65" s="136" t="str">
        <f>'Закупка'!U65</f>
        <v/>
      </c>
      <c r="M65" s="137" t="str">
        <f>'Закупка'!V65</f>
        <v/>
      </c>
    </row>
    <row r="66" ht="45.0" customHeight="1">
      <c r="A66" s="126" t="str">
        <f>'Закупка'!A66</f>
        <v/>
      </c>
      <c r="B66" s="127" t="str">
        <f>'Закупка'!B66</f>
        <v/>
      </c>
      <c r="C66" s="128" t="str">
        <f>'Закупка'!R66</f>
        <v/>
      </c>
      <c r="D66" s="129" t="str">
        <f t="array" ref="D66">INDEX('Закупка'!G66:K66, $A$2)</f>
        <v/>
      </c>
      <c r="E66" s="130" t="str">
        <f>'Закупка'!F66</f>
        <v/>
      </c>
      <c r="F66" s="131" t="str">
        <f t="shared" si="1"/>
        <v/>
      </c>
      <c r="G66" s="132"/>
      <c r="H66" s="133"/>
      <c r="I66" s="145"/>
      <c r="J66" s="131"/>
      <c r="K66" s="135" t="str">
        <f>'Закупка'!T66</f>
        <v/>
      </c>
      <c r="L66" s="136" t="str">
        <f>'Закупка'!U66</f>
        <v/>
      </c>
      <c r="M66" s="137" t="str">
        <f>'Закупка'!V66</f>
        <v/>
      </c>
    </row>
    <row r="67" ht="45.0" customHeight="1">
      <c r="A67" s="126" t="str">
        <f>'Закупка'!A67</f>
        <v/>
      </c>
      <c r="B67" s="127" t="str">
        <f>'Закупка'!B67</f>
        <v/>
      </c>
      <c r="C67" s="128" t="str">
        <f>'Закупка'!R67</f>
        <v/>
      </c>
      <c r="D67" s="129" t="str">
        <f t="array" ref="D67">INDEX('Закупка'!G67:K67, $A$2)</f>
        <v/>
      </c>
      <c r="E67" s="130" t="str">
        <f>'Закупка'!F67</f>
        <v/>
      </c>
      <c r="F67" s="131" t="str">
        <f t="shared" si="1"/>
        <v/>
      </c>
      <c r="G67" s="132"/>
      <c r="H67" s="133"/>
      <c r="I67" s="145"/>
      <c r="J67" s="131"/>
      <c r="K67" s="135" t="str">
        <f>'Закупка'!T67</f>
        <v/>
      </c>
      <c r="L67" s="136" t="str">
        <f>'Закупка'!U67</f>
        <v/>
      </c>
      <c r="M67" s="137" t="str">
        <f>'Закупка'!V67</f>
        <v/>
      </c>
    </row>
    <row r="68" ht="45.0" customHeight="1">
      <c r="A68" s="126" t="str">
        <f>'Закупка'!A68</f>
        <v/>
      </c>
      <c r="B68" s="127" t="str">
        <f>'Закупка'!B68</f>
        <v/>
      </c>
      <c r="C68" s="128" t="str">
        <f>'Закупка'!R68</f>
        <v/>
      </c>
      <c r="D68" s="129" t="str">
        <f t="array" ref="D68">INDEX('Закупка'!G68:K68, $A$2)</f>
        <v/>
      </c>
      <c r="E68" s="130" t="str">
        <f>'Закупка'!F68</f>
        <v/>
      </c>
      <c r="F68" s="131" t="str">
        <f t="shared" si="1"/>
        <v/>
      </c>
      <c r="G68" s="132"/>
      <c r="H68" s="133"/>
      <c r="I68" s="145"/>
      <c r="J68" s="131"/>
      <c r="K68" s="135" t="str">
        <f>'Закупка'!T68</f>
        <v/>
      </c>
      <c r="L68" s="136" t="str">
        <f>'Закупка'!U68</f>
        <v/>
      </c>
      <c r="M68" s="137" t="str">
        <f>'Закупка'!V68</f>
        <v/>
      </c>
    </row>
    <row r="69" ht="45.0" customHeight="1">
      <c r="A69" s="126" t="str">
        <f>'Закупка'!A69</f>
        <v/>
      </c>
      <c r="B69" s="127" t="str">
        <f>'Закупка'!B69</f>
        <v/>
      </c>
      <c r="C69" s="128" t="str">
        <f>'Закупка'!R69</f>
        <v/>
      </c>
      <c r="D69" s="129" t="str">
        <f t="array" ref="D69">INDEX('Закупка'!G69:K69, $A$2)</f>
        <v/>
      </c>
      <c r="E69" s="130" t="str">
        <f>'Закупка'!F69</f>
        <v/>
      </c>
      <c r="F69" s="131" t="str">
        <f t="shared" si="1"/>
        <v/>
      </c>
      <c r="G69" s="132"/>
      <c r="H69" s="133"/>
      <c r="I69" s="145"/>
      <c r="J69" s="131"/>
      <c r="K69" s="135" t="str">
        <f>'Закупка'!T69</f>
        <v/>
      </c>
      <c r="L69" s="136" t="str">
        <f>'Закупка'!U69</f>
        <v/>
      </c>
      <c r="M69" s="137" t="str">
        <f>'Закупка'!V69</f>
        <v/>
      </c>
    </row>
    <row r="70" ht="45.0" customHeight="1">
      <c r="A70" s="126" t="str">
        <f>'Закупка'!A70</f>
        <v/>
      </c>
      <c r="B70" s="127" t="str">
        <f>'Закупка'!B70</f>
        <v/>
      </c>
      <c r="C70" s="128" t="str">
        <f>'Закупка'!R70</f>
        <v/>
      </c>
      <c r="D70" s="129" t="str">
        <f t="array" ref="D70">INDEX('Закупка'!G70:K70, $A$2)</f>
        <v/>
      </c>
      <c r="E70" s="130" t="str">
        <f>'Закупка'!F70</f>
        <v/>
      </c>
      <c r="F70" s="131" t="str">
        <f t="shared" si="1"/>
        <v/>
      </c>
      <c r="G70" s="132"/>
      <c r="H70" s="133"/>
      <c r="I70" s="145"/>
      <c r="J70" s="131"/>
      <c r="K70" s="135" t="str">
        <f>'Закупка'!T70</f>
        <v/>
      </c>
      <c r="L70" s="136" t="str">
        <f>'Закупка'!U70</f>
        <v/>
      </c>
      <c r="M70" s="137" t="str">
        <f>'Закупка'!V70</f>
        <v/>
      </c>
    </row>
    <row r="71" ht="45.0" customHeight="1">
      <c r="A71" s="126" t="str">
        <f>'Закупка'!A71</f>
        <v/>
      </c>
      <c r="B71" s="127" t="str">
        <f>'Закупка'!B71</f>
        <v/>
      </c>
      <c r="C71" s="128" t="str">
        <f>'Закупка'!R71</f>
        <v/>
      </c>
      <c r="D71" s="129" t="str">
        <f t="array" ref="D71">INDEX('Закупка'!G71:K71, $A$2)</f>
        <v/>
      </c>
      <c r="E71" s="130" t="str">
        <f>'Закупка'!F71</f>
        <v/>
      </c>
      <c r="F71" s="131" t="str">
        <f t="shared" si="1"/>
        <v/>
      </c>
      <c r="G71" s="132"/>
      <c r="H71" s="133"/>
      <c r="I71" s="145"/>
      <c r="J71" s="131"/>
      <c r="K71" s="135" t="str">
        <f>'Закупка'!T71</f>
        <v/>
      </c>
      <c r="L71" s="136" t="str">
        <f>'Закупка'!U71</f>
        <v/>
      </c>
      <c r="M71" s="137" t="str">
        <f>'Закупка'!V71</f>
        <v/>
      </c>
    </row>
    <row r="72" ht="45.0" customHeight="1">
      <c r="A72" s="126" t="str">
        <f>'Закупка'!A72</f>
        <v/>
      </c>
      <c r="B72" s="127" t="str">
        <f>'Закупка'!B72</f>
        <v/>
      </c>
      <c r="C72" s="128" t="str">
        <f>'Закупка'!R72</f>
        <v/>
      </c>
      <c r="D72" s="129" t="str">
        <f t="array" ref="D72">INDEX('Закупка'!G72:K72, $A$2)</f>
        <v/>
      </c>
      <c r="E72" s="130" t="str">
        <f>'Закупка'!F72</f>
        <v/>
      </c>
      <c r="F72" s="131" t="str">
        <f t="shared" si="1"/>
        <v/>
      </c>
      <c r="G72" s="132"/>
      <c r="H72" s="133"/>
      <c r="I72" s="145"/>
      <c r="J72" s="131"/>
      <c r="K72" s="135" t="str">
        <f>'Закупка'!T72</f>
        <v/>
      </c>
      <c r="L72" s="136" t="str">
        <f>'Закупка'!U72</f>
        <v/>
      </c>
      <c r="M72" s="137" t="str">
        <f>'Закупка'!V72</f>
        <v/>
      </c>
    </row>
    <row r="73" ht="45.0" customHeight="1">
      <c r="A73" s="126" t="str">
        <f>'Закупка'!A73</f>
        <v/>
      </c>
      <c r="B73" s="127" t="str">
        <f>'Закупка'!B73</f>
        <v/>
      </c>
      <c r="C73" s="128" t="str">
        <f>'Закупка'!R73</f>
        <v/>
      </c>
      <c r="D73" s="129" t="str">
        <f t="array" ref="D73">INDEX('Закупка'!G73:K73, $A$2)</f>
        <v/>
      </c>
      <c r="E73" s="130" t="str">
        <f>'Закупка'!F73</f>
        <v/>
      </c>
      <c r="F73" s="131" t="str">
        <f t="shared" si="1"/>
        <v/>
      </c>
      <c r="G73" s="132"/>
      <c r="H73" s="133"/>
      <c r="I73" s="145"/>
      <c r="J73" s="131"/>
      <c r="K73" s="135" t="str">
        <f>'Закупка'!T73</f>
        <v/>
      </c>
      <c r="L73" s="136" t="str">
        <f>'Закупка'!U73</f>
        <v/>
      </c>
      <c r="M73" s="137" t="str">
        <f>'Закупка'!V73</f>
        <v/>
      </c>
    </row>
    <row r="74" ht="45.0" customHeight="1">
      <c r="A74" s="126" t="str">
        <f>'Закупка'!A74</f>
        <v/>
      </c>
      <c r="B74" s="127" t="str">
        <f>'Закупка'!B74</f>
        <v/>
      </c>
      <c r="C74" s="128" t="str">
        <f>'Закупка'!R74</f>
        <v/>
      </c>
      <c r="D74" s="129" t="str">
        <f t="array" ref="D74">INDEX('Закупка'!G74:K74, $A$2)</f>
        <v/>
      </c>
      <c r="E74" s="130" t="str">
        <f>'Закупка'!F74</f>
        <v/>
      </c>
      <c r="F74" s="131" t="str">
        <f t="shared" si="1"/>
        <v/>
      </c>
      <c r="G74" s="132"/>
      <c r="H74" s="133"/>
      <c r="I74" s="145"/>
      <c r="J74" s="131"/>
      <c r="K74" s="135" t="str">
        <f>'Закупка'!T74</f>
        <v/>
      </c>
      <c r="L74" s="136" t="str">
        <f>'Закупка'!U74</f>
        <v/>
      </c>
      <c r="M74" s="137" t="str">
        <f>'Закупка'!V74</f>
        <v/>
      </c>
    </row>
    <row r="75" ht="45.0" customHeight="1">
      <c r="A75" s="126" t="str">
        <f>'Закупка'!A75</f>
        <v/>
      </c>
      <c r="B75" s="127" t="str">
        <f>'Закупка'!B75</f>
        <v/>
      </c>
      <c r="C75" s="128" t="str">
        <f>'Закупка'!R75</f>
        <v/>
      </c>
      <c r="D75" s="129" t="str">
        <f t="array" ref="D75">INDEX('Закупка'!G75:K75, $A$2)</f>
        <v/>
      </c>
      <c r="E75" s="130" t="str">
        <f>'Закупка'!F75</f>
        <v/>
      </c>
      <c r="F75" s="131" t="str">
        <f t="shared" si="1"/>
        <v/>
      </c>
      <c r="G75" s="132"/>
      <c r="H75" s="133"/>
      <c r="I75" s="145"/>
      <c r="J75" s="131"/>
      <c r="K75" s="135" t="str">
        <f>'Закупка'!T75</f>
        <v/>
      </c>
      <c r="L75" s="136" t="str">
        <f>'Закупка'!U75</f>
        <v/>
      </c>
      <c r="M75" s="137" t="str">
        <f>'Закупка'!V75</f>
        <v/>
      </c>
    </row>
    <row r="76" ht="45.0" customHeight="1">
      <c r="A76" s="126" t="str">
        <f>'Закупка'!A76</f>
        <v/>
      </c>
      <c r="B76" s="127" t="str">
        <f>'Закупка'!B76</f>
        <v/>
      </c>
      <c r="C76" s="128" t="str">
        <f>'Закупка'!R76</f>
        <v/>
      </c>
      <c r="D76" s="129" t="str">
        <f t="array" ref="D76">INDEX('Закупка'!G76:K76, $A$2)</f>
        <v/>
      </c>
      <c r="E76" s="130" t="str">
        <f>'Закупка'!F76</f>
        <v/>
      </c>
      <c r="F76" s="131" t="str">
        <f t="shared" si="1"/>
        <v/>
      </c>
      <c r="G76" s="132"/>
      <c r="H76" s="133"/>
      <c r="I76" s="145"/>
      <c r="J76" s="131"/>
      <c r="K76" s="135" t="str">
        <f>'Закупка'!T76</f>
        <v/>
      </c>
      <c r="L76" s="136" t="str">
        <f>'Закупка'!U76</f>
        <v/>
      </c>
      <c r="M76" s="137" t="str">
        <f>'Закупка'!V76</f>
        <v/>
      </c>
    </row>
    <row r="77" ht="45.0" customHeight="1">
      <c r="A77" s="126" t="str">
        <f>'Закупка'!A77</f>
        <v/>
      </c>
      <c r="B77" s="127" t="str">
        <f>'Закупка'!B77</f>
        <v/>
      </c>
      <c r="C77" s="128" t="str">
        <f>'Закупка'!R77</f>
        <v/>
      </c>
      <c r="D77" s="129" t="str">
        <f t="array" ref="D77">INDEX('Закупка'!G77:K77, $A$2)</f>
        <v/>
      </c>
      <c r="E77" s="130" t="str">
        <f>'Закупка'!F77</f>
        <v/>
      </c>
      <c r="F77" s="131" t="str">
        <f t="shared" si="1"/>
        <v/>
      </c>
      <c r="G77" s="132"/>
      <c r="H77" s="133"/>
      <c r="I77" s="145"/>
      <c r="J77" s="131"/>
      <c r="K77" s="135" t="str">
        <f>'Закупка'!T77</f>
        <v/>
      </c>
      <c r="L77" s="136" t="str">
        <f>'Закупка'!U77</f>
        <v/>
      </c>
      <c r="M77" s="137" t="str">
        <f>'Закупка'!V77</f>
        <v/>
      </c>
    </row>
    <row r="78" ht="45.0" customHeight="1">
      <c r="A78" s="126" t="str">
        <f>'Закупка'!A78</f>
        <v/>
      </c>
      <c r="B78" s="127" t="str">
        <f>'Закупка'!B78</f>
        <v/>
      </c>
      <c r="C78" s="128" t="str">
        <f>'Закупка'!R78</f>
        <v/>
      </c>
      <c r="D78" s="129" t="str">
        <f t="array" ref="D78">INDEX('Закупка'!G78:K78, $A$2)</f>
        <v/>
      </c>
      <c r="E78" s="130" t="str">
        <f>'Закупка'!F78</f>
        <v/>
      </c>
      <c r="F78" s="131" t="str">
        <f t="shared" si="1"/>
        <v/>
      </c>
      <c r="G78" s="132"/>
      <c r="H78" s="133"/>
      <c r="I78" s="145"/>
      <c r="J78" s="131"/>
      <c r="K78" s="135" t="str">
        <f>'Закупка'!T78</f>
        <v/>
      </c>
      <c r="L78" s="136" t="str">
        <f>'Закупка'!U78</f>
        <v/>
      </c>
      <c r="M78" s="137" t="str">
        <f>'Закупка'!V78</f>
        <v/>
      </c>
    </row>
    <row r="79" ht="45.0" customHeight="1">
      <c r="A79" s="126" t="str">
        <f>'Закупка'!A79</f>
        <v/>
      </c>
      <c r="B79" s="127" t="str">
        <f>'Закупка'!B79</f>
        <v/>
      </c>
      <c r="C79" s="128" t="str">
        <f>'Закупка'!R79</f>
        <v/>
      </c>
      <c r="D79" s="129" t="str">
        <f t="array" ref="D79">INDEX('Закупка'!G79:K79, $A$2)</f>
        <v/>
      </c>
      <c r="E79" s="130" t="str">
        <f>'Закупка'!F79</f>
        <v/>
      </c>
      <c r="F79" s="131" t="str">
        <f t="shared" si="1"/>
        <v/>
      </c>
      <c r="G79" s="132"/>
      <c r="H79" s="133"/>
      <c r="I79" s="145"/>
      <c r="J79" s="131"/>
      <c r="K79" s="135" t="str">
        <f>'Закупка'!T79</f>
        <v/>
      </c>
      <c r="L79" s="136" t="str">
        <f>'Закупка'!U79</f>
        <v/>
      </c>
      <c r="M79" s="137" t="str">
        <f>'Закупка'!V79</f>
        <v/>
      </c>
    </row>
    <row r="80" ht="45.0" customHeight="1">
      <c r="A80" s="126" t="str">
        <f>'Закупка'!A80</f>
        <v/>
      </c>
      <c r="B80" s="127" t="str">
        <f>'Закупка'!B80</f>
        <v/>
      </c>
      <c r="C80" s="128" t="str">
        <f>'Закупка'!R80</f>
        <v/>
      </c>
      <c r="D80" s="129" t="str">
        <f t="array" ref="D80">INDEX('Закупка'!G80:K80, $A$2)</f>
        <v/>
      </c>
      <c r="E80" s="130" t="str">
        <f>'Закупка'!F80</f>
        <v/>
      </c>
      <c r="F80" s="131" t="str">
        <f t="shared" si="1"/>
        <v/>
      </c>
      <c r="G80" s="132"/>
      <c r="H80" s="133"/>
      <c r="I80" s="145"/>
      <c r="J80" s="131"/>
      <c r="K80" s="135" t="str">
        <f>'Закупка'!T80</f>
        <v/>
      </c>
      <c r="L80" s="136" t="str">
        <f>'Закупка'!U80</f>
        <v/>
      </c>
      <c r="M80" s="137" t="str">
        <f>'Закупка'!V80</f>
        <v/>
      </c>
    </row>
    <row r="81" ht="45.0" customHeight="1">
      <c r="A81" s="126" t="str">
        <f>'Закупка'!A81</f>
        <v/>
      </c>
      <c r="B81" s="127" t="str">
        <f>'Закупка'!B81</f>
        <v/>
      </c>
      <c r="C81" s="128" t="str">
        <f>'Закупка'!R81</f>
        <v/>
      </c>
      <c r="D81" s="129" t="str">
        <f t="array" ref="D81">INDEX('Закупка'!G81:K81, $A$2)</f>
        <v/>
      </c>
      <c r="E81" s="130" t="str">
        <f>'Закупка'!F81</f>
        <v/>
      </c>
      <c r="F81" s="131" t="str">
        <f t="shared" si="1"/>
        <v/>
      </c>
      <c r="G81" s="132"/>
      <c r="H81" s="133"/>
      <c r="I81" s="145"/>
      <c r="J81" s="131"/>
      <c r="K81" s="135" t="str">
        <f>'Закупка'!T81</f>
        <v/>
      </c>
      <c r="L81" s="136" t="str">
        <f>'Закупка'!U81</f>
        <v/>
      </c>
      <c r="M81" s="137" t="str">
        <f>'Закупка'!V81</f>
        <v/>
      </c>
    </row>
    <row r="82" ht="45.0" customHeight="1">
      <c r="A82" s="126" t="str">
        <f>'Закупка'!A82</f>
        <v/>
      </c>
      <c r="B82" s="127" t="str">
        <f>'Закупка'!B82</f>
        <v/>
      </c>
      <c r="C82" s="128" t="str">
        <f>'Закупка'!R82</f>
        <v/>
      </c>
      <c r="D82" s="129" t="str">
        <f t="array" ref="D82">INDEX('Закупка'!G82:K82, $A$2)</f>
        <v/>
      </c>
      <c r="E82" s="130" t="str">
        <f>'Закупка'!F82</f>
        <v/>
      </c>
      <c r="F82" s="131" t="str">
        <f t="shared" si="1"/>
        <v/>
      </c>
      <c r="G82" s="132"/>
      <c r="H82" s="133"/>
      <c r="I82" s="145"/>
      <c r="J82" s="131"/>
      <c r="K82" s="135" t="str">
        <f>'Закупка'!T82</f>
        <v/>
      </c>
      <c r="L82" s="136" t="str">
        <f>'Закупка'!U82</f>
        <v/>
      </c>
      <c r="M82" s="137" t="str">
        <f>'Закупка'!V82</f>
        <v/>
      </c>
    </row>
    <row r="83" ht="45.0" customHeight="1">
      <c r="A83" s="126" t="str">
        <f>'Закупка'!A83</f>
        <v/>
      </c>
      <c r="B83" s="127" t="str">
        <f>'Закупка'!B83</f>
        <v/>
      </c>
      <c r="C83" s="128" t="str">
        <f>'Закупка'!R83</f>
        <v/>
      </c>
      <c r="D83" s="129" t="str">
        <f t="array" ref="D83">INDEX('Закупка'!G83:K83, $A$2)</f>
        <v/>
      </c>
      <c r="E83" s="130" t="str">
        <f>'Закупка'!F83</f>
        <v/>
      </c>
      <c r="F83" s="131" t="str">
        <f t="shared" si="1"/>
        <v/>
      </c>
      <c r="G83" s="132"/>
      <c r="H83" s="133"/>
      <c r="I83" s="145"/>
      <c r="J83" s="131"/>
      <c r="K83" s="135" t="str">
        <f>'Закупка'!T83</f>
        <v/>
      </c>
      <c r="L83" s="136" t="str">
        <f>'Закупка'!U83</f>
        <v/>
      </c>
      <c r="M83" s="137" t="str">
        <f>'Закупка'!V83</f>
        <v/>
      </c>
    </row>
    <row r="84" ht="45.0" customHeight="1">
      <c r="A84" s="126" t="str">
        <f>'Закупка'!A84</f>
        <v/>
      </c>
      <c r="B84" s="127" t="str">
        <f>'Закупка'!B84</f>
        <v/>
      </c>
      <c r="C84" s="128" t="str">
        <f>'Закупка'!R84</f>
        <v/>
      </c>
      <c r="D84" s="129" t="str">
        <f t="array" ref="D84">INDEX('Закупка'!G84:K84, $A$2)</f>
        <v/>
      </c>
      <c r="E84" s="130" t="str">
        <f>'Закупка'!F84</f>
        <v/>
      </c>
      <c r="F84" s="131" t="str">
        <f t="shared" si="1"/>
        <v/>
      </c>
      <c r="G84" s="132"/>
      <c r="H84" s="133"/>
      <c r="I84" s="145"/>
      <c r="J84" s="131"/>
      <c r="K84" s="135" t="str">
        <f>'Закупка'!T84</f>
        <v/>
      </c>
      <c r="L84" s="136" t="str">
        <f>'Закупка'!U84</f>
        <v/>
      </c>
      <c r="M84" s="137" t="str">
        <f>'Закупка'!V84</f>
        <v/>
      </c>
    </row>
    <row r="85" ht="45.0" customHeight="1">
      <c r="A85" s="126" t="str">
        <f>'Закупка'!A85</f>
        <v/>
      </c>
      <c r="B85" s="127" t="str">
        <f>'Закупка'!B85</f>
        <v/>
      </c>
      <c r="C85" s="128" t="str">
        <f>'Закупка'!R85</f>
        <v/>
      </c>
      <c r="D85" s="129" t="str">
        <f t="array" ref="D85">INDEX('Закупка'!G85:K85, $A$2)</f>
        <v/>
      </c>
      <c r="E85" s="130" t="str">
        <f>'Закупка'!F85</f>
        <v/>
      </c>
      <c r="F85" s="131" t="str">
        <f t="shared" si="1"/>
        <v/>
      </c>
      <c r="G85" s="132"/>
      <c r="H85" s="133"/>
      <c r="I85" s="145"/>
      <c r="J85" s="131"/>
      <c r="K85" s="135" t="str">
        <f>'Закупка'!T85</f>
        <v/>
      </c>
      <c r="L85" s="136" t="str">
        <f>'Закупка'!U85</f>
        <v/>
      </c>
      <c r="M85" s="137" t="str">
        <f>'Закупка'!V85</f>
        <v/>
      </c>
    </row>
    <row r="86" ht="45.0" customHeight="1">
      <c r="A86" s="126" t="str">
        <f>'Закупка'!A86</f>
        <v/>
      </c>
      <c r="B86" s="127" t="str">
        <f>'Закупка'!B86</f>
        <v/>
      </c>
      <c r="C86" s="128" t="str">
        <f>'Закупка'!R86</f>
        <v/>
      </c>
      <c r="D86" s="129" t="str">
        <f t="array" ref="D86">INDEX('Закупка'!G86:K86, $A$2)</f>
        <v/>
      </c>
      <c r="E86" s="130" t="str">
        <f>'Закупка'!F86</f>
        <v/>
      </c>
      <c r="F86" s="131" t="str">
        <f t="shared" si="1"/>
        <v/>
      </c>
      <c r="G86" s="132"/>
      <c r="H86" s="133"/>
      <c r="I86" s="145"/>
      <c r="J86" s="131"/>
      <c r="K86" s="135" t="str">
        <f>'Закупка'!T86</f>
        <v/>
      </c>
      <c r="L86" s="136" t="str">
        <f>'Закупка'!U86</f>
        <v/>
      </c>
      <c r="M86" s="137" t="str">
        <f>'Закупка'!V86</f>
        <v/>
      </c>
    </row>
    <row r="87" ht="45.0" customHeight="1">
      <c r="A87" s="126" t="str">
        <f>'Закупка'!A87</f>
        <v/>
      </c>
      <c r="B87" s="127" t="str">
        <f>'Закупка'!B87</f>
        <v/>
      </c>
      <c r="C87" s="128" t="str">
        <f>'Закупка'!R87</f>
        <v/>
      </c>
      <c r="D87" s="129" t="str">
        <f t="array" ref="D87">INDEX('Закупка'!G87:K87, $A$2)</f>
        <v/>
      </c>
      <c r="E87" s="130" t="str">
        <f>'Закупка'!F87</f>
        <v/>
      </c>
      <c r="F87" s="131" t="str">
        <f t="shared" si="1"/>
        <v/>
      </c>
      <c r="G87" s="132"/>
      <c r="H87" s="133"/>
      <c r="I87" s="145"/>
      <c r="J87" s="131"/>
      <c r="K87" s="135" t="str">
        <f>'Закупка'!T87</f>
        <v/>
      </c>
      <c r="L87" s="136" t="str">
        <f>'Закупка'!U87</f>
        <v/>
      </c>
      <c r="M87" s="137" t="str">
        <f>'Закупка'!V87</f>
        <v/>
      </c>
    </row>
    <row r="88" ht="45.0" customHeight="1">
      <c r="A88" s="126" t="str">
        <f>'Закупка'!A88</f>
        <v/>
      </c>
      <c r="B88" s="127" t="str">
        <f>'Закупка'!B88</f>
        <v/>
      </c>
      <c r="C88" s="128" t="str">
        <f>'Закупка'!R88</f>
        <v/>
      </c>
      <c r="D88" s="129" t="str">
        <f t="array" ref="D88">INDEX('Закупка'!G88:K88, $A$2)</f>
        <v/>
      </c>
      <c r="E88" s="130" t="str">
        <f>'Закупка'!F88</f>
        <v/>
      </c>
      <c r="F88" s="131" t="str">
        <f t="shared" si="1"/>
        <v/>
      </c>
      <c r="G88" s="132"/>
      <c r="H88" s="133"/>
      <c r="I88" s="145"/>
      <c r="J88" s="131"/>
      <c r="K88" s="135" t="str">
        <f>'Закупка'!T88</f>
        <v/>
      </c>
      <c r="L88" s="136" t="str">
        <f>'Закупка'!U88</f>
        <v/>
      </c>
      <c r="M88" s="137" t="str">
        <f>'Закупка'!V88</f>
        <v/>
      </c>
    </row>
    <row r="89" ht="45.0" customHeight="1">
      <c r="A89" s="126" t="str">
        <f>'Закупка'!A89</f>
        <v/>
      </c>
      <c r="B89" s="127" t="str">
        <f>'Закупка'!B89</f>
        <v/>
      </c>
      <c r="C89" s="128" t="str">
        <f>'Закупка'!R89</f>
        <v/>
      </c>
      <c r="D89" s="129" t="str">
        <f t="array" ref="D89">INDEX('Закупка'!G89:K89, $A$2)</f>
        <v/>
      </c>
      <c r="E89" s="130" t="str">
        <f>'Закупка'!F89</f>
        <v/>
      </c>
      <c r="F89" s="131" t="str">
        <f t="shared" si="1"/>
        <v/>
      </c>
      <c r="G89" s="132"/>
      <c r="H89" s="133"/>
      <c r="I89" s="145"/>
      <c r="J89" s="131"/>
      <c r="K89" s="135" t="str">
        <f>'Закупка'!T89</f>
        <v/>
      </c>
      <c r="L89" s="136" t="str">
        <f>'Закупка'!U89</f>
        <v/>
      </c>
      <c r="M89" s="137" t="str">
        <f>'Закупка'!V89</f>
        <v/>
      </c>
    </row>
    <row r="90" ht="45.0" customHeight="1">
      <c r="A90" s="126" t="str">
        <f>'Закупка'!A90</f>
        <v/>
      </c>
      <c r="B90" s="127" t="str">
        <f>'Закупка'!B90</f>
        <v/>
      </c>
      <c r="C90" s="128" t="str">
        <f>'Закупка'!R90</f>
        <v/>
      </c>
      <c r="D90" s="129" t="str">
        <f t="array" ref="D90">INDEX('Закупка'!G90:K90, $A$2)</f>
        <v/>
      </c>
      <c r="E90" s="130" t="str">
        <f>'Закупка'!F90</f>
        <v/>
      </c>
      <c r="F90" s="131" t="str">
        <f t="shared" si="1"/>
        <v/>
      </c>
      <c r="G90" s="132"/>
      <c r="H90" s="133"/>
      <c r="I90" s="145"/>
      <c r="J90" s="131"/>
      <c r="K90" s="135" t="str">
        <f>'Закупка'!T90</f>
        <v/>
      </c>
      <c r="L90" s="136" t="str">
        <f>'Закупка'!U90</f>
        <v/>
      </c>
      <c r="M90" s="137" t="str">
        <f>'Закупка'!V90</f>
        <v/>
      </c>
    </row>
    <row r="91" ht="45.0" customHeight="1">
      <c r="A91" s="126" t="str">
        <f>'Закупка'!A91</f>
        <v/>
      </c>
      <c r="B91" s="127" t="str">
        <f>'Закупка'!B91</f>
        <v/>
      </c>
      <c r="C91" s="128" t="str">
        <f>'Закупка'!R91</f>
        <v/>
      </c>
      <c r="D91" s="129" t="str">
        <f t="array" ref="D91">INDEX('Закупка'!G91:K91, $A$2)</f>
        <v/>
      </c>
      <c r="E91" s="130" t="str">
        <f>'Закупка'!F91</f>
        <v/>
      </c>
      <c r="F91" s="131" t="str">
        <f t="shared" si="1"/>
        <v/>
      </c>
      <c r="G91" s="132"/>
      <c r="H91" s="133"/>
      <c r="I91" s="145"/>
      <c r="J91" s="131"/>
      <c r="K91" s="135" t="str">
        <f>'Закупка'!T91</f>
        <v/>
      </c>
      <c r="L91" s="136" t="str">
        <f>'Закупка'!U91</f>
        <v/>
      </c>
      <c r="M91" s="137" t="str">
        <f>'Закупка'!V91</f>
        <v/>
      </c>
    </row>
    <row r="92" ht="45.0" customHeight="1">
      <c r="A92" s="126" t="str">
        <f>'Закупка'!A92</f>
        <v/>
      </c>
      <c r="B92" s="127" t="str">
        <f>'Закупка'!B92</f>
        <v/>
      </c>
      <c r="C92" s="128" t="str">
        <f>'Закупка'!R92</f>
        <v/>
      </c>
      <c r="D92" s="129" t="str">
        <f t="array" ref="D92">INDEX('Закупка'!G92:K92, $A$2)</f>
        <v/>
      </c>
      <c r="E92" s="130" t="str">
        <f>'Закупка'!F92</f>
        <v/>
      </c>
      <c r="F92" s="131" t="str">
        <f t="shared" si="1"/>
        <v/>
      </c>
      <c r="G92" s="132"/>
      <c r="H92" s="133"/>
      <c r="I92" s="145"/>
      <c r="J92" s="131"/>
      <c r="K92" s="135" t="str">
        <f>'Закупка'!T92</f>
        <v/>
      </c>
      <c r="L92" s="136" t="str">
        <f>'Закупка'!U92</f>
        <v/>
      </c>
      <c r="M92" s="137" t="str">
        <f>'Закупка'!V92</f>
        <v/>
      </c>
    </row>
    <row r="93" ht="45.0" customHeight="1">
      <c r="A93" s="126" t="str">
        <f>'Закупка'!A93</f>
        <v/>
      </c>
      <c r="B93" s="127" t="str">
        <f>'Закупка'!B93</f>
        <v/>
      </c>
      <c r="C93" s="128" t="str">
        <f>'Закупка'!R93</f>
        <v/>
      </c>
      <c r="D93" s="129" t="str">
        <f t="array" ref="D93">INDEX('Закупка'!G93:K93, $A$2)</f>
        <v/>
      </c>
      <c r="E93" s="130" t="str">
        <f>'Закупка'!F93</f>
        <v/>
      </c>
      <c r="F93" s="131" t="str">
        <f t="shared" si="1"/>
        <v/>
      </c>
      <c r="G93" s="132"/>
      <c r="H93" s="133"/>
      <c r="I93" s="145"/>
      <c r="J93" s="131"/>
      <c r="K93" s="135" t="str">
        <f>'Закупка'!T93</f>
        <v/>
      </c>
      <c r="L93" s="136" t="str">
        <f>'Закупка'!U93</f>
        <v/>
      </c>
      <c r="M93" s="137" t="str">
        <f>'Закупка'!V93</f>
        <v/>
      </c>
    </row>
    <row r="94" ht="45.0" customHeight="1">
      <c r="A94" s="126" t="str">
        <f>'Закупка'!A94</f>
        <v/>
      </c>
      <c r="B94" s="127" t="str">
        <f>'Закупка'!B94</f>
        <v/>
      </c>
      <c r="C94" s="128" t="str">
        <f>'Закупка'!R94</f>
        <v/>
      </c>
      <c r="D94" s="129" t="str">
        <f t="array" ref="D94">INDEX('Закупка'!G94:K94, $A$2)</f>
        <v/>
      </c>
      <c r="E94" s="130" t="str">
        <f>'Закупка'!F94</f>
        <v/>
      </c>
      <c r="F94" s="131" t="str">
        <f t="shared" si="1"/>
        <v/>
      </c>
      <c r="G94" s="132"/>
      <c r="H94" s="133"/>
      <c r="I94" s="145"/>
      <c r="J94" s="131"/>
      <c r="K94" s="135" t="str">
        <f>'Закупка'!T94</f>
        <v/>
      </c>
      <c r="L94" s="136" t="str">
        <f>'Закупка'!U94</f>
        <v/>
      </c>
      <c r="M94" s="137" t="str">
        <f>'Закупка'!V94</f>
        <v/>
      </c>
    </row>
    <row r="95" ht="45.0" customHeight="1">
      <c r="A95" s="126" t="str">
        <f>'Закупка'!A95</f>
        <v/>
      </c>
      <c r="B95" s="127" t="str">
        <f>'Закупка'!B95</f>
        <v/>
      </c>
      <c r="C95" s="128" t="str">
        <f>'Закупка'!R95</f>
        <v/>
      </c>
      <c r="D95" s="129" t="str">
        <f t="array" ref="D95">INDEX('Закупка'!G95:K95, $A$2)</f>
        <v/>
      </c>
      <c r="E95" s="130" t="str">
        <f>'Закупка'!F95</f>
        <v/>
      </c>
      <c r="F95" s="131" t="str">
        <f t="shared" si="1"/>
        <v/>
      </c>
      <c r="G95" s="132"/>
      <c r="H95" s="133"/>
      <c r="I95" s="145"/>
      <c r="J95" s="131"/>
      <c r="K95" s="135" t="str">
        <f>'Закупка'!T95</f>
        <v/>
      </c>
      <c r="L95" s="136" t="str">
        <f>'Закупка'!U95</f>
        <v/>
      </c>
      <c r="M95" s="137" t="str">
        <f>'Закупка'!V95</f>
        <v/>
      </c>
    </row>
    <row r="96" ht="45.0" customHeight="1">
      <c r="A96" s="126" t="str">
        <f>'Закупка'!A96</f>
        <v/>
      </c>
      <c r="B96" s="127" t="str">
        <f>'Закупка'!B96</f>
        <v/>
      </c>
      <c r="C96" s="128" t="str">
        <f>'Закупка'!R96</f>
        <v/>
      </c>
      <c r="D96" s="129" t="str">
        <f t="array" ref="D96">INDEX('Закупка'!G96:K96, $A$2)</f>
        <v/>
      </c>
      <c r="E96" s="130" t="str">
        <f>'Закупка'!F96</f>
        <v/>
      </c>
      <c r="F96" s="131" t="str">
        <f t="shared" si="1"/>
        <v/>
      </c>
      <c r="G96" s="132"/>
      <c r="H96" s="133"/>
      <c r="I96" s="145"/>
      <c r="J96" s="131"/>
      <c r="K96" s="135" t="str">
        <f>'Закупка'!T96</f>
        <v/>
      </c>
      <c r="L96" s="136" t="str">
        <f>'Закупка'!U96</f>
        <v/>
      </c>
      <c r="M96" s="137" t="str">
        <f>'Закупка'!V96</f>
        <v/>
      </c>
    </row>
    <row r="97" ht="45.0" customHeight="1">
      <c r="A97" s="126" t="str">
        <f>'Закупка'!A97</f>
        <v/>
      </c>
      <c r="B97" s="127" t="str">
        <f>'Закупка'!B97</f>
        <v/>
      </c>
      <c r="C97" s="128" t="str">
        <f>'Закупка'!R97</f>
        <v/>
      </c>
      <c r="D97" s="129" t="str">
        <f t="array" ref="D97">INDEX('Закупка'!G97:K97, $A$2)</f>
        <v/>
      </c>
      <c r="E97" s="130" t="str">
        <f>'Закупка'!F97</f>
        <v/>
      </c>
      <c r="F97" s="131" t="str">
        <f t="shared" si="1"/>
        <v/>
      </c>
      <c r="G97" s="132"/>
      <c r="H97" s="133"/>
      <c r="I97" s="145"/>
      <c r="J97" s="131"/>
      <c r="K97" s="135" t="str">
        <f>'Закупка'!T97</f>
        <v/>
      </c>
      <c r="L97" s="136" t="str">
        <f>'Закупка'!U97</f>
        <v/>
      </c>
      <c r="M97" s="137" t="str">
        <f>'Закупка'!V97</f>
        <v/>
      </c>
    </row>
    <row r="98" ht="45.0" customHeight="1">
      <c r="A98" s="126" t="str">
        <f>'Закупка'!A98</f>
        <v/>
      </c>
      <c r="B98" s="127" t="str">
        <f>'Закупка'!B98</f>
        <v/>
      </c>
      <c r="C98" s="128" t="str">
        <f>'Закупка'!R98</f>
        <v/>
      </c>
      <c r="D98" s="129" t="str">
        <f t="array" ref="D98">INDEX('Закупка'!G98:K98, $A$2)</f>
        <v/>
      </c>
      <c r="E98" s="130" t="str">
        <f>'Закупка'!F98</f>
        <v/>
      </c>
      <c r="F98" s="131" t="str">
        <f t="shared" si="1"/>
        <v/>
      </c>
      <c r="G98" s="132"/>
      <c r="H98" s="133"/>
      <c r="I98" s="145"/>
      <c r="J98" s="131"/>
      <c r="K98" s="135" t="str">
        <f>'Закупка'!T98</f>
        <v/>
      </c>
      <c r="L98" s="136" t="str">
        <f>'Закупка'!U98</f>
        <v/>
      </c>
      <c r="M98" s="137" t="str">
        <f>'Закупка'!V98</f>
        <v/>
      </c>
    </row>
    <row r="99" ht="45.0" customHeight="1">
      <c r="A99" s="126" t="str">
        <f>'Закупка'!A99</f>
        <v/>
      </c>
      <c r="B99" s="127" t="str">
        <f>'Закупка'!B99</f>
        <v/>
      </c>
      <c r="C99" s="128" t="str">
        <f>'Закупка'!R99</f>
        <v/>
      </c>
      <c r="D99" s="129" t="str">
        <f t="array" ref="D99">INDEX('Закупка'!G99:K99, $A$2)</f>
        <v/>
      </c>
      <c r="E99" s="130" t="str">
        <f>'Закупка'!F99</f>
        <v/>
      </c>
      <c r="F99" s="131" t="str">
        <f t="shared" si="1"/>
        <v/>
      </c>
      <c r="G99" s="132"/>
      <c r="H99" s="133"/>
      <c r="I99" s="145"/>
      <c r="J99" s="131"/>
      <c r="K99" s="135" t="str">
        <f>'Закупка'!T99</f>
        <v/>
      </c>
      <c r="L99" s="136" t="str">
        <f>'Закупка'!U99</f>
        <v/>
      </c>
      <c r="M99" s="137" t="str">
        <f>'Закупка'!V99</f>
        <v/>
      </c>
    </row>
    <row r="100" ht="45.0" customHeight="1">
      <c r="A100" s="126" t="str">
        <f>'Закупка'!A100</f>
        <v/>
      </c>
      <c r="B100" s="127" t="str">
        <f>'Закупка'!B100</f>
        <v/>
      </c>
      <c r="C100" s="128" t="str">
        <f>'Закупка'!R100</f>
        <v/>
      </c>
      <c r="D100" s="129" t="str">
        <f t="array" ref="D100">INDEX('Закупка'!G100:K100, $A$2)</f>
        <v/>
      </c>
      <c r="E100" s="130" t="str">
        <f>'Закупка'!F100</f>
        <v/>
      </c>
      <c r="F100" s="131" t="str">
        <f t="shared" si="1"/>
        <v/>
      </c>
      <c r="G100" s="132"/>
      <c r="H100" s="133"/>
      <c r="I100" s="145"/>
      <c r="J100" s="131"/>
      <c r="K100" s="135" t="str">
        <f>'Закупка'!T100</f>
        <v/>
      </c>
      <c r="L100" s="136" t="str">
        <f>'Закупка'!U100</f>
        <v/>
      </c>
      <c r="M100" s="137" t="str">
        <f>'Закупка'!V100</f>
        <v/>
      </c>
    </row>
    <row r="101" ht="45.0" customHeight="1">
      <c r="A101" s="126" t="str">
        <f>'Закупка'!A101</f>
        <v/>
      </c>
      <c r="B101" s="127" t="str">
        <f>'Закупка'!B101</f>
        <v/>
      </c>
      <c r="C101" s="128" t="str">
        <f>'Закупка'!R101</f>
        <v/>
      </c>
      <c r="D101" s="129" t="str">
        <f t="array" ref="D101">INDEX('Закупка'!G101:K101, $A$2)</f>
        <v/>
      </c>
      <c r="E101" s="130" t="str">
        <f>'Закупка'!F101</f>
        <v/>
      </c>
      <c r="F101" s="131" t="str">
        <f t="shared" si="1"/>
        <v/>
      </c>
      <c r="G101" s="132"/>
      <c r="H101" s="133"/>
      <c r="I101" s="145"/>
      <c r="J101" s="131"/>
      <c r="K101" s="135" t="str">
        <f>'Закупка'!T101</f>
        <v/>
      </c>
      <c r="L101" s="136" t="str">
        <f>'Закупка'!U101</f>
        <v/>
      </c>
      <c r="M101" s="137" t="str">
        <f>'Закупка'!V101</f>
        <v/>
      </c>
    </row>
    <row r="102" ht="45.0" customHeight="1">
      <c r="A102" s="126" t="str">
        <f>'Закупка'!A102</f>
        <v/>
      </c>
      <c r="B102" s="127" t="str">
        <f>'Закупка'!B102</f>
        <v/>
      </c>
      <c r="C102" s="128" t="str">
        <f>'Закупка'!R102</f>
        <v/>
      </c>
      <c r="D102" s="129" t="str">
        <f t="array" ref="D102">INDEX('Закупка'!G102:K102, $A$2)</f>
        <v/>
      </c>
      <c r="E102" s="130" t="str">
        <f>'Закупка'!F102</f>
        <v/>
      </c>
      <c r="F102" s="131" t="str">
        <f t="shared" si="1"/>
        <v/>
      </c>
      <c r="G102" s="132"/>
      <c r="H102" s="133"/>
      <c r="I102" s="145"/>
      <c r="J102" s="131"/>
      <c r="K102" s="135" t="str">
        <f>'Закупка'!T102</f>
        <v/>
      </c>
      <c r="L102" s="136" t="str">
        <f>'Закупка'!U102</f>
        <v/>
      </c>
      <c r="M102" s="137" t="str">
        <f>'Закупка'!V102</f>
        <v/>
      </c>
    </row>
    <row r="103" ht="45.0" customHeight="1">
      <c r="A103" s="126" t="str">
        <f>'Закупка'!A103</f>
        <v/>
      </c>
      <c r="B103" s="127" t="str">
        <f>'Закупка'!B103</f>
        <v/>
      </c>
      <c r="C103" s="128" t="str">
        <f>'Закупка'!R103</f>
        <v/>
      </c>
      <c r="D103" s="129" t="str">
        <f t="array" ref="D103">INDEX('Закупка'!G103:K103, $A$2)</f>
        <v/>
      </c>
      <c r="E103" s="130" t="str">
        <f>'Закупка'!F103</f>
        <v/>
      </c>
      <c r="F103" s="131" t="str">
        <f t="shared" si="1"/>
        <v/>
      </c>
      <c r="G103" s="132"/>
      <c r="H103" s="133"/>
      <c r="I103" s="145"/>
      <c r="J103" s="131"/>
      <c r="K103" s="135" t="str">
        <f>'Закупка'!T103</f>
        <v/>
      </c>
      <c r="L103" s="136" t="str">
        <f>'Закупка'!U103</f>
        <v/>
      </c>
      <c r="M103" s="137" t="str">
        <f>'Закупка'!V103</f>
        <v/>
      </c>
    </row>
    <row r="104" ht="45.0" customHeight="1">
      <c r="A104" s="126" t="str">
        <f>'Закупка'!A104</f>
        <v/>
      </c>
      <c r="B104" s="127" t="str">
        <f>'Закупка'!B104</f>
        <v/>
      </c>
      <c r="C104" s="128" t="str">
        <f>'Закупка'!R104</f>
        <v/>
      </c>
      <c r="D104" s="129" t="str">
        <f t="array" ref="D104">INDEX('Закупка'!G104:K104, $A$2)</f>
        <v/>
      </c>
      <c r="E104" s="130" t="str">
        <f>'Закупка'!F104</f>
        <v/>
      </c>
      <c r="F104" s="131" t="str">
        <f t="shared" si="1"/>
        <v/>
      </c>
      <c r="G104" s="132"/>
      <c r="H104" s="133"/>
      <c r="I104" s="145"/>
      <c r="J104" s="131"/>
      <c r="K104" s="135" t="str">
        <f>'Закупка'!T104</f>
        <v/>
      </c>
      <c r="L104" s="136" t="str">
        <f>'Закупка'!U104</f>
        <v/>
      </c>
      <c r="M104" s="137" t="str">
        <f>'Закупка'!V104</f>
        <v/>
      </c>
    </row>
    <row r="105" ht="45.0" customHeight="1">
      <c r="A105" s="126" t="str">
        <f>'Закупка'!A105</f>
        <v/>
      </c>
      <c r="B105" s="127" t="str">
        <f>'Закупка'!B105</f>
        <v/>
      </c>
      <c r="C105" s="128" t="str">
        <f>'Закупка'!R105</f>
        <v/>
      </c>
      <c r="D105" s="129" t="str">
        <f t="array" ref="D105">INDEX('Закупка'!G105:K105, $A$2)</f>
        <v/>
      </c>
      <c r="E105" s="130" t="str">
        <f>'Закупка'!F105</f>
        <v/>
      </c>
      <c r="F105" s="131" t="str">
        <f t="shared" si="1"/>
        <v/>
      </c>
      <c r="G105" s="132"/>
      <c r="H105" s="133"/>
      <c r="I105" s="145"/>
      <c r="J105" s="131"/>
      <c r="K105" s="135" t="str">
        <f>'Закупка'!T105</f>
        <v/>
      </c>
      <c r="L105" s="136" t="str">
        <f>'Закупка'!U105</f>
        <v/>
      </c>
      <c r="M105" s="137" t="str">
        <f>'Закупка'!V105</f>
        <v/>
      </c>
    </row>
    <row r="106" ht="45.0" customHeight="1">
      <c r="A106" s="126" t="str">
        <f>'Закупка'!A106</f>
        <v/>
      </c>
      <c r="B106" s="127" t="str">
        <f>'Закупка'!B106</f>
        <v/>
      </c>
      <c r="C106" s="128" t="str">
        <f>'Закупка'!R106</f>
        <v/>
      </c>
      <c r="D106" s="129" t="str">
        <f t="array" ref="D106">INDEX('Закупка'!G106:K106, $A$2)</f>
        <v/>
      </c>
      <c r="E106" s="130" t="str">
        <f>'Закупка'!F106</f>
        <v/>
      </c>
      <c r="F106" s="131" t="str">
        <f t="shared" si="1"/>
        <v/>
      </c>
      <c r="G106" s="132"/>
      <c r="H106" s="133"/>
      <c r="I106" s="145"/>
      <c r="J106" s="131"/>
      <c r="K106" s="135" t="str">
        <f>'Закупка'!T106</f>
        <v/>
      </c>
      <c r="L106" s="136" t="str">
        <f>'Закупка'!U106</f>
        <v/>
      </c>
      <c r="M106" s="137" t="str">
        <f>'Закупка'!V106</f>
        <v/>
      </c>
    </row>
    <row r="107" ht="45.0" customHeight="1">
      <c r="A107" s="126" t="str">
        <f>'Закупка'!A107</f>
        <v/>
      </c>
      <c r="B107" s="127" t="str">
        <f>'Закупка'!B107</f>
        <v/>
      </c>
      <c r="C107" s="128" t="str">
        <f>'Закупка'!R107</f>
        <v/>
      </c>
      <c r="D107" s="129" t="str">
        <f t="array" ref="D107">INDEX('Закупка'!G107:K107, $A$2)</f>
        <v/>
      </c>
      <c r="E107" s="130" t="str">
        <f>'Закупка'!F107</f>
        <v/>
      </c>
      <c r="F107" s="131" t="str">
        <f t="shared" si="1"/>
        <v/>
      </c>
      <c r="G107" s="132"/>
      <c r="H107" s="133"/>
      <c r="I107" s="145"/>
      <c r="J107" s="131"/>
      <c r="K107" s="135" t="str">
        <f>'Закупка'!T107</f>
        <v/>
      </c>
      <c r="L107" s="136" t="str">
        <f>'Закупка'!U107</f>
        <v/>
      </c>
      <c r="M107" s="137" t="str">
        <f>'Закупка'!V107</f>
        <v/>
      </c>
    </row>
    <row r="108" ht="45.0" customHeight="1">
      <c r="A108" s="126" t="str">
        <f>'Закупка'!A108</f>
        <v/>
      </c>
      <c r="B108" s="127" t="str">
        <f>'Закупка'!B108</f>
        <v/>
      </c>
      <c r="C108" s="128" t="str">
        <f>'Закупка'!R108</f>
        <v/>
      </c>
      <c r="D108" s="129" t="str">
        <f t="array" ref="D108">INDEX('Закупка'!G108:K108, $A$2)</f>
        <v/>
      </c>
      <c r="E108" s="130" t="str">
        <f>'Закупка'!F108</f>
        <v/>
      </c>
      <c r="F108" s="131" t="str">
        <f t="shared" si="1"/>
        <v/>
      </c>
      <c r="G108" s="132"/>
      <c r="H108" s="133"/>
      <c r="I108" s="145"/>
      <c r="J108" s="131"/>
      <c r="K108" s="135" t="str">
        <f>'Закупка'!T108</f>
        <v/>
      </c>
      <c r="L108" s="136" t="str">
        <f>'Закупка'!U108</f>
        <v/>
      </c>
      <c r="M108" s="137" t="str">
        <f>'Закупка'!V108</f>
        <v/>
      </c>
    </row>
    <row r="109" ht="45.0" customHeight="1">
      <c r="A109" s="126" t="str">
        <f>'Закупка'!A109</f>
        <v/>
      </c>
      <c r="B109" s="127" t="str">
        <f>'Закупка'!B109</f>
        <v/>
      </c>
      <c r="C109" s="128" t="str">
        <f>'Закупка'!R109</f>
        <v/>
      </c>
      <c r="D109" s="129" t="str">
        <f t="array" ref="D109">INDEX('Закупка'!G109:K109, $A$2)</f>
        <v/>
      </c>
      <c r="E109" s="130" t="str">
        <f>'Закупка'!F109</f>
        <v/>
      </c>
      <c r="F109" s="131" t="str">
        <f t="shared" si="1"/>
        <v/>
      </c>
      <c r="G109" s="132"/>
      <c r="H109" s="133"/>
      <c r="I109" s="145"/>
      <c r="J109" s="131"/>
      <c r="K109" s="135" t="str">
        <f>'Закупка'!T109</f>
        <v/>
      </c>
      <c r="L109" s="136" t="str">
        <f>'Закупка'!U109</f>
        <v/>
      </c>
      <c r="M109" s="137" t="str">
        <f>'Закупка'!V109</f>
        <v/>
      </c>
    </row>
    <row r="110" ht="45.0" customHeight="1">
      <c r="A110" s="126" t="str">
        <f>'Закупка'!A110</f>
        <v/>
      </c>
      <c r="B110" s="127" t="str">
        <f>'Закупка'!B110</f>
        <v/>
      </c>
      <c r="C110" s="128" t="str">
        <f>'Закупка'!R110</f>
        <v/>
      </c>
      <c r="D110" s="129" t="str">
        <f t="array" ref="D110">INDEX('Закупка'!G110:K110, $A$2)</f>
        <v/>
      </c>
      <c r="E110" s="130" t="str">
        <f>'Закупка'!F110</f>
        <v/>
      </c>
      <c r="F110" s="131" t="str">
        <f t="shared" si="1"/>
        <v/>
      </c>
      <c r="G110" s="132"/>
      <c r="H110" s="133"/>
      <c r="I110" s="145"/>
      <c r="J110" s="131"/>
      <c r="K110" s="135" t="str">
        <f>'Закупка'!T110</f>
        <v/>
      </c>
      <c r="L110" s="136" t="str">
        <f>'Закупка'!U110</f>
        <v/>
      </c>
      <c r="M110" s="137" t="str">
        <f>'Закупка'!V110</f>
        <v/>
      </c>
    </row>
    <row r="111" ht="45.0" customHeight="1">
      <c r="A111" s="126" t="str">
        <f>'Закупка'!A111</f>
        <v/>
      </c>
      <c r="B111" s="127" t="str">
        <f>'Закупка'!B111</f>
        <v/>
      </c>
      <c r="C111" s="128" t="str">
        <f>'Закупка'!R111</f>
        <v/>
      </c>
      <c r="D111" s="129" t="str">
        <f t="array" ref="D111">INDEX('Закупка'!G111:K111, $A$2)</f>
        <v/>
      </c>
      <c r="E111" s="130" t="str">
        <f>'Закупка'!F111</f>
        <v/>
      </c>
      <c r="F111" s="131" t="str">
        <f t="shared" si="1"/>
        <v/>
      </c>
      <c r="G111" s="132"/>
      <c r="H111" s="133"/>
      <c r="I111" s="145"/>
      <c r="J111" s="131"/>
      <c r="K111" s="135" t="str">
        <f>'Закупка'!T111</f>
        <v/>
      </c>
      <c r="L111" s="136" t="str">
        <f>'Закупка'!U111</f>
        <v/>
      </c>
      <c r="M111" s="137" t="str">
        <f>'Закупка'!V111</f>
        <v/>
      </c>
    </row>
    <row r="112" ht="45.0" customHeight="1">
      <c r="A112" s="126" t="str">
        <f>'Закупка'!A112</f>
        <v/>
      </c>
      <c r="B112" s="127" t="str">
        <f>'Закупка'!B112</f>
        <v/>
      </c>
      <c r="C112" s="128" t="str">
        <f>'Закупка'!R112</f>
        <v/>
      </c>
      <c r="D112" s="129" t="str">
        <f t="array" ref="D112">INDEX('Закупка'!G112:K112, $A$2)</f>
        <v/>
      </c>
      <c r="E112" s="130" t="str">
        <f>'Закупка'!F112</f>
        <v/>
      </c>
      <c r="F112" s="131" t="str">
        <f t="shared" si="1"/>
        <v/>
      </c>
      <c r="G112" s="132"/>
      <c r="H112" s="133"/>
      <c r="I112" s="145"/>
      <c r="J112" s="131"/>
      <c r="K112" s="135" t="str">
        <f>'Закупка'!T112</f>
        <v/>
      </c>
      <c r="L112" s="136" t="str">
        <f>'Закупка'!U112</f>
        <v/>
      </c>
      <c r="M112" s="137" t="str">
        <f>'Закупка'!V112</f>
        <v/>
      </c>
    </row>
    <row r="113" ht="45.0" customHeight="1">
      <c r="A113" s="126" t="str">
        <f>'Закупка'!A113</f>
        <v/>
      </c>
      <c r="B113" s="127" t="str">
        <f>'Закупка'!B113</f>
        <v/>
      </c>
      <c r="C113" s="128" t="str">
        <f>'Закупка'!R113</f>
        <v/>
      </c>
      <c r="D113" s="129" t="str">
        <f t="array" ref="D113">INDEX('Закупка'!G113:K113, $A$2)</f>
        <v/>
      </c>
      <c r="E113" s="130" t="str">
        <f>'Закупка'!F113</f>
        <v/>
      </c>
      <c r="F113" s="131" t="str">
        <f t="shared" si="1"/>
        <v/>
      </c>
      <c r="G113" s="132"/>
      <c r="H113" s="133"/>
      <c r="I113" s="145"/>
      <c r="J113" s="131"/>
      <c r="K113" s="135" t="str">
        <f>'Закупка'!T113</f>
        <v/>
      </c>
      <c r="L113" s="136" t="str">
        <f>'Закупка'!U113</f>
        <v/>
      </c>
      <c r="M113" s="137" t="str">
        <f>'Закупка'!V113</f>
        <v/>
      </c>
    </row>
    <row r="114" ht="45.0" customHeight="1">
      <c r="A114" s="126" t="str">
        <f>'Закупка'!A114</f>
        <v/>
      </c>
      <c r="B114" s="127" t="str">
        <f>'Закупка'!B114</f>
        <v/>
      </c>
      <c r="C114" s="128" t="str">
        <f>'Закупка'!R114</f>
        <v/>
      </c>
      <c r="D114" s="129" t="str">
        <f t="array" ref="D114">INDEX('Закупка'!G114:K114, $A$2)</f>
        <v/>
      </c>
      <c r="E114" s="130" t="str">
        <f>'Закупка'!F114</f>
        <v/>
      </c>
      <c r="F114" s="131" t="str">
        <f t="shared" si="1"/>
        <v/>
      </c>
      <c r="G114" s="132"/>
      <c r="H114" s="133"/>
      <c r="I114" s="145"/>
      <c r="J114" s="131" t="str">
        <f t="shared" ref="J114:J199" si="2">IF(H114&lt;&gt;"", H114-F114,)</f>
        <v/>
      </c>
      <c r="K114" s="135" t="str">
        <f>'Закупка'!T114</f>
        <v/>
      </c>
      <c r="L114" s="136" t="str">
        <f>'Закупка'!U114</f>
        <v/>
      </c>
      <c r="M114" s="137" t="str">
        <f>'Закупка'!V114</f>
        <v/>
      </c>
    </row>
    <row r="115" ht="45.0" customHeight="1">
      <c r="A115" s="126" t="str">
        <f>'Закупка'!A115</f>
        <v/>
      </c>
      <c r="B115" s="127" t="str">
        <f>'Закупка'!B115</f>
        <v/>
      </c>
      <c r="C115" s="128" t="str">
        <f>'Закупка'!R115</f>
        <v/>
      </c>
      <c r="D115" s="129" t="str">
        <f t="array" ref="D115">INDEX('Закупка'!G115:K115, $A$2)</f>
        <v/>
      </c>
      <c r="E115" s="130" t="str">
        <f>'Закупка'!F115</f>
        <v/>
      </c>
      <c r="F115" s="131" t="str">
        <f t="shared" si="1"/>
        <v/>
      </c>
      <c r="G115" s="132"/>
      <c r="H115" s="133"/>
      <c r="I115" s="145"/>
      <c r="J115" s="131" t="str">
        <f t="shared" si="2"/>
        <v/>
      </c>
      <c r="K115" s="135" t="str">
        <f>'Закупка'!T115</f>
        <v/>
      </c>
      <c r="L115" s="136" t="str">
        <f>'Закупка'!U115</f>
        <v/>
      </c>
      <c r="M115" s="137" t="str">
        <f>'Закупка'!V115</f>
        <v/>
      </c>
    </row>
    <row r="116" ht="45.0" customHeight="1">
      <c r="A116" s="126" t="str">
        <f>'Закупка'!A116</f>
        <v/>
      </c>
      <c r="B116" s="127" t="str">
        <f>'Закупка'!B116</f>
        <v/>
      </c>
      <c r="C116" s="128" t="str">
        <f>'Закупка'!R116</f>
        <v/>
      </c>
      <c r="D116" s="129" t="str">
        <f t="array" ref="D116">INDEX('Закупка'!G116:K116, $A$2)</f>
        <v/>
      </c>
      <c r="E116" s="130" t="str">
        <f>'Закупка'!F116</f>
        <v/>
      </c>
      <c r="F116" s="131" t="str">
        <f t="shared" si="1"/>
        <v/>
      </c>
      <c r="G116" s="132"/>
      <c r="H116" s="133"/>
      <c r="I116" s="145"/>
      <c r="J116" s="131" t="str">
        <f t="shared" si="2"/>
        <v/>
      </c>
      <c r="K116" s="135" t="str">
        <f>'Закупка'!T116</f>
        <v/>
      </c>
      <c r="L116" s="136" t="str">
        <f>'Закупка'!U116</f>
        <v/>
      </c>
      <c r="M116" s="137" t="str">
        <f>'Закупка'!V116</f>
        <v/>
      </c>
    </row>
    <row r="117" ht="45.0" customHeight="1">
      <c r="A117" s="126" t="str">
        <f>'Закупка'!A117</f>
        <v/>
      </c>
      <c r="B117" s="127" t="str">
        <f>'Закупка'!B117</f>
        <v/>
      </c>
      <c r="C117" s="128" t="str">
        <f>'Закупка'!R117</f>
        <v/>
      </c>
      <c r="D117" s="129" t="str">
        <f t="array" ref="D117">INDEX('Закупка'!G117:K117, $A$2)</f>
        <v/>
      </c>
      <c r="E117" s="130" t="str">
        <f>'Закупка'!F117</f>
        <v/>
      </c>
      <c r="F117" s="131" t="str">
        <f t="shared" si="1"/>
        <v/>
      </c>
      <c r="G117" s="132"/>
      <c r="H117" s="133"/>
      <c r="I117" s="145"/>
      <c r="J117" s="131" t="str">
        <f t="shared" si="2"/>
        <v/>
      </c>
      <c r="K117" s="135" t="str">
        <f>'Закупка'!T117</f>
        <v/>
      </c>
      <c r="L117" s="136" t="str">
        <f>'Закупка'!U117</f>
        <v/>
      </c>
      <c r="M117" s="137" t="str">
        <f>'Закупка'!V117</f>
        <v/>
      </c>
    </row>
    <row r="118" ht="45.0" customHeight="1">
      <c r="A118" s="126" t="str">
        <f>'Закупка'!A118</f>
        <v/>
      </c>
      <c r="B118" s="127" t="str">
        <f>'Закупка'!B118</f>
        <v/>
      </c>
      <c r="C118" s="128" t="str">
        <f>'Закупка'!R118</f>
        <v/>
      </c>
      <c r="D118" s="129" t="str">
        <f t="array" ref="D118">INDEX('Закупка'!G118:K118, $A$2)</f>
        <v/>
      </c>
      <c r="E118" s="130" t="str">
        <f>'Закупка'!F118</f>
        <v/>
      </c>
      <c r="F118" s="131" t="str">
        <f t="shared" si="1"/>
        <v/>
      </c>
      <c r="G118" s="132"/>
      <c r="H118" s="133"/>
      <c r="I118" s="145"/>
      <c r="J118" s="131" t="str">
        <f t="shared" si="2"/>
        <v/>
      </c>
      <c r="K118" s="135" t="str">
        <f>'Закупка'!T118</f>
        <v/>
      </c>
      <c r="L118" s="136" t="str">
        <f>'Закупка'!U118</f>
        <v/>
      </c>
      <c r="M118" s="137" t="str">
        <f>'Закупка'!V118</f>
        <v/>
      </c>
    </row>
    <row r="119" ht="45.0" customHeight="1">
      <c r="A119" s="126" t="str">
        <f>'Закупка'!A119</f>
        <v/>
      </c>
      <c r="B119" s="127" t="str">
        <f>'Закупка'!B119</f>
        <v/>
      </c>
      <c r="C119" s="128" t="str">
        <f>'Закупка'!R119</f>
        <v/>
      </c>
      <c r="D119" s="129" t="str">
        <f t="array" ref="D119">INDEX('Закупка'!G119:K119, $A$2)</f>
        <v/>
      </c>
      <c r="E119" s="130" t="str">
        <f>'Закупка'!F119</f>
        <v/>
      </c>
      <c r="F119" s="131" t="str">
        <f t="shared" si="1"/>
        <v/>
      </c>
      <c r="G119" s="132"/>
      <c r="H119" s="133"/>
      <c r="I119" s="145"/>
      <c r="J119" s="131" t="str">
        <f t="shared" si="2"/>
        <v/>
      </c>
      <c r="K119" s="135" t="str">
        <f>'Закупка'!T119</f>
        <v/>
      </c>
      <c r="L119" s="136" t="str">
        <f>'Закупка'!U119</f>
        <v/>
      </c>
      <c r="M119" s="137" t="str">
        <f>'Закупка'!V119</f>
        <v/>
      </c>
    </row>
    <row r="120" ht="45.0" customHeight="1">
      <c r="A120" s="126" t="str">
        <f>'Закупка'!A120</f>
        <v/>
      </c>
      <c r="B120" s="127" t="str">
        <f>'Закупка'!B120</f>
        <v/>
      </c>
      <c r="C120" s="128" t="str">
        <f>'Закупка'!R120</f>
        <v/>
      </c>
      <c r="D120" s="129" t="str">
        <f t="array" ref="D120">INDEX('Закупка'!G120:K120, $A$2)</f>
        <v/>
      </c>
      <c r="E120" s="130" t="str">
        <f>'Закупка'!F120</f>
        <v/>
      </c>
      <c r="F120" s="131" t="str">
        <f t="shared" si="1"/>
        <v/>
      </c>
      <c r="G120" s="132"/>
      <c r="H120" s="133"/>
      <c r="I120" s="145"/>
      <c r="J120" s="131" t="str">
        <f t="shared" si="2"/>
        <v/>
      </c>
      <c r="K120" s="135" t="str">
        <f>'Закупка'!T120</f>
        <v/>
      </c>
      <c r="L120" s="136" t="str">
        <f>'Закупка'!U120</f>
        <v/>
      </c>
      <c r="M120" s="137" t="str">
        <f>'Закупка'!V120</f>
        <v/>
      </c>
    </row>
    <row r="121" ht="45.0" customHeight="1">
      <c r="A121" s="126" t="str">
        <f>'Закупка'!A121</f>
        <v/>
      </c>
      <c r="B121" s="127" t="str">
        <f>'Закупка'!B121</f>
        <v/>
      </c>
      <c r="C121" s="128" t="str">
        <f>'Закупка'!R121</f>
        <v/>
      </c>
      <c r="D121" s="129" t="str">
        <f t="array" ref="D121">INDEX('Закупка'!G121:K121, $A$2)</f>
        <v/>
      </c>
      <c r="E121" s="130" t="str">
        <f>'Закупка'!F121</f>
        <v/>
      </c>
      <c r="F121" s="131" t="str">
        <f t="shared" si="1"/>
        <v/>
      </c>
      <c r="G121" s="132"/>
      <c r="H121" s="133"/>
      <c r="I121" s="145"/>
      <c r="J121" s="131" t="str">
        <f t="shared" si="2"/>
        <v/>
      </c>
      <c r="K121" s="135" t="str">
        <f>'Закупка'!T121</f>
        <v/>
      </c>
      <c r="L121" s="136" t="str">
        <f>'Закупка'!U121</f>
        <v/>
      </c>
      <c r="M121" s="137" t="str">
        <f>'Закупка'!V121</f>
        <v/>
      </c>
    </row>
    <row r="122" ht="45.0" customHeight="1">
      <c r="A122" s="126" t="str">
        <f>'Закупка'!A122</f>
        <v/>
      </c>
      <c r="B122" s="127" t="str">
        <f>'Закупка'!B122</f>
        <v/>
      </c>
      <c r="C122" s="128" t="str">
        <f>'Закупка'!R122</f>
        <v/>
      </c>
      <c r="D122" s="129" t="str">
        <f t="array" ref="D122">INDEX('Закупка'!G122:K122, $A$2)</f>
        <v/>
      </c>
      <c r="E122" s="130" t="str">
        <f>'Закупка'!F122</f>
        <v/>
      </c>
      <c r="F122" s="131" t="str">
        <f t="shared" si="1"/>
        <v/>
      </c>
      <c r="G122" s="132"/>
      <c r="H122" s="133"/>
      <c r="I122" s="145"/>
      <c r="J122" s="131" t="str">
        <f t="shared" si="2"/>
        <v/>
      </c>
      <c r="K122" s="135" t="str">
        <f>'Закупка'!T122</f>
        <v/>
      </c>
      <c r="L122" s="136" t="str">
        <f>'Закупка'!U122</f>
        <v/>
      </c>
      <c r="M122" s="137" t="str">
        <f>'Закупка'!V122</f>
        <v/>
      </c>
    </row>
    <row r="123" ht="45.0" customHeight="1">
      <c r="A123" s="126" t="str">
        <f>'Закупка'!A123</f>
        <v/>
      </c>
      <c r="B123" s="127" t="str">
        <f>'Закупка'!B123</f>
        <v/>
      </c>
      <c r="C123" s="128" t="str">
        <f>'Закупка'!R123</f>
        <v/>
      </c>
      <c r="D123" s="129" t="str">
        <f t="array" ref="D123">INDEX('Закупка'!G123:K123, $A$2)</f>
        <v/>
      </c>
      <c r="E123" s="130" t="str">
        <f>'Закупка'!F123</f>
        <v/>
      </c>
      <c r="F123" s="131" t="str">
        <f t="shared" si="1"/>
        <v/>
      </c>
      <c r="G123" s="132"/>
      <c r="H123" s="133"/>
      <c r="I123" s="145"/>
      <c r="J123" s="131" t="str">
        <f t="shared" si="2"/>
        <v/>
      </c>
      <c r="K123" s="135" t="str">
        <f>'Закупка'!T123</f>
        <v/>
      </c>
      <c r="L123" s="136" t="str">
        <f>'Закупка'!U123</f>
        <v/>
      </c>
      <c r="M123" s="137" t="str">
        <f>'Закупка'!V123</f>
        <v/>
      </c>
    </row>
    <row r="124" ht="45.0" customHeight="1">
      <c r="A124" s="126" t="str">
        <f>'Закупка'!A124</f>
        <v/>
      </c>
      <c r="B124" s="127" t="str">
        <f>'Закупка'!B124</f>
        <v/>
      </c>
      <c r="C124" s="128" t="str">
        <f>'Закупка'!R124</f>
        <v/>
      </c>
      <c r="D124" s="129" t="str">
        <f t="array" ref="D124">INDEX('Закупка'!G124:K124, $A$2)</f>
        <v/>
      </c>
      <c r="E124" s="130" t="str">
        <f>'Закупка'!F124</f>
        <v/>
      </c>
      <c r="F124" s="131" t="str">
        <f t="shared" si="1"/>
        <v/>
      </c>
      <c r="G124" s="132"/>
      <c r="H124" s="133"/>
      <c r="I124" s="145"/>
      <c r="J124" s="131" t="str">
        <f t="shared" si="2"/>
        <v/>
      </c>
      <c r="K124" s="135" t="str">
        <f>'Закупка'!T124</f>
        <v/>
      </c>
      <c r="L124" s="136" t="str">
        <f>'Закупка'!U124</f>
        <v/>
      </c>
      <c r="M124" s="137" t="str">
        <f>'Закупка'!V124</f>
        <v/>
      </c>
    </row>
    <row r="125" ht="45.0" customHeight="1">
      <c r="A125" s="126" t="str">
        <f>'Закупка'!A125</f>
        <v/>
      </c>
      <c r="B125" s="127" t="str">
        <f>'Закупка'!B125</f>
        <v/>
      </c>
      <c r="C125" s="128" t="str">
        <f>'Закупка'!R125</f>
        <v/>
      </c>
      <c r="D125" s="129" t="str">
        <f t="array" ref="D125">INDEX('Закупка'!G125:K125, $A$2)</f>
        <v/>
      </c>
      <c r="E125" s="130" t="str">
        <f>'Закупка'!F125</f>
        <v/>
      </c>
      <c r="F125" s="131" t="str">
        <f t="shared" si="1"/>
        <v/>
      </c>
      <c r="G125" s="132"/>
      <c r="H125" s="133"/>
      <c r="I125" s="145"/>
      <c r="J125" s="131" t="str">
        <f t="shared" si="2"/>
        <v/>
      </c>
      <c r="K125" s="135" t="str">
        <f>'Закупка'!T125</f>
        <v/>
      </c>
      <c r="L125" s="136" t="str">
        <f>'Закупка'!U125</f>
        <v/>
      </c>
      <c r="M125" s="137" t="str">
        <f>'Закупка'!V125</f>
        <v/>
      </c>
    </row>
    <row r="126" ht="45.0" customHeight="1">
      <c r="A126" s="126" t="str">
        <f>'Закупка'!A126</f>
        <v/>
      </c>
      <c r="B126" s="127" t="str">
        <f>'Закупка'!B126</f>
        <v/>
      </c>
      <c r="C126" s="128" t="str">
        <f>'Закупка'!R126</f>
        <v/>
      </c>
      <c r="D126" s="129" t="str">
        <f t="array" ref="D126">INDEX('Закупка'!G126:K126, $A$2)</f>
        <v/>
      </c>
      <c r="E126" s="130" t="str">
        <f>'Закупка'!F126</f>
        <v/>
      </c>
      <c r="F126" s="131" t="str">
        <f t="shared" si="1"/>
        <v/>
      </c>
      <c r="G126" s="132"/>
      <c r="H126" s="133"/>
      <c r="I126" s="145"/>
      <c r="J126" s="131" t="str">
        <f t="shared" si="2"/>
        <v/>
      </c>
      <c r="K126" s="135" t="str">
        <f>'Закупка'!T126</f>
        <v/>
      </c>
      <c r="L126" s="136" t="str">
        <f>'Закупка'!U126</f>
        <v/>
      </c>
      <c r="M126" s="137" t="str">
        <f>'Закупка'!V126</f>
        <v/>
      </c>
    </row>
    <row r="127" ht="45.0" customHeight="1">
      <c r="A127" s="126" t="str">
        <f>'Закупка'!A127</f>
        <v/>
      </c>
      <c r="B127" s="127" t="str">
        <f>'Закупка'!B127</f>
        <v/>
      </c>
      <c r="C127" s="128" t="str">
        <f>'Закупка'!R127</f>
        <v/>
      </c>
      <c r="D127" s="129" t="str">
        <f t="array" ref="D127">INDEX('Закупка'!G127:K127, $A$2)</f>
        <v/>
      </c>
      <c r="E127" s="130" t="str">
        <f>'Закупка'!F127</f>
        <v/>
      </c>
      <c r="F127" s="131" t="str">
        <f t="shared" si="1"/>
        <v/>
      </c>
      <c r="G127" s="132"/>
      <c r="H127" s="133"/>
      <c r="I127" s="145"/>
      <c r="J127" s="131" t="str">
        <f t="shared" si="2"/>
        <v/>
      </c>
      <c r="K127" s="135" t="str">
        <f>'Закупка'!T127</f>
        <v/>
      </c>
      <c r="L127" s="136" t="str">
        <f>'Закупка'!U127</f>
        <v/>
      </c>
      <c r="M127" s="137" t="str">
        <f>'Закупка'!V127</f>
        <v/>
      </c>
    </row>
    <row r="128" ht="45.0" customHeight="1">
      <c r="A128" s="126" t="str">
        <f>'Закупка'!A128</f>
        <v/>
      </c>
      <c r="B128" s="127" t="str">
        <f>'Закупка'!B128</f>
        <v/>
      </c>
      <c r="C128" s="128" t="str">
        <f>'Закупка'!R128</f>
        <v/>
      </c>
      <c r="D128" s="129" t="str">
        <f t="array" ref="D128">INDEX('Закупка'!G128:K128, $A$2)</f>
        <v/>
      </c>
      <c r="E128" s="130" t="str">
        <f>'Закупка'!F128</f>
        <v/>
      </c>
      <c r="F128" s="131" t="str">
        <f t="shared" si="1"/>
        <v/>
      </c>
      <c r="G128" s="132"/>
      <c r="H128" s="133"/>
      <c r="I128" s="145"/>
      <c r="J128" s="131" t="str">
        <f t="shared" si="2"/>
        <v/>
      </c>
      <c r="K128" s="135" t="str">
        <f>'Закупка'!T128</f>
        <v/>
      </c>
      <c r="L128" s="136" t="str">
        <f>'Закупка'!U128</f>
        <v/>
      </c>
      <c r="M128" s="137" t="str">
        <f>'Закупка'!V128</f>
        <v/>
      </c>
    </row>
    <row r="129" ht="45.0" customHeight="1">
      <c r="A129" s="126" t="str">
        <f>'Закупка'!A129</f>
        <v/>
      </c>
      <c r="B129" s="127" t="str">
        <f>'Закупка'!B129</f>
        <v/>
      </c>
      <c r="C129" s="128" t="str">
        <f>'Закупка'!R129</f>
        <v/>
      </c>
      <c r="D129" s="129" t="str">
        <f t="array" ref="D129">INDEX('Закупка'!G129:K129, $A$2)</f>
        <v/>
      </c>
      <c r="E129" s="130" t="str">
        <f>'Закупка'!F129</f>
        <v/>
      </c>
      <c r="F129" s="131" t="str">
        <f t="shared" si="1"/>
        <v/>
      </c>
      <c r="G129" s="132"/>
      <c r="H129" s="133"/>
      <c r="I129" s="145"/>
      <c r="J129" s="131" t="str">
        <f t="shared" si="2"/>
        <v/>
      </c>
      <c r="K129" s="135" t="str">
        <f>'Закупка'!T129</f>
        <v/>
      </c>
      <c r="L129" s="136" t="str">
        <f>'Закупка'!U129</f>
        <v/>
      </c>
      <c r="M129" s="137" t="str">
        <f>'Закупка'!V129</f>
        <v/>
      </c>
    </row>
    <row r="130" ht="45.0" customHeight="1">
      <c r="A130" s="126" t="str">
        <f>'Закупка'!A130</f>
        <v/>
      </c>
      <c r="B130" s="127" t="str">
        <f>'Закупка'!B130</f>
        <v/>
      </c>
      <c r="C130" s="128" t="str">
        <f>'Закупка'!R130</f>
        <v/>
      </c>
      <c r="D130" s="129" t="str">
        <f t="array" ref="D130">INDEX('Закупка'!G130:K130, $A$2)</f>
        <v/>
      </c>
      <c r="E130" s="130" t="str">
        <f>'Закупка'!F130</f>
        <v/>
      </c>
      <c r="F130" s="131" t="str">
        <f t="shared" si="1"/>
        <v/>
      </c>
      <c r="G130" s="132"/>
      <c r="H130" s="133"/>
      <c r="I130" s="145"/>
      <c r="J130" s="131" t="str">
        <f t="shared" si="2"/>
        <v/>
      </c>
      <c r="K130" s="135" t="str">
        <f>'Закупка'!T130</f>
        <v/>
      </c>
      <c r="L130" s="136" t="str">
        <f>'Закупка'!U130</f>
        <v/>
      </c>
      <c r="M130" s="137" t="str">
        <f>'Закупка'!V130</f>
        <v/>
      </c>
    </row>
    <row r="131" ht="45.0" customHeight="1">
      <c r="A131" s="126" t="str">
        <f>'Закупка'!A131</f>
        <v/>
      </c>
      <c r="B131" s="127" t="str">
        <f>'Закупка'!B131</f>
        <v/>
      </c>
      <c r="C131" s="128" t="str">
        <f>'Закупка'!R131</f>
        <v/>
      </c>
      <c r="D131" s="129" t="str">
        <f t="array" ref="D131">INDEX('Закупка'!G131:K131, $A$2)</f>
        <v/>
      </c>
      <c r="E131" s="130" t="str">
        <f>'Закупка'!F131</f>
        <v/>
      </c>
      <c r="F131" s="131" t="str">
        <f t="shared" si="1"/>
        <v/>
      </c>
      <c r="G131" s="132"/>
      <c r="H131" s="133"/>
      <c r="I131" s="145"/>
      <c r="J131" s="131" t="str">
        <f t="shared" si="2"/>
        <v/>
      </c>
      <c r="K131" s="135" t="str">
        <f>'Закупка'!T131</f>
        <v/>
      </c>
      <c r="L131" s="136" t="str">
        <f>'Закупка'!U131</f>
        <v/>
      </c>
      <c r="M131" s="137" t="str">
        <f>'Закупка'!V131</f>
        <v/>
      </c>
    </row>
    <row r="132" ht="45.0" customHeight="1">
      <c r="A132" s="126" t="str">
        <f>'Закупка'!A132</f>
        <v/>
      </c>
      <c r="B132" s="127" t="str">
        <f>'Закупка'!B132</f>
        <v/>
      </c>
      <c r="C132" s="128" t="str">
        <f>'Закупка'!R132</f>
        <v/>
      </c>
      <c r="D132" s="129" t="str">
        <f t="array" ref="D132">INDEX('Закупка'!G132:K132, $A$2)</f>
        <v/>
      </c>
      <c r="E132" s="130" t="str">
        <f>'Закупка'!F132</f>
        <v/>
      </c>
      <c r="F132" s="131" t="str">
        <f t="shared" si="1"/>
        <v/>
      </c>
      <c r="G132" s="132"/>
      <c r="H132" s="133"/>
      <c r="I132" s="145"/>
      <c r="J132" s="131" t="str">
        <f t="shared" si="2"/>
        <v/>
      </c>
      <c r="K132" s="135" t="str">
        <f>'Закупка'!T132</f>
        <v/>
      </c>
      <c r="L132" s="136" t="str">
        <f>'Закупка'!U132</f>
        <v/>
      </c>
      <c r="M132" s="137" t="str">
        <f>'Закупка'!V132</f>
        <v/>
      </c>
    </row>
    <row r="133" ht="45.0" customHeight="1">
      <c r="A133" s="126" t="str">
        <f>'Закупка'!A133</f>
        <v/>
      </c>
      <c r="B133" s="127" t="str">
        <f>'Закупка'!B133</f>
        <v/>
      </c>
      <c r="C133" s="128" t="str">
        <f>'Закупка'!R133</f>
        <v/>
      </c>
      <c r="D133" s="129" t="str">
        <f t="array" ref="D133">INDEX('Закупка'!G133:K133, $A$2)</f>
        <v/>
      </c>
      <c r="E133" s="130" t="str">
        <f>'Закупка'!F133</f>
        <v/>
      </c>
      <c r="F133" s="131" t="str">
        <f t="shared" si="1"/>
        <v/>
      </c>
      <c r="G133" s="132"/>
      <c r="H133" s="133"/>
      <c r="I133" s="145"/>
      <c r="J133" s="131" t="str">
        <f t="shared" si="2"/>
        <v/>
      </c>
      <c r="K133" s="135" t="str">
        <f>'Закупка'!T133</f>
        <v/>
      </c>
      <c r="L133" s="136" t="str">
        <f>'Закупка'!U133</f>
        <v/>
      </c>
      <c r="M133" s="137" t="str">
        <f>'Закупка'!V133</f>
        <v/>
      </c>
    </row>
    <row r="134" ht="45.0" customHeight="1">
      <c r="A134" s="126" t="str">
        <f>'Закупка'!A134</f>
        <v/>
      </c>
      <c r="B134" s="127" t="str">
        <f>'Закупка'!B134</f>
        <v/>
      </c>
      <c r="C134" s="128" t="str">
        <f>'Закупка'!R134</f>
        <v/>
      </c>
      <c r="D134" s="129" t="str">
        <f t="array" ref="D134">INDEX('Закупка'!G134:K134, $A$2)</f>
        <v/>
      </c>
      <c r="E134" s="130" t="str">
        <f>'Закупка'!F134</f>
        <v/>
      </c>
      <c r="F134" s="131" t="str">
        <f t="shared" si="1"/>
        <v/>
      </c>
      <c r="G134" s="132"/>
      <c r="H134" s="133"/>
      <c r="I134" s="145"/>
      <c r="J134" s="131" t="str">
        <f t="shared" si="2"/>
        <v/>
      </c>
      <c r="K134" s="135" t="str">
        <f>'Закупка'!T134</f>
        <v/>
      </c>
      <c r="L134" s="136" t="str">
        <f>'Закупка'!U134</f>
        <v/>
      </c>
      <c r="M134" s="137" t="str">
        <f>'Закупка'!V134</f>
        <v/>
      </c>
    </row>
    <row r="135" ht="45.0" customHeight="1">
      <c r="A135" s="126" t="str">
        <f>'Закупка'!A135</f>
        <v/>
      </c>
      <c r="B135" s="127" t="str">
        <f>'Закупка'!B135</f>
        <v/>
      </c>
      <c r="C135" s="128" t="str">
        <f>'Закупка'!R135</f>
        <v/>
      </c>
      <c r="D135" s="129" t="str">
        <f t="array" ref="D135">INDEX('Закупка'!G135:K135, $A$2)</f>
        <v/>
      </c>
      <c r="E135" s="130" t="str">
        <f>'Закупка'!F135</f>
        <v/>
      </c>
      <c r="F135" s="131" t="str">
        <f t="shared" si="1"/>
        <v/>
      </c>
      <c r="G135" s="132"/>
      <c r="H135" s="133"/>
      <c r="I135" s="145"/>
      <c r="J135" s="131" t="str">
        <f t="shared" si="2"/>
        <v/>
      </c>
      <c r="K135" s="135" t="str">
        <f>'Закупка'!T135</f>
        <v/>
      </c>
      <c r="L135" s="136" t="str">
        <f>'Закупка'!U135</f>
        <v/>
      </c>
      <c r="M135" s="137" t="str">
        <f>'Закупка'!V135</f>
        <v/>
      </c>
    </row>
    <row r="136" ht="45.0" customHeight="1">
      <c r="A136" s="126" t="str">
        <f>'Закупка'!A136</f>
        <v/>
      </c>
      <c r="B136" s="127" t="str">
        <f>'Закупка'!B136</f>
        <v/>
      </c>
      <c r="C136" s="128" t="str">
        <f>'Закупка'!R136</f>
        <v/>
      </c>
      <c r="D136" s="129" t="str">
        <f t="array" ref="D136">INDEX('Закупка'!G136:K136, $A$2)</f>
        <v/>
      </c>
      <c r="E136" s="130" t="str">
        <f>'Закупка'!F136</f>
        <v/>
      </c>
      <c r="F136" s="131" t="str">
        <f t="shared" si="1"/>
        <v/>
      </c>
      <c r="G136" s="132"/>
      <c r="H136" s="133"/>
      <c r="I136" s="145"/>
      <c r="J136" s="131" t="str">
        <f t="shared" si="2"/>
        <v/>
      </c>
      <c r="K136" s="135" t="str">
        <f>'Закупка'!T136</f>
        <v/>
      </c>
      <c r="L136" s="136" t="str">
        <f>'Закупка'!U136</f>
        <v/>
      </c>
      <c r="M136" s="137" t="str">
        <f>'Закупка'!V136</f>
        <v/>
      </c>
    </row>
    <row r="137" ht="45.0" customHeight="1">
      <c r="A137" s="126" t="str">
        <f>'Закупка'!A137</f>
        <v/>
      </c>
      <c r="B137" s="127" t="str">
        <f>'Закупка'!B137</f>
        <v/>
      </c>
      <c r="C137" s="128" t="str">
        <f>'Закупка'!R137</f>
        <v/>
      </c>
      <c r="D137" s="129" t="str">
        <f t="array" ref="D137">INDEX('Закупка'!G137:K137, $A$2)</f>
        <v/>
      </c>
      <c r="E137" s="130" t="str">
        <f>'Закупка'!F137</f>
        <v/>
      </c>
      <c r="F137" s="131" t="str">
        <f t="shared" si="1"/>
        <v/>
      </c>
      <c r="G137" s="132"/>
      <c r="H137" s="133"/>
      <c r="I137" s="145"/>
      <c r="J137" s="131" t="str">
        <f t="shared" si="2"/>
        <v/>
      </c>
      <c r="K137" s="135" t="str">
        <f>'Закупка'!T137</f>
        <v/>
      </c>
      <c r="L137" s="136" t="str">
        <f>'Закупка'!U137</f>
        <v/>
      </c>
      <c r="M137" s="137" t="str">
        <f>'Закупка'!V137</f>
        <v/>
      </c>
    </row>
    <row r="138" ht="45.0" customHeight="1">
      <c r="A138" s="126" t="str">
        <f>'Закупка'!A138</f>
        <v/>
      </c>
      <c r="B138" s="127" t="str">
        <f>'Закупка'!B138</f>
        <v/>
      </c>
      <c r="C138" s="128" t="str">
        <f>'Закупка'!R138</f>
        <v/>
      </c>
      <c r="D138" s="129" t="str">
        <f t="array" ref="D138">INDEX('Закупка'!G138:K138, $A$2)</f>
        <v/>
      </c>
      <c r="E138" s="130" t="str">
        <f>'Закупка'!F138</f>
        <v/>
      </c>
      <c r="F138" s="131" t="str">
        <f t="shared" si="1"/>
        <v/>
      </c>
      <c r="G138" s="132"/>
      <c r="H138" s="133"/>
      <c r="I138" s="145"/>
      <c r="J138" s="131" t="str">
        <f t="shared" si="2"/>
        <v/>
      </c>
      <c r="K138" s="135" t="str">
        <f>'Закупка'!T138</f>
        <v/>
      </c>
      <c r="L138" s="136" t="str">
        <f>'Закупка'!U138</f>
        <v/>
      </c>
      <c r="M138" s="137" t="str">
        <f>'Закупка'!V138</f>
        <v/>
      </c>
    </row>
    <row r="139" ht="45.0" customHeight="1">
      <c r="A139" s="126" t="str">
        <f>'Закупка'!A139</f>
        <v/>
      </c>
      <c r="B139" s="127" t="str">
        <f>'Закупка'!B139</f>
        <v/>
      </c>
      <c r="C139" s="128" t="str">
        <f>'Закупка'!R139</f>
        <v/>
      </c>
      <c r="D139" s="129" t="str">
        <f t="array" ref="D139">INDEX('Закупка'!G139:K139, $A$2)</f>
        <v/>
      </c>
      <c r="E139" s="130" t="str">
        <f>'Закупка'!F139</f>
        <v/>
      </c>
      <c r="F139" s="131" t="str">
        <f t="shared" si="1"/>
        <v/>
      </c>
      <c r="G139" s="132"/>
      <c r="H139" s="133"/>
      <c r="I139" s="145"/>
      <c r="J139" s="131" t="str">
        <f t="shared" si="2"/>
        <v/>
      </c>
      <c r="K139" s="135" t="str">
        <f>'Закупка'!T139</f>
        <v/>
      </c>
      <c r="L139" s="136" t="str">
        <f>'Закупка'!U139</f>
        <v/>
      </c>
      <c r="M139" s="137" t="str">
        <f>'Закупка'!V139</f>
        <v/>
      </c>
    </row>
    <row r="140" ht="45.0" customHeight="1">
      <c r="A140" s="126" t="str">
        <f>'Закупка'!A140</f>
        <v/>
      </c>
      <c r="B140" s="127" t="str">
        <f>'Закупка'!B140</f>
        <v/>
      </c>
      <c r="C140" s="128" t="str">
        <f>'Закупка'!R140</f>
        <v/>
      </c>
      <c r="D140" s="129" t="str">
        <f t="array" ref="D140">INDEX('Закупка'!G140:K140, $A$2)</f>
        <v/>
      </c>
      <c r="E140" s="130" t="str">
        <f>'Закупка'!F140</f>
        <v/>
      </c>
      <c r="F140" s="131" t="str">
        <f t="shared" si="1"/>
        <v/>
      </c>
      <c r="G140" s="132"/>
      <c r="H140" s="133"/>
      <c r="I140" s="145"/>
      <c r="J140" s="131" t="str">
        <f t="shared" si="2"/>
        <v/>
      </c>
      <c r="K140" s="135" t="str">
        <f>'Закупка'!T140</f>
        <v/>
      </c>
      <c r="L140" s="136" t="str">
        <f>'Закупка'!U140</f>
        <v/>
      </c>
      <c r="M140" s="137" t="str">
        <f>'Закупка'!V140</f>
        <v/>
      </c>
    </row>
    <row r="141" ht="45.0" customHeight="1">
      <c r="A141" s="126" t="str">
        <f>'Закупка'!A141</f>
        <v/>
      </c>
      <c r="B141" s="127" t="str">
        <f>'Закупка'!B141</f>
        <v/>
      </c>
      <c r="C141" s="128" t="str">
        <f>'Закупка'!R141</f>
        <v/>
      </c>
      <c r="D141" s="129" t="str">
        <f t="array" ref="D141">INDEX('Закупка'!G141:K141, $A$2)</f>
        <v/>
      </c>
      <c r="E141" s="130" t="str">
        <f>'Закупка'!F141</f>
        <v/>
      </c>
      <c r="F141" s="131" t="str">
        <f t="shared" si="1"/>
        <v/>
      </c>
      <c r="G141" s="132"/>
      <c r="H141" s="133"/>
      <c r="I141" s="145"/>
      <c r="J141" s="131" t="str">
        <f t="shared" si="2"/>
        <v/>
      </c>
      <c r="K141" s="135" t="str">
        <f>'Закупка'!T141</f>
        <v/>
      </c>
      <c r="L141" s="136" t="str">
        <f>'Закупка'!U141</f>
        <v/>
      </c>
      <c r="M141" s="137" t="str">
        <f>'Закупка'!V141</f>
        <v/>
      </c>
    </row>
    <row r="142" ht="45.0" customHeight="1">
      <c r="A142" s="126" t="str">
        <f>'Закупка'!A142</f>
        <v/>
      </c>
      <c r="B142" s="127" t="str">
        <f>'Закупка'!B142</f>
        <v/>
      </c>
      <c r="C142" s="128" t="str">
        <f>'Закупка'!R142</f>
        <v/>
      </c>
      <c r="D142" s="129" t="str">
        <f t="array" ref="D142">INDEX('Закупка'!G142:K142, $A$2)</f>
        <v/>
      </c>
      <c r="E142" s="130" t="str">
        <f>'Закупка'!F142</f>
        <v/>
      </c>
      <c r="F142" s="131" t="str">
        <f t="shared" si="1"/>
        <v/>
      </c>
      <c r="G142" s="132"/>
      <c r="H142" s="133"/>
      <c r="I142" s="145"/>
      <c r="J142" s="131" t="str">
        <f t="shared" si="2"/>
        <v/>
      </c>
      <c r="K142" s="135" t="str">
        <f>'Закупка'!T142</f>
        <v/>
      </c>
      <c r="L142" s="136" t="str">
        <f>'Закупка'!U142</f>
        <v/>
      </c>
      <c r="M142" s="137" t="str">
        <f>'Закупка'!V142</f>
        <v/>
      </c>
    </row>
    <row r="143" ht="45.0" customHeight="1">
      <c r="A143" s="126" t="str">
        <f>'Закупка'!A143</f>
        <v/>
      </c>
      <c r="B143" s="127" t="str">
        <f>'Закупка'!B143</f>
        <v/>
      </c>
      <c r="C143" s="128" t="str">
        <f>'Закупка'!R143</f>
        <v/>
      </c>
      <c r="D143" s="129" t="str">
        <f t="array" ref="D143">INDEX('Закупка'!G143:K143, $A$2)</f>
        <v/>
      </c>
      <c r="E143" s="130" t="str">
        <f>'Закупка'!F143</f>
        <v/>
      </c>
      <c r="F143" s="131" t="str">
        <f t="shared" si="1"/>
        <v/>
      </c>
      <c r="G143" s="132"/>
      <c r="H143" s="133"/>
      <c r="I143" s="145"/>
      <c r="J143" s="131" t="str">
        <f t="shared" si="2"/>
        <v/>
      </c>
      <c r="K143" s="135" t="str">
        <f>'Закупка'!T143</f>
        <v/>
      </c>
      <c r="L143" s="136" t="str">
        <f>'Закупка'!U143</f>
        <v/>
      </c>
      <c r="M143" s="137" t="str">
        <f>'Закупка'!V143</f>
        <v/>
      </c>
    </row>
    <row r="144" ht="45.0" customHeight="1">
      <c r="A144" s="126" t="str">
        <f>'Закупка'!A144</f>
        <v/>
      </c>
      <c r="B144" s="127" t="str">
        <f>'Закупка'!B144</f>
        <v/>
      </c>
      <c r="C144" s="128" t="str">
        <f>'Закупка'!R144</f>
        <v/>
      </c>
      <c r="D144" s="129" t="str">
        <f t="array" ref="D144">INDEX('Закупка'!G144:K144, $A$2)</f>
        <v/>
      </c>
      <c r="E144" s="130" t="str">
        <f>'Закупка'!F144</f>
        <v/>
      </c>
      <c r="F144" s="131" t="str">
        <f t="shared" si="1"/>
        <v/>
      </c>
      <c r="G144" s="132"/>
      <c r="H144" s="133"/>
      <c r="I144" s="145"/>
      <c r="J144" s="131" t="str">
        <f t="shared" si="2"/>
        <v/>
      </c>
      <c r="K144" s="135" t="str">
        <f>'Закупка'!T144</f>
        <v/>
      </c>
      <c r="L144" s="136" t="str">
        <f>'Закупка'!U144</f>
        <v/>
      </c>
      <c r="M144" s="137" t="str">
        <f>'Закупка'!V144</f>
        <v/>
      </c>
    </row>
    <row r="145" ht="45.0" customHeight="1">
      <c r="A145" s="126" t="str">
        <f>'Закупка'!A145</f>
        <v/>
      </c>
      <c r="B145" s="127" t="str">
        <f>'Закупка'!B145</f>
        <v/>
      </c>
      <c r="C145" s="128" t="str">
        <f>'Закупка'!R145</f>
        <v/>
      </c>
      <c r="D145" s="129" t="str">
        <f t="array" ref="D145">INDEX('Закупка'!G145:K145, $A$2)</f>
        <v/>
      </c>
      <c r="E145" s="130" t="str">
        <f>'Закупка'!F145</f>
        <v/>
      </c>
      <c r="F145" s="131" t="str">
        <f t="shared" si="1"/>
        <v/>
      </c>
      <c r="G145" s="132"/>
      <c r="H145" s="133"/>
      <c r="I145" s="145"/>
      <c r="J145" s="131" t="str">
        <f t="shared" si="2"/>
        <v/>
      </c>
      <c r="K145" s="135" t="str">
        <f>'Закупка'!T145</f>
        <v/>
      </c>
      <c r="L145" s="136" t="str">
        <f>'Закупка'!U145</f>
        <v/>
      </c>
      <c r="M145" s="137" t="str">
        <f>'Закупка'!V145</f>
        <v/>
      </c>
    </row>
    <row r="146" ht="45.0" customHeight="1">
      <c r="A146" s="126" t="str">
        <f>'Закупка'!A146</f>
        <v/>
      </c>
      <c r="B146" s="127" t="str">
        <f>'Закупка'!B146</f>
        <v/>
      </c>
      <c r="C146" s="128" t="str">
        <f>'Закупка'!R146</f>
        <v/>
      </c>
      <c r="D146" s="129" t="str">
        <f t="array" ref="D146">INDEX('Закупка'!G146:K146, $A$2)</f>
        <v/>
      </c>
      <c r="E146" s="130" t="str">
        <f>'Закупка'!F146</f>
        <v/>
      </c>
      <c r="F146" s="131" t="str">
        <f t="shared" si="1"/>
        <v/>
      </c>
      <c r="G146" s="132"/>
      <c r="H146" s="133"/>
      <c r="I146" s="145"/>
      <c r="J146" s="131" t="str">
        <f t="shared" si="2"/>
        <v/>
      </c>
      <c r="K146" s="135" t="str">
        <f>'Закупка'!T146</f>
        <v/>
      </c>
      <c r="L146" s="136" t="str">
        <f>'Закупка'!U146</f>
        <v/>
      </c>
      <c r="M146" s="137" t="str">
        <f>'Закупка'!V146</f>
        <v/>
      </c>
    </row>
    <row r="147" ht="45.0" customHeight="1">
      <c r="A147" s="126" t="str">
        <f>'Закупка'!A147</f>
        <v/>
      </c>
      <c r="B147" s="127" t="str">
        <f>'Закупка'!B147</f>
        <v/>
      </c>
      <c r="C147" s="128" t="str">
        <f>'Закупка'!R147</f>
        <v/>
      </c>
      <c r="D147" s="129" t="str">
        <f t="array" ref="D147">INDEX('Закупка'!G147:K147, $A$2)</f>
        <v/>
      </c>
      <c r="E147" s="130" t="str">
        <f>'Закупка'!F147</f>
        <v/>
      </c>
      <c r="F147" s="131" t="str">
        <f t="shared" si="1"/>
        <v/>
      </c>
      <c r="G147" s="132"/>
      <c r="H147" s="133"/>
      <c r="I147" s="145"/>
      <c r="J147" s="131" t="str">
        <f t="shared" si="2"/>
        <v/>
      </c>
      <c r="K147" s="135" t="str">
        <f>'Закупка'!T147</f>
        <v/>
      </c>
      <c r="L147" s="136" t="str">
        <f>'Закупка'!U147</f>
        <v/>
      </c>
      <c r="M147" s="137" t="str">
        <f>'Закупка'!V147</f>
        <v/>
      </c>
    </row>
    <row r="148" ht="45.0" customHeight="1">
      <c r="A148" s="126" t="str">
        <f>'Закупка'!A148</f>
        <v/>
      </c>
      <c r="B148" s="127" t="str">
        <f>'Закупка'!B148</f>
        <v/>
      </c>
      <c r="C148" s="128" t="str">
        <f>'Закупка'!R148</f>
        <v/>
      </c>
      <c r="D148" s="129" t="str">
        <f t="array" ref="D148">INDEX('Закупка'!G148:K148, $A$2)</f>
        <v/>
      </c>
      <c r="E148" s="130" t="str">
        <f>'Закупка'!F148</f>
        <v/>
      </c>
      <c r="F148" s="131" t="str">
        <f t="shared" si="1"/>
        <v/>
      </c>
      <c r="G148" s="132"/>
      <c r="H148" s="133"/>
      <c r="I148" s="145"/>
      <c r="J148" s="131" t="str">
        <f t="shared" si="2"/>
        <v/>
      </c>
      <c r="K148" s="135" t="str">
        <f>'Закупка'!T148</f>
        <v/>
      </c>
      <c r="L148" s="136" t="str">
        <f>'Закупка'!U148</f>
        <v/>
      </c>
      <c r="M148" s="137" t="str">
        <f>'Закупка'!V148</f>
        <v/>
      </c>
    </row>
    <row r="149" ht="45.0" customHeight="1">
      <c r="A149" s="126" t="str">
        <f>'Закупка'!A149</f>
        <v/>
      </c>
      <c r="B149" s="127" t="str">
        <f>'Закупка'!B149</f>
        <v/>
      </c>
      <c r="C149" s="128" t="str">
        <f>'Закупка'!R149</f>
        <v/>
      </c>
      <c r="D149" s="129" t="str">
        <f t="array" ref="D149">INDEX('Закупка'!G149:K149, $A$2)</f>
        <v/>
      </c>
      <c r="E149" s="130" t="str">
        <f>'Закупка'!F149</f>
        <v/>
      </c>
      <c r="F149" s="131" t="str">
        <f t="shared" si="1"/>
        <v/>
      </c>
      <c r="G149" s="132"/>
      <c r="H149" s="133"/>
      <c r="I149" s="145"/>
      <c r="J149" s="131" t="str">
        <f t="shared" si="2"/>
        <v/>
      </c>
      <c r="K149" s="135" t="str">
        <f>'Закупка'!T149</f>
        <v/>
      </c>
      <c r="L149" s="136" t="str">
        <f>'Закупка'!U149</f>
        <v/>
      </c>
      <c r="M149" s="137" t="str">
        <f>'Закупка'!V149</f>
        <v/>
      </c>
    </row>
    <row r="150" ht="45.0" customHeight="1">
      <c r="A150" s="126" t="str">
        <f>'Закупка'!A150</f>
        <v/>
      </c>
      <c r="B150" s="127" t="str">
        <f>'Закупка'!B150</f>
        <v/>
      </c>
      <c r="C150" s="128" t="str">
        <f>'Закупка'!R150</f>
        <v/>
      </c>
      <c r="D150" s="129" t="str">
        <f t="array" ref="D150">INDEX('Закупка'!G150:K150, $A$2)</f>
        <v/>
      </c>
      <c r="E150" s="130" t="str">
        <f>'Закупка'!F150</f>
        <v/>
      </c>
      <c r="F150" s="131" t="str">
        <f t="shared" si="1"/>
        <v/>
      </c>
      <c r="G150" s="132"/>
      <c r="H150" s="133"/>
      <c r="I150" s="145"/>
      <c r="J150" s="131" t="str">
        <f t="shared" si="2"/>
        <v/>
      </c>
      <c r="K150" s="135" t="str">
        <f>'Закупка'!T150</f>
        <v/>
      </c>
      <c r="L150" s="136" t="str">
        <f>'Закупка'!U150</f>
        <v/>
      </c>
      <c r="M150" s="137" t="str">
        <f>'Закупка'!V150</f>
        <v/>
      </c>
    </row>
    <row r="151" ht="45.0" customHeight="1">
      <c r="A151" s="126" t="str">
        <f>'Закупка'!A151</f>
        <v/>
      </c>
      <c r="B151" s="127" t="str">
        <f>'Закупка'!B151</f>
        <v/>
      </c>
      <c r="C151" s="128" t="str">
        <f>'Закупка'!R151</f>
        <v/>
      </c>
      <c r="D151" s="129" t="str">
        <f t="array" ref="D151">INDEX('Закупка'!G151:K151, $A$2)</f>
        <v/>
      </c>
      <c r="E151" s="130" t="str">
        <f>'Закупка'!F151</f>
        <v/>
      </c>
      <c r="F151" s="131" t="str">
        <f t="shared" si="1"/>
        <v/>
      </c>
      <c r="G151" s="132"/>
      <c r="H151" s="133"/>
      <c r="I151" s="145"/>
      <c r="J151" s="131" t="str">
        <f t="shared" si="2"/>
        <v/>
      </c>
      <c r="K151" s="135" t="str">
        <f>'Закупка'!T151</f>
        <v/>
      </c>
      <c r="L151" s="136" t="str">
        <f>'Закупка'!U151</f>
        <v/>
      </c>
      <c r="M151" s="137" t="str">
        <f>'Закупка'!V151</f>
        <v/>
      </c>
    </row>
    <row r="152" ht="45.0" customHeight="1">
      <c r="A152" s="126" t="str">
        <f>'Закупка'!A152</f>
        <v/>
      </c>
      <c r="B152" s="127" t="str">
        <f>'Закупка'!B152</f>
        <v/>
      </c>
      <c r="C152" s="128" t="str">
        <f>'Закупка'!R152</f>
        <v/>
      </c>
      <c r="D152" s="129" t="str">
        <f t="array" ref="D152">INDEX('Закупка'!G152:K152, $A$2)</f>
        <v/>
      </c>
      <c r="E152" s="130" t="str">
        <f>'Закупка'!F152</f>
        <v/>
      </c>
      <c r="F152" s="131" t="str">
        <f t="shared" si="1"/>
        <v/>
      </c>
      <c r="G152" s="132"/>
      <c r="H152" s="133"/>
      <c r="I152" s="145"/>
      <c r="J152" s="131" t="str">
        <f t="shared" si="2"/>
        <v/>
      </c>
      <c r="K152" s="135" t="str">
        <f>'Закупка'!T152</f>
        <v/>
      </c>
      <c r="L152" s="136" t="str">
        <f>'Закупка'!U152</f>
        <v/>
      </c>
      <c r="M152" s="137" t="str">
        <f>'Закупка'!V152</f>
        <v/>
      </c>
    </row>
    <row r="153" ht="45.0" customHeight="1">
      <c r="A153" s="126" t="str">
        <f>'Закупка'!A153</f>
        <v/>
      </c>
      <c r="B153" s="127" t="str">
        <f>'Закупка'!B153</f>
        <v/>
      </c>
      <c r="C153" s="128" t="str">
        <f>'Закупка'!R153</f>
        <v/>
      </c>
      <c r="D153" s="129" t="str">
        <f t="array" ref="D153">INDEX('Закупка'!G153:K153, $A$2)</f>
        <v/>
      </c>
      <c r="E153" s="130" t="str">
        <f>'Закупка'!F153</f>
        <v/>
      </c>
      <c r="F153" s="131" t="str">
        <f t="shared" si="1"/>
        <v/>
      </c>
      <c r="G153" s="132"/>
      <c r="H153" s="133"/>
      <c r="I153" s="145"/>
      <c r="J153" s="131" t="str">
        <f t="shared" si="2"/>
        <v/>
      </c>
      <c r="K153" s="135" t="str">
        <f>'Закупка'!T153</f>
        <v/>
      </c>
      <c r="L153" s="136" t="str">
        <f>'Закупка'!U153</f>
        <v/>
      </c>
      <c r="M153" s="137" t="str">
        <f>'Закупка'!V153</f>
        <v/>
      </c>
    </row>
    <row r="154" ht="45.0" customHeight="1">
      <c r="A154" s="126" t="str">
        <f>'Закупка'!A154</f>
        <v/>
      </c>
      <c r="B154" s="127" t="str">
        <f>'Закупка'!B154</f>
        <v/>
      </c>
      <c r="C154" s="128" t="str">
        <f>'Закупка'!R154</f>
        <v/>
      </c>
      <c r="D154" s="129" t="str">
        <f t="array" ref="D154">INDEX('Закупка'!G154:K154, $A$2)</f>
        <v/>
      </c>
      <c r="E154" s="130" t="str">
        <f>'Закупка'!F154</f>
        <v/>
      </c>
      <c r="F154" s="131" t="str">
        <f t="shared" si="1"/>
        <v/>
      </c>
      <c r="G154" s="132"/>
      <c r="H154" s="133"/>
      <c r="I154" s="145"/>
      <c r="J154" s="131" t="str">
        <f t="shared" si="2"/>
        <v/>
      </c>
      <c r="K154" s="135" t="str">
        <f>'Закупка'!T154</f>
        <v/>
      </c>
      <c r="L154" s="136" t="str">
        <f>'Закупка'!U154</f>
        <v/>
      </c>
      <c r="M154" s="137" t="str">
        <f>'Закупка'!V154</f>
        <v/>
      </c>
    </row>
    <row r="155" ht="45.0" customHeight="1">
      <c r="A155" s="126" t="str">
        <f>'Закупка'!A155</f>
        <v/>
      </c>
      <c r="B155" s="127" t="str">
        <f>'Закупка'!B155</f>
        <v/>
      </c>
      <c r="C155" s="128" t="str">
        <f>'Закупка'!R155</f>
        <v/>
      </c>
      <c r="D155" s="129" t="str">
        <f t="array" ref="D155">INDEX('Закупка'!G155:K155, $A$2)</f>
        <v/>
      </c>
      <c r="E155" s="130" t="str">
        <f>'Закупка'!F155</f>
        <v/>
      </c>
      <c r="F155" s="131" t="str">
        <f t="shared" si="1"/>
        <v/>
      </c>
      <c r="G155" s="132"/>
      <c r="H155" s="133"/>
      <c r="I155" s="145"/>
      <c r="J155" s="131" t="str">
        <f t="shared" si="2"/>
        <v/>
      </c>
      <c r="K155" s="135" t="str">
        <f>'Закупка'!T155</f>
        <v/>
      </c>
      <c r="L155" s="136" t="str">
        <f>'Закупка'!U155</f>
        <v/>
      </c>
      <c r="M155" s="137" t="str">
        <f>'Закупка'!V155</f>
        <v/>
      </c>
    </row>
    <row r="156" ht="45.0" customHeight="1">
      <c r="A156" s="126" t="str">
        <f>'Закупка'!A156</f>
        <v/>
      </c>
      <c r="B156" s="127" t="str">
        <f>'Закупка'!B156</f>
        <v/>
      </c>
      <c r="C156" s="128" t="str">
        <f>'Закупка'!R156</f>
        <v/>
      </c>
      <c r="D156" s="129" t="str">
        <f t="array" ref="D156">INDEX('Закупка'!G156:K156, $A$2)</f>
        <v/>
      </c>
      <c r="E156" s="130" t="str">
        <f>'Закупка'!F156</f>
        <v/>
      </c>
      <c r="F156" s="131" t="str">
        <f t="shared" si="1"/>
        <v/>
      </c>
      <c r="G156" s="132"/>
      <c r="H156" s="133"/>
      <c r="I156" s="145"/>
      <c r="J156" s="131" t="str">
        <f t="shared" si="2"/>
        <v/>
      </c>
      <c r="K156" s="135" t="str">
        <f>'Закупка'!T156</f>
        <v/>
      </c>
      <c r="L156" s="136" t="str">
        <f>'Закупка'!U156</f>
        <v/>
      </c>
      <c r="M156" s="137" t="str">
        <f>'Закупка'!V156</f>
        <v/>
      </c>
    </row>
    <row r="157" ht="45.0" customHeight="1">
      <c r="A157" s="126" t="str">
        <f>'Закупка'!A157</f>
        <v/>
      </c>
      <c r="B157" s="127" t="str">
        <f>'Закупка'!B157</f>
        <v/>
      </c>
      <c r="C157" s="128" t="str">
        <f>'Закупка'!R157</f>
        <v/>
      </c>
      <c r="D157" s="129" t="str">
        <f t="array" ref="D157">INDEX('Закупка'!G157:K157, $A$2)</f>
        <v/>
      </c>
      <c r="E157" s="130" t="str">
        <f>'Закупка'!F157</f>
        <v/>
      </c>
      <c r="F157" s="131" t="str">
        <f t="shared" si="1"/>
        <v/>
      </c>
      <c r="G157" s="132"/>
      <c r="H157" s="133"/>
      <c r="I157" s="145"/>
      <c r="J157" s="131" t="str">
        <f t="shared" si="2"/>
        <v/>
      </c>
      <c r="K157" s="135" t="str">
        <f>'Закупка'!T157</f>
        <v/>
      </c>
      <c r="L157" s="136" t="str">
        <f>'Закупка'!U157</f>
        <v/>
      </c>
      <c r="M157" s="137" t="str">
        <f>'Закупка'!V157</f>
        <v/>
      </c>
    </row>
    <row r="158" ht="45.0" customHeight="1">
      <c r="A158" s="126" t="str">
        <f>'Закупка'!A158</f>
        <v/>
      </c>
      <c r="B158" s="127" t="str">
        <f>'Закупка'!B158</f>
        <v/>
      </c>
      <c r="C158" s="128" t="str">
        <f>'Закупка'!R158</f>
        <v/>
      </c>
      <c r="D158" s="129" t="str">
        <f t="array" ref="D158">INDEX('Закупка'!G158:K158, $A$2)</f>
        <v/>
      </c>
      <c r="E158" s="130" t="str">
        <f>'Закупка'!F158</f>
        <v/>
      </c>
      <c r="F158" s="131" t="str">
        <f t="shared" si="1"/>
        <v/>
      </c>
      <c r="G158" s="132"/>
      <c r="H158" s="133"/>
      <c r="I158" s="145"/>
      <c r="J158" s="131" t="str">
        <f t="shared" si="2"/>
        <v/>
      </c>
      <c r="K158" s="135" t="str">
        <f>'Закупка'!T158</f>
        <v/>
      </c>
      <c r="L158" s="136" t="str">
        <f>'Закупка'!U158</f>
        <v/>
      </c>
      <c r="M158" s="137" t="str">
        <f>'Закупка'!V158</f>
        <v/>
      </c>
    </row>
    <row r="159" ht="45.0" customHeight="1">
      <c r="A159" s="126" t="str">
        <f>'Закупка'!A159</f>
        <v/>
      </c>
      <c r="B159" s="127" t="str">
        <f>'Закупка'!B159</f>
        <v/>
      </c>
      <c r="C159" s="128" t="str">
        <f>'Закупка'!R159</f>
        <v/>
      </c>
      <c r="D159" s="129" t="str">
        <f t="array" ref="D159">INDEX('Закупка'!G159:K159, $A$2)</f>
        <v/>
      </c>
      <c r="E159" s="130" t="str">
        <f>'Закупка'!F159</f>
        <v/>
      </c>
      <c r="F159" s="131" t="str">
        <f t="shared" si="1"/>
        <v/>
      </c>
      <c r="G159" s="132"/>
      <c r="H159" s="133"/>
      <c r="I159" s="145"/>
      <c r="J159" s="131" t="str">
        <f t="shared" si="2"/>
        <v/>
      </c>
      <c r="K159" s="135" t="str">
        <f>'Закупка'!T159</f>
        <v/>
      </c>
      <c r="L159" s="136" t="str">
        <f>'Закупка'!U159</f>
        <v/>
      </c>
      <c r="M159" s="137" t="str">
        <f>'Закупка'!V159</f>
        <v/>
      </c>
    </row>
    <row r="160" ht="45.0" customHeight="1">
      <c r="A160" s="126" t="str">
        <f>'Закупка'!A160</f>
        <v/>
      </c>
      <c r="B160" s="127" t="str">
        <f>'Закупка'!B160</f>
        <v/>
      </c>
      <c r="C160" s="128" t="str">
        <f>'Закупка'!R160</f>
        <v/>
      </c>
      <c r="D160" s="129" t="str">
        <f t="array" ref="D160">INDEX('Закупка'!G160:K160, $A$2)</f>
        <v/>
      </c>
      <c r="E160" s="130" t="str">
        <f>'Закупка'!F160</f>
        <v/>
      </c>
      <c r="F160" s="131" t="str">
        <f t="shared" si="1"/>
        <v/>
      </c>
      <c r="G160" s="132"/>
      <c r="H160" s="133"/>
      <c r="I160" s="145"/>
      <c r="J160" s="131" t="str">
        <f t="shared" si="2"/>
        <v/>
      </c>
      <c r="K160" s="135" t="str">
        <f>'Закупка'!T160</f>
        <v/>
      </c>
      <c r="L160" s="136" t="str">
        <f>'Закупка'!U160</f>
        <v/>
      </c>
      <c r="M160" s="137" t="str">
        <f>'Закупка'!V160</f>
        <v/>
      </c>
    </row>
    <row r="161" ht="45.0" customHeight="1">
      <c r="A161" s="126" t="str">
        <f>'Закупка'!A161</f>
        <v/>
      </c>
      <c r="B161" s="127" t="str">
        <f>'Закупка'!B161</f>
        <v/>
      </c>
      <c r="C161" s="128" t="str">
        <f>'Закупка'!R161</f>
        <v/>
      </c>
      <c r="D161" s="129" t="str">
        <f t="array" ref="D161">INDEX('Закупка'!G161:K161, $A$2)</f>
        <v/>
      </c>
      <c r="E161" s="130" t="str">
        <f>'Закупка'!F161</f>
        <v/>
      </c>
      <c r="F161" s="131" t="str">
        <f t="shared" si="1"/>
        <v/>
      </c>
      <c r="G161" s="132"/>
      <c r="H161" s="133"/>
      <c r="I161" s="145"/>
      <c r="J161" s="131" t="str">
        <f t="shared" si="2"/>
        <v/>
      </c>
      <c r="K161" s="135" t="str">
        <f>'Закупка'!T161</f>
        <v/>
      </c>
      <c r="L161" s="136" t="str">
        <f>'Закупка'!U161</f>
        <v/>
      </c>
      <c r="M161" s="137" t="str">
        <f>'Закупка'!V161</f>
        <v/>
      </c>
    </row>
    <row r="162" ht="45.0" customHeight="1">
      <c r="A162" s="126" t="str">
        <f>'Закупка'!A162</f>
        <v/>
      </c>
      <c r="B162" s="127" t="str">
        <f>'Закупка'!B162</f>
        <v/>
      </c>
      <c r="C162" s="128" t="str">
        <f>'Закупка'!R162</f>
        <v/>
      </c>
      <c r="D162" s="129" t="str">
        <f t="array" ref="D162">INDEX('Закупка'!G162:K162, $A$2)</f>
        <v/>
      </c>
      <c r="E162" s="130" t="str">
        <f>'Закупка'!F162</f>
        <v/>
      </c>
      <c r="F162" s="131" t="str">
        <f t="shared" si="1"/>
        <v/>
      </c>
      <c r="G162" s="132"/>
      <c r="H162" s="133"/>
      <c r="I162" s="145"/>
      <c r="J162" s="131" t="str">
        <f t="shared" si="2"/>
        <v/>
      </c>
      <c r="K162" s="135" t="str">
        <f>'Закупка'!T162</f>
        <v/>
      </c>
      <c r="L162" s="136" t="str">
        <f>'Закупка'!U162</f>
        <v/>
      </c>
      <c r="M162" s="137" t="str">
        <f>'Закупка'!V162</f>
        <v/>
      </c>
    </row>
    <row r="163" ht="45.0" customHeight="1">
      <c r="A163" s="126" t="str">
        <f>'Закупка'!A163</f>
        <v/>
      </c>
      <c r="B163" s="127" t="str">
        <f>'Закупка'!B163</f>
        <v/>
      </c>
      <c r="C163" s="128" t="str">
        <f>'Закупка'!R163</f>
        <v/>
      </c>
      <c r="D163" s="129" t="str">
        <f t="array" ref="D163">INDEX('Закупка'!G163:K163, $A$2)</f>
        <v/>
      </c>
      <c r="E163" s="130" t="str">
        <f>'Закупка'!F163</f>
        <v/>
      </c>
      <c r="F163" s="131" t="str">
        <f t="shared" si="1"/>
        <v/>
      </c>
      <c r="G163" s="132"/>
      <c r="H163" s="133"/>
      <c r="I163" s="145"/>
      <c r="J163" s="131" t="str">
        <f t="shared" si="2"/>
        <v/>
      </c>
      <c r="K163" s="135" t="str">
        <f>'Закупка'!T163</f>
        <v/>
      </c>
      <c r="L163" s="136" t="str">
        <f>'Закупка'!U163</f>
        <v/>
      </c>
      <c r="M163" s="137" t="str">
        <f>'Закупка'!V163</f>
        <v/>
      </c>
    </row>
    <row r="164" ht="45.0" customHeight="1">
      <c r="A164" s="126" t="str">
        <f>'Закупка'!A164</f>
        <v/>
      </c>
      <c r="B164" s="127" t="str">
        <f>'Закупка'!B164</f>
        <v/>
      </c>
      <c r="C164" s="128" t="str">
        <f>'Закупка'!R164</f>
        <v/>
      </c>
      <c r="D164" s="129" t="str">
        <f t="array" ref="D164">INDEX('Закупка'!G164:K164, $A$2)</f>
        <v/>
      </c>
      <c r="E164" s="130" t="str">
        <f>'Закупка'!F164</f>
        <v/>
      </c>
      <c r="F164" s="131" t="str">
        <f t="shared" si="1"/>
        <v/>
      </c>
      <c r="G164" s="132"/>
      <c r="H164" s="133"/>
      <c r="I164" s="145"/>
      <c r="J164" s="131" t="str">
        <f t="shared" si="2"/>
        <v/>
      </c>
      <c r="K164" s="135" t="str">
        <f>'Закупка'!T164</f>
        <v/>
      </c>
      <c r="L164" s="136" t="str">
        <f>'Закупка'!U164</f>
        <v/>
      </c>
      <c r="M164" s="137" t="str">
        <f>'Закупка'!V164</f>
        <v/>
      </c>
    </row>
    <row r="165" ht="45.0" customHeight="1">
      <c r="A165" s="126" t="str">
        <f>'Закупка'!A165</f>
        <v/>
      </c>
      <c r="B165" s="127" t="str">
        <f>'Закупка'!B165</f>
        <v/>
      </c>
      <c r="C165" s="128" t="str">
        <f>'Закупка'!R165</f>
        <v/>
      </c>
      <c r="D165" s="129" t="str">
        <f t="array" ref="D165">INDEX('Закупка'!G165:K165, $A$2)</f>
        <v/>
      </c>
      <c r="E165" s="130" t="str">
        <f>'Закупка'!F165</f>
        <v/>
      </c>
      <c r="F165" s="131" t="str">
        <f t="shared" si="1"/>
        <v/>
      </c>
      <c r="G165" s="132"/>
      <c r="H165" s="133"/>
      <c r="I165" s="145"/>
      <c r="J165" s="131" t="str">
        <f t="shared" si="2"/>
        <v/>
      </c>
      <c r="K165" s="135" t="str">
        <f>'Закупка'!T165</f>
        <v/>
      </c>
      <c r="L165" s="136" t="str">
        <f>'Закупка'!U165</f>
        <v/>
      </c>
      <c r="M165" s="137" t="str">
        <f>'Закупка'!V165</f>
        <v/>
      </c>
    </row>
    <row r="166" ht="45.0" customHeight="1">
      <c r="A166" s="126" t="str">
        <f>'Закупка'!A166</f>
        <v/>
      </c>
      <c r="B166" s="127" t="str">
        <f>'Закупка'!B166</f>
        <v/>
      </c>
      <c r="C166" s="128" t="str">
        <f>'Закупка'!R166</f>
        <v/>
      </c>
      <c r="D166" s="129" t="str">
        <f t="array" ref="D166">INDEX('Закупка'!G166:K166, $A$2)</f>
        <v/>
      </c>
      <c r="E166" s="130" t="str">
        <f>'Закупка'!F166</f>
        <v/>
      </c>
      <c r="F166" s="131" t="str">
        <f t="shared" si="1"/>
        <v/>
      </c>
      <c r="G166" s="132"/>
      <c r="H166" s="133"/>
      <c r="I166" s="145"/>
      <c r="J166" s="131" t="str">
        <f t="shared" si="2"/>
        <v/>
      </c>
      <c r="K166" s="135" t="str">
        <f>'Закупка'!T166</f>
        <v/>
      </c>
      <c r="L166" s="136" t="str">
        <f>'Закупка'!U166</f>
        <v/>
      </c>
      <c r="M166" s="137" t="str">
        <f>'Закупка'!V166</f>
        <v/>
      </c>
    </row>
    <row r="167" ht="45.0" customHeight="1">
      <c r="A167" s="126" t="str">
        <f>'Закупка'!A167</f>
        <v/>
      </c>
      <c r="B167" s="127" t="str">
        <f>'Закупка'!B167</f>
        <v/>
      </c>
      <c r="C167" s="128" t="str">
        <f>'Закупка'!R167</f>
        <v/>
      </c>
      <c r="D167" s="129" t="str">
        <f t="array" ref="D167">INDEX('Закупка'!G167:K167, $A$2)</f>
        <v/>
      </c>
      <c r="E167" s="130" t="str">
        <f>'Закупка'!F167</f>
        <v/>
      </c>
      <c r="F167" s="131" t="str">
        <f t="shared" si="1"/>
        <v/>
      </c>
      <c r="G167" s="132"/>
      <c r="H167" s="133"/>
      <c r="I167" s="145"/>
      <c r="J167" s="131" t="str">
        <f t="shared" si="2"/>
        <v/>
      </c>
      <c r="K167" s="135" t="str">
        <f>'Закупка'!T167</f>
        <v/>
      </c>
      <c r="L167" s="136" t="str">
        <f>'Закупка'!U167</f>
        <v/>
      </c>
      <c r="M167" s="137" t="str">
        <f>'Закупка'!V167</f>
        <v/>
      </c>
    </row>
    <row r="168" ht="45.0" customHeight="1">
      <c r="A168" s="126" t="str">
        <f>'Закупка'!A168</f>
        <v/>
      </c>
      <c r="B168" s="127" t="str">
        <f>'Закупка'!B168</f>
        <v/>
      </c>
      <c r="C168" s="128" t="str">
        <f>'Закупка'!R168</f>
        <v/>
      </c>
      <c r="D168" s="129" t="str">
        <f t="array" ref="D168">INDEX('Закупка'!G168:K168, $A$2)</f>
        <v/>
      </c>
      <c r="E168" s="130" t="str">
        <f>'Закупка'!F168</f>
        <v/>
      </c>
      <c r="F168" s="131" t="str">
        <f t="shared" si="1"/>
        <v/>
      </c>
      <c r="G168" s="132"/>
      <c r="H168" s="133"/>
      <c r="I168" s="145"/>
      <c r="J168" s="131" t="str">
        <f t="shared" si="2"/>
        <v/>
      </c>
      <c r="K168" s="135" t="str">
        <f>'Закупка'!T168</f>
        <v/>
      </c>
      <c r="L168" s="136" t="str">
        <f>'Закупка'!U168</f>
        <v/>
      </c>
      <c r="M168" s="137" t="str">
        <f>'Закупка'!V168</f>
        <v/>
      </c>
    </row>
    <row r="169" ht="45.0" customHeight="1">
      <c r="A169" s="126" t="str">
        <f>'Закупка'!A169</f>
        <v/>
      </c>
      <c r="B169" s="127" t="str">
        <f>'Закупка'!B169</f>
        <v/>
      </c>
      <c r="C169" s="128" t="str">
        <f>'Закупка'!R169</f>
        <v/>
      </c>
      <c r="D169" s="129" t="str">
        <f t="array" ref="D169">INDEX('Закупка'!G169:K169, $A$2)</f>
        <v/>
      </c>
      <c r="E169" s="130" t="str">
        <f>'Закупка'!F169</f>
        <v/>
      </c>
      <c r="F169" s="131" t="str">
        <f t="shared" si="1"/>
        <v/>
      </c>
      <c r="G169" s="132"/>
      <c r="H169" s="133"/>
      <c r="I169" s="145"/>
      <c r="J169" s="131" t="str">
        <f t="shared" si="2"/>
        <v/>
      </c>
      <c r="K169" s="135" t="str">
        <f>'Закупка'!T169</f>
        <v/>
      </c>
      <c r="L169" s="136" t="str">
        <f>'Закупка'!U169</f>
        <v/>
      </c>
      <c r="M169" s="137" t="str">
        <f>'Закупка'!V169</f>
        <v/>
      </c>
    </row>
    <row r="170" ht="45.0" customHeight="1">
      <c r="A170" s="126" t="str">
        <f>'Закупка'!A170</f>
        <v/>
      </c>
      <c r="B170" s="127" t="str">
        <f>'Закупка'!B170</f>
        <v/>
      </c>
      <c r="C170" s="128" t="str">
        <f>'Закупка'!R170</f>
        <v/>
      </c>
      <c r="D170" s="129" t="str">
        <f t="array" ref="D170">INDEX('Закупка'!G170:K170, $A$2)</f>
        <v/>
      </c>
      <c r="E170" s="130" t="str">
        <f>'Закупка'!F170</f>
        <v/>
      </c>
      <c r="F170" s="131" t="str">
        <f t="shared" si="1"/>
        <v/>
      </c>
      <c r="G170" s="132"/>
      <c r="H170" s="133"/>
      <c r="I170" s="145"/>
      <c r="J170" s="131" t="str">
        <f t="shared" si="2"/>
        <v/>
      </c>
      <c r="K170" s="135" t="str">
        <f>'Закупка'!T170</f>
        <v/>
      </c>
      <c r="L170" s="136" t="str">
        <f>'Закупка'!U170</f>
        <v/>
      </c>
      <c r="M170" s="137" t="str">
        <f>'Закупка'!V170</f>
        <v/>
      </c>
    </row>
    <row r="171" ht="45.0" customHeight="1">
      <c r="A171" s="126" t="str">
        <f>'Закупка'!A171</f>
        <v/>
      </c>
      <c r="B171" s="127" t="str">
        <f>'Закупка'!B171</f>
        <v/>
      </c>
      <c r="C171" s="128" t="str">
        <f>'Закупка'!R171</f>
        <v/>
      </c>
      <c r="D171" s="129" t="str">
        <f t="array" ref="D171">INDEX('Закупка'!G171:K171, $A$2)</f>
        <v/>
      </c>
      <c r="E171" s="130" t="str">
        <f>'Закупка'!F171</f>
        <v/>
      </c>
      <c r="F171" s="131" t="str">
        <f t="shared" si="1"/>
        <v/>
      </c>
      <c r="G171" s="132"/>
      <c r="H171" s="133"/>
      <c r="I171" s="145"/>
      <c r="J171" s="131" t="str">
        <f t="shared" si="2"/>
        <v/>
      </c>
      <c r="K171" s="135" t="str">
        <f>'Закупка'!T171</f>
        <v/>
      </c>
      <c r="L171" s="136" t="str">
        <f>'Закупка'!U171</f>
        <v/>
      </c>
      <c r="M171" s="137" t="str">
        <f>'Закупка'!V171</f>
        <v/>
      </c>
    </row>
    <row r="172" ht="45.0" customHeight="1">
      <c r="A172" s="126" t="str">
        <f>'Закупка'!A172</f>
        <v/>
      </c>
      <c r="B172" s="127" t="str">
        <f>'Закупка'!B172</f>
        <v/>
      </c>
      <c r="C172" s="128" t="str">
        <f>'Закупка'!R172</f>
        <v/>
      </c>
      <c r="D172" s="129" t="str">
        <f t="array" ref="D172">INDEX('Закупка'!G172:K172, $A$2)</f>
        <v/>
      </c>
      <c r="E172" s="130" t="str">
        <f>'Закупка'!F172</f>
        <v/>
      </c>
      <c r="F172" s="131" t="str">
        <f t="shared" si="1"/>
        <v/>
      </c>
      <c r="G172" s="132"/>
      <c r="H172" s="133"/>
      <c r="I172" s="145"/>
      <c r="J172" s="131" t="str">
        <f t="shared" si="2"/>
        <v/>
      </c>
      <c r="K172" s="135" t="str">
        <f>'Закупка'!T172</f>
        <v/>
      </c>
      <c r="L172" s="136" t="str">
        <f>'Закупка'!U172</f>
        <v/>
      </c>
      <c r="M172" s="137" t="str">
        <f>'Закупка'!V172</f>
        <v/>
      </c>
    </row>
    <row r="173" ht="45.0" customHeight="1">
      <c r="A173" s="126" t="str">
        <f>'Закупка'!A173</f>
        <v/>
      </c>
      <c r="B173" s="127" t="str">
        <f>'Закупка'!B173</f>
        <v/>
      </c>
      <c r="C173" s="128" t="str">
        <f>'Закупка'!R173</f>
        <v/>
      </c>
      <c r="D173" s="129" t="str">
        <f t="array" ref="D173">INDEX('Закупка'!G173:K173, $A$2)</f>
        <v/>
      </c>
      <c r="E173" s="130" t="str">
        <f>'Закупка'!F173</f>
        <v/>
      </c>
      <c r="F173" s="131" t="str">
        <f t="shared" si="1"/>
        <v/>
      </c>
      <c r="G173" s="132"/>
      <c r="H173" s="133"/>
      <c r="I173" s="145"/>
      <c r="J173" s="131" t="str">
        <f t="shared" si="2"/>
        <v/>
      </c>
      <c r="K173" s="135" t="str">
        <f>'Закупка'!T173</f>
        <v/>
      </c>
      <c r="L173" s="136" t="str">
        <f>'Закупка'!U173</f>
        <v/>
      </c>
      <c r="M173" s="137" t="str">
        <f>'Закупка'!V173</f>
        <v/>
      </c>
    </row>
    <row r="174" ht="45.0" customHeight="1">
      <c r="A174" s="126" t="str">
        <f>'Закупка'!A174</f>
        <v/>
      </c>
      <c r="B174" s="127" t="str">
        <f>'Закупка'!B174</f>
        <v/>
      </c>
      <c r="C174" s="128" t="str">
        <f>'Закупка'!R174</f>
        <v/>
      </c>
      <c r="D174" s="129" t="str">
        <f t="array" ref="D174">INDEX('Закупка'!G174:K174, $A$2)</f>
        <v/>
      </c>
      <c r="E174" s="130" t="str">
        <f>'Закупка'!F174</f>
        <v/>
      </c>
      <c r="F174" s="131" t="str">
        <f t="shared" si="1"/>
        <v/>
      </c>
      <c r="G174" s="132"/>
      <c r="H174" s="133"/>
      <c r="I174" s="145"/>
      <c r="J174" s="131" t="str">
        <f t="shared" si="2"/>
        <v/>
      </c>
      <c r="K174" s="135" t="str">
        <f>'Закупка'!T174</f>
        <v/>
      </c>
      <c r="L174" s="136" t="str">
        <f>'Закупка'!U174</f>
        <v/>
      </c>
      <c r="M174" s="137" t="str">
        <f>'Закупка'!V174</f>
        <v/>
      </c>
    </row>
    <row r="175" ht="45.0" customHeight="1">
      <c r="A175" s="126" t="str">
        <f>'Закупка'!A175</f>
        <v/>
      </c>
      <c r="B175" s="127" t="str">
        <f>'Закупка'!B175</f>
        <v/>
      </c>
      <c r="C175" s="128" t="str">
        <f>'Закупка'!R175</f>
        <v/>
      </c>
      <c r="D175" s="129" t="str">
        <f t="array" ref="D175">INDEX('Закупка'!G175:K175, $A$2)</f>
        <v/>
      </c>
      <c r="E175" s="130" t="str">
        <f>'Закупка'!F175</f>
        <v/>
      </c>
      <c r="F175" s="131" t="str">
        <f t="shared" si="1"/>
        <v/>
      </c>
      <c r="G175" s="132"/>
      <c r="H175" s="133"/>
      <c r="I175" s="145"/>
      <c r="J175" s="131" t="str">
        <f t="shared" si="2"/>
        <v/>
      </c>
      <c r="K175" s="135" t="str">
        <f>'Закупка'!T175</f>
        <v/>
      </c>
      <c r="L175" s="136" t="str">
        <f>'Закупка'!U175</f>
        <v/>
      </c>
      <c r="M175" s="137" t="str">
        <f>'Закупка'!V175</f>
        <v/>
      </c>
    </row>
    <row r="176" ht="45.0" customHeight="1">
      <c r="A176" s="126" t="str">
        <f>'Закупка'!A176</f>
        <v/>
      </c>
      <c r="B176" s="127" t="str">
        <f>'Закупка'!B176</f>
        <v/>
      </c>
      <c r="C176" s="128" t="str">
        <f>'Закупка'!R176</f>
        <v/>
      </c>
      <c r="D176" s="129" t="str">
        <f t="array" ref="D176">INDEX('Закупка'!G176:K176, $A$2)</f>
        <v/>
      </c>
      <c r="E176" s="130" t="str">
        <f>'Закупка'!F176</f>
        <v/>
      </c>
      <c r="F176" s="131" t="str">
        <f t="shared" si="1"/>
        <v/>
      </c>
      <c r="G176" s="132"/>
      <c r="H176" s="133"/>
      <c r="I176" s="145"/>
      <c r="J176" s="131" t="str">
        <f t="shared" si="2"/>
        <v/>
      </c>
      <c r="K176" s="135" t="str">
        <f>'Закупка'!T176</f>
        <v/>
      </c>
      <c r="L176" s="136" t="str">
        <f>'Закупка'!U176</f>
        <v/>
      </c>
      <c r="M176" s="137" t="str">
        <f>'Закупка'!V176</f>
        <v/>
      </c>
    </row>
    <row r="177" ht="45.0" customHeight="1">
      <c r="A177" s="126" t="str">
        <f>'Закупка'!A177</f>
        <v/>
      </c>
      <c r="B177" s="127" t="str">
        <f>'Закупка'!B177</f>
        <v/>
      </c>
      <c r="C177" s="128" t="str">
        <f>'Закупка'!R177</f>
        <v/>
      </c>
      <c r="D177" s="129" t="str">
        <f t="array" ref="D177">INDEX('Закупка'!G177:K177, $A$2)</f>
        <v/>
      </c>
      <c r="E177" s="130" t="str">
        <f>'Закупка'!F177</f>
        <v/>
      </c>
      <c r="F177" s="131" t="str">
        <f t="shared" si="1"/>
        <v/>
      </c>
      <c r="G177" s="132"/>
      <c r="H177" s="133"/>
      <c r="I177" s="145"/>
      <c r="J177" s="131" t="str">
        <f t="shared" si="2"/>
        <v/>
      </c>
      <c r="K177" s="135" t="str">
        <f>'Закупка'!T177</f>
        <v/>
      </c>
      <c r="L177" s="136" t="str">
        <f>'Закупка'!U177</f>
        <v/>
      </c>
      <c r="M177" s="137" t="str">
        <f>'Закупка'!V177</f>
        <v/>
      </c>
    </row>
    <row r="178" ht="45.0" customHeight="1">
      <c r="A178" s="126" t="str">
        <f>'Закупка'!A178</f>
        <v/>
      </c>
      <c r="B178" s="127" t="str">
        <f>'Закупка'!B178</f>
        <v/>
      </c>
      <c r="C178" s="128" t="str">
        <f>'Закупка'!R178</f>
        <v/>
      </c>
      <c r="D178" s="129" t="str">
        <f t="array" ref="D178">INDEX('Закупка'!G178:K178, $A$2)</f>
        <v/>
      </c>
      <c r="E178" s="130" t="str">
        <f>'Закупка'!F178</f>
        <v/>
      </c>
      <c r="F178" s="131" t="str">
        <f t="shared" si="1"/>
        <v/>
      </c>
      <c r="G178" s="132"/>
      <c r="H178" s="133"/>
      <c r="I178" s="145"/>
      <c r="J178" s="131" t="str">
        <f t="shared" si="2"/>
        <v/>
      </c>
      <c r="K178" s="135" t="str">
        <f>'Закупка'!T178</f>
        <v/>
      </c>
      <c r="L178" s="136" t="str">
        <f>'Закупка'!U178</f>
        <v/>
      </c>
      <c r="M178" s="137" t="str">
        <f>'Закупка'!V178</f>
        <v/>
      </c>
    </row>
    <row r="179" ht="45.0" customHeight="1">
      <c r="A179" s="126" t="str">
        <f>'Закупка'!A179</f>
        <v/>
      </c>
      <c r="B179" s="127" t="str">
        <f>'Закупка'!B179</f>
        <v/>
      </c>
      <c r="C179" s="128" t="str">
        <f>'Закупка'!R179</f>
        <v/>
      </c>
      <c r="D179" s="129" t="str">
        <f t="array" ref="D179">INDEX('Закупка'!G179:K179, $A$2)</f>
        <v/>
      </c>
      <c r="E179" s="130" t="str">
        <f>'Закупка'!F179</f>
        <v/>
      </c>
      <c r="F179" s="131" t="str">
        <f t="shared" si="1"/>
        <v/>
      </c>
      <c r="G179" s="132"/>
      <c r="H179" s="133"/>
      <c r="I179" s="145"/>
      <c r="J179" s="131" t="str">
        <f t="shared" si="2"/>
        <v/>
      </c>
      <c r="K179" s="135" t="str">
        <f>'Закупка'!T179</f>
        <v/>
      </c>
      <c r="L179" s="136" t="str">
        <f>'Закупка'!U179</f>
        <v/>
      </c>
      <c r="M179" s="137" t="str">
        <f>'Закупка'!V179</f>
        <v/>
      </c>
    </row>
    <row r="180" ht="45.0" customHeight="1">
      <c r="A180" s="126" t="str">
        <f>'Закупка'!A180</f>
        <v/>
      </c>
      <c r="B180" s="127" t="str">
        <f>'Закупка'!B180</f>
        <v/>
      </c>
      <c r="C180" s="128" t="str">
        <f>'Закупка'!R180</f>
        <v/>
      </c>
      <c r="D180" s="129" t="str">
        <f t="array" ref="D180">INDEX('Закупка'!G180:K180, $A$2)</f>
        <v/>
      </c>
      <c r="E180" s="130" t="str">
        <f>'Закупка'!F180</f>
        <v/>
      </c>
      <c r="F180" s="131" t="str">
        <f t="shared" si="1"/>
        <v/>
      </c>
      <c r="G180" s="132"/>
      <c r="H180" s="133"/>
      <c r="I180" s="145"/>
      <c r="J180" s="131" t="str">
        <f t="shared" si="2"/>
        <v/>
      </c>
      <c r="K180" s="135" t="str">
        <f>'Закупка'!T180</f>
        <v/>
      </c>
      <c r="L180" s="136" t="str">
        <f>'Закупка'!U180</f>
        <v/>
      </c>
      <c r="M180" s="137" t="str">
        <f>'Закупка'!V180</f>
        <v/>
      </c>
    </row>
    <row r="181" ht="45.0" customHeight="1">
      <c r="A181" s="126" t="str">
        <f>'Закупка'!A181</f>
        <v/>
      </c>
      <c r="B181" s="127" t="str">
        <f>'Закупка'!B181</f>
        <v/>
      </c>
      <c r="C181" s="128" t="str">
        <f>'Закупка'!R181</f>
        <v/>
      </c>
      <c r="D181" s="129" t="str">
        <f t="array" ref="D181">INDEX('Закупка'!G181:K181, $A$2)</f>
        <v/>
      </c>
      <c r="E181" s="130" t="str">
        <f>'Закупка'!F181</f>
        <v/>
      </c>
      <c r="F181" s="131" t="str">
        <f t="shared" si="1"/>
        <v/>
      </c>
      <c r="G181" s="132"/>
      <c r="H181" s="133"/>
      <c r="I181" s="145"/>
      <c r="J181" s="131" t="str">
        <f t="shared" si="2"/>
        <v/>
      </c>
      <c r="K181" s="135" t="str">
        <f>'Закупка'!T181</f>
        <v/>
      </c>
      <c r="L181" s="136" t="str">
        <f>'Закупка'!U181</f>
        <v/>
      </c>
      <c r="M181" s="137" t="str">
        <f>'Закупка'!V181</f>
        <v/>
      </c>
    </row>
    <row r="182" ht="45.0" customHeight="1">
      <c r="A182" s="126" t="str">
        <f>'Закупка'!A182</f>
        <v/>
      </c>
      <c r="B182" s="127" t="str">
        <f>'Закупка'!B182</f>
        <v/>
      </c>
      <c r="C182" s="128" t="str">
        <f>'Закупка'!R182</f>
        <v/>
      </c>
      <c r="D182" s="129" t="str">
        <f t="array" ref="D182">INDEX('Закупка'!G182:K182, $A$2)</f>
        <v/>
      </c>
      <c r="E182" s="130" t="str">
        <f>'Закупка'!F182</f>
        <v/>
      </c>
      <c r="F182" s="131" t="str">
        <f t="shared" si="1"/>
        <v/>
      </c>
      <c r="G182" s="132"/>
      <c r="H182" s="133"/>
      <c r="I182" s="145"/>
      <c r="J182" s="131" t="str">
        <f t="shared" si="2"/>
        <v/>
      </c>
      <c r="K182" s="135" t="str">
        <f>'Закупка'!T182</f>
        <v/>
      </c>
      <c r="L182" s="136" t="str">
        <f>'Закупка'!U182</f>
        <v/>
      </c>
      <c r="M182" s="137" t="str">
        <f>'Закупка'!V182</f>
        <v/>
      </c>
    </row>
    <row r="183" ht="45.0" customHeight="1">
      <c r="A183" s="126" t="str">
        <f>'Закупка'!A183</f>
        <v/>
      </c>
      <c r="B183" s="127" t="str">
        <f>'Закупка'!B183</f>
        <v/>
      </c>
      <c r="C183" s="128" t="str">
        <f>'Закупка'!R183</f>
        <v/>
      </c>
      <c r="D183" s="129" t="str">
        <f t="array" ref="D183">INDEX('Закупка'!G183:K183, $A$2)</f>
        <v/>
      </c>
      <c r="E183" s="130" t="str">
        <f>'Закупка'!F183</f>
        <v/>
      </c>
      <c r="F183" s="131" t="str">
        <f t="shared" si="1"/>
        <v/>
      </c>
      <c r="G183" s="132"/>
      <c r="H183" s="133"/>
      <c r="I183" s="145"/>
      <c r="J183" s="131" t="str">
        <f t="shared" si="2"/>
        <v/>
      </c>
      <c r="K183" s="135" t="str">
        <f>'Закупка'!T183</f>
        <v/>
      </c>
      <c r="L183" s="136" t="str">
        <f>'Закупка'!U183</f>
        <v/>
      </c>
      <c r="M183" s="137" t="str">
        <f>'Закупка'!V183</f>
        <v/>
      </c>
    </row>
    <row r="184" ht="45.0" customHeight="1">
      <c r="A184" s="126" t="str">
        <f>'Закупка'!A184</f>
        <v/>
      </c>
      <c r="B184" s="127" t="str">
        <f>'Закупка'!B184</f>
        <v/>
      </c>
      <c r="C184" s="128" t="str">
        <f>'Закупка'!R184</f>
        <v/>
      </c>
      <c r="D184" s="129" t="str">
        <f t="array" ref="D184">INDEX('Закупка'!G184:K184, $A$2)</f>
        <v/>
      </c>
      <c r="E184" s="130" t="str">
        <f>'Закупка'!F184</f>
        <v/>
      </c>
      <c r="F184" s="131" t="str">
        <f t="shared" si="1"/>
        <v/>
      </c>
      <c r="G184" s="132"/>
      <c r="H184" s="133"/>
      <c r="I184" s="145"/>
      <c r="J184" s="131" t="str">
        <f t="shared" si="2"/>
        <v/>
      </c>
      <c r="K184" s="135" t="str">
        <f>'Закупка'!T184</f>
        <v/>
      </c>
      <c r="L184" s="136" t="str">
        <f>'Закупка'!U184</f>
        <v/>
      </c>
      <c r="M184" s="137" t="str">
        <f>'Закупка'!V184</f>
        <v/>
      </c>
    </row>
    <row r="185" ht="45.0" customHeight="1">
      <c r="A185" s="126" t="str">
        <f>'Закупка'!A185</f>
        <v/>
      </c>
      <c r="B185" s="127" t="str">
        <f>'Закупка'!B185</f>
        <v/>
      </c>
      <c r="C185" s="128" t="str">
        <f>'Закупка'!R185</f>
        <v/>
      </c>
      <c r="D185" s="129" t="str">
        <f t="array" ref="D185">INDEX('Закупка'!G185:K185, $A$2)</f>
        <v/>
      </c>
      <c r="E185" s="130" t="str">
        <f>'Закупка'!F185</f>
        <v/>
      </c>
      <c r="F185" s="131" t="str">
        <f t="shared" si="1"/>
        <v/>
      </c>
      <c r="G185" s="132"/>
      <c r="H185" s="133"/>
      <c r="I185" s="145"/>
      <c r="J185" s="131" t="str">
        <f t="shared" si="2"/>
        <v/>
      </c>
      <c r="K185" s="135" t="str">
        <f>'Закупка'!T185</f>
        <v/>
      </c>
      <c r="L185" s="136" t="str">
        <f>'Закупка'!U185</f>
        <v/>
      </c>
      <c r="M185" s="137" t="str">
        <f>'Закупка'!V185</f>
        <v/>
      </c>
    </row>
    <row r="186" ht="45.0" customHeight="1">
      <c r="A186" s="126" t="str">
        <f>'Закупка'!A186</f>
        <v/>
      </c>
      <c r="B186" s="127" t="str">
        <f>'Закупка'!B186</f>
        <v/>
      </c>
      <c r="C186" s="128" t="str">
        <f>'Закупка'!R186</f>
        <v/>
      </c>
      <c r="D186" s="129" t="str">
        <f t="array" ref="D186">INDEX('Закупка'!G186:K186, $A$2)</f>
        <v/>
      </c>
      <c r="E186" s="130" t="str">
        <f>'Закупка'!F186</f>
        <v/>
      </c>
      <c r="F186" s="131" t="str">
        <f t="shared" si="1"/>
        <v/>
      </c>
      <c r="G186" s="132"/>
      <c r="H186" s="133"/>
      <c r="I186" s="145"/>
      <c r="J186" s="131" t="str">
        <f t="shared" si="2"/>
        <v/>
      </c>
      <c r="K186" s="135" t="str">
        <f>'Закупка'!T186</f>
        <v/>
      </c>
      <c r="L186" s="136" t="str">
        <f>'Закупка'!U186</f>
        <v/>
      </c>
      <c r="M186" s="137" t="str">
        <f>'Закупка'!V186</f>
        <v/>
      </c>
    </row>
    <row r="187" ht="45.0" customHeight="1">
      <c r="A187" s="126" t="str">
        <f>'Закупка'!A187</f>
        <v/>
      </c>
      <c r="B187" s="127" t="str">
        <f>'Закупка'!B187</f>
        <v/>
      </c>
      <c r="C187" s="128" t="str">
        <f>'Закупка'!R187</f>
        <v/>
      </c>
      <c r="D187" s="129" t="str">
        <f t="array" ref="D187">INDEX('Закупка'!G187:K187, $A$2)</f>
        <v/>
      </c>
      <c r="E187" s="130" t="str">
        <f>'Закупка'!F187</f>
        <v/>
      </c>
      <c r="F187" s="131" t="str">
        <f t="shared" si="1"/>
        <v/>
      </c>
      <c r="G187" s="132"/>
      <c r="H187" s="133"/>
      <c r="I187" s="145"/>
      <c r="J187" s="131" t="str">
        <f t="shared" si="2"/>
        <v/>
      </c>
      <c r="K187" s="135" t="str">
        <f>'Закупка'!T187</f>
        <v/>
      </c>
      <c r="L187" s="136" t="str">
        <f>'Закупка'!U187</f>
        <v/>
      </c>
      <c r="M187" s="137" t="str">
        <f>'Закупка'!V187</f>
        <v/>
      </c>
    </row>
    <row r="188" ht="45.0" customHeight="1">
      <c r="A188" s="126" t="str">
        <f>'Закупка'!A188</f>
        <v/>
      </c>
      <c r="B188" s="127" t="str">
        <f>'Закупка'!B188</f>
        <v/>
      </c>
      <c r="C188" s="128" t="str">
        <f>'Закупка'!R188</f>
        <v/>
      </c>
      <c r="D188" s="129" t="str">
        <f t="array" ref="D188">INDEX('Закупка'!G188:K188, $A$2)</f>
        <v/>
      </c>
      <c r="E188" s="130" t="str">
        <f>'Закупка'!F188</f>
        <v/>
      </c>
      <c r="F188" s="131" t="str">
        <f t="shared" si="1"/>
        <v/>
      </c>
      <c r="G188" s="132"/>
      <c r="H188" s="133"/>
      <c r="I188" s="145"/>
      <c r="J188" s="131" t="str">
        <f t="shared" si="2"/>
        <v/>
      </c>
      <c r="K188" s="135" t="str">
        <f>'Закупка'!T188</f>
        <v/>
      </c>
      <c r="L188" s="136" t="str">
        <f>'Закупка'!U188</f>
        <v/>
      </c>
      <c r="M188" s="137" t="str">
        <f>'Закупка'!V188</f>
        <v/>
      </c>
    </row>
    <row r="189" ht="45.0" customHeight="1">
      <c r="A189" s="126" t="str">
        <f>'Закупка'!A189</f>
        <v/>
      </c>
      <c r="B189" s="127" t="str">
        <f>'Закупка'!B189</f>
        <v/>
      </c>
      <c r="C189" s="128" t="str">
        <f>'Закупка'!R189</f>
        <v/>
      </c>
      <c r="D189" s="129" t="str">
        <f t="array" ref="D189">INDEX('Закупка'!G189:K189, $A$2)</f>
        <v/>
      </c>
      <c r="E189" s="130" t="str">
        <f>'Закупка'!F189</f>
        <v/>
      </c>
      <c r="F189" s="131" t="str">
        <f t="shared" si="1"/>
        <v/>
      </c>
      <c r="G189" s="132"/>
      <c r="H189" s="133"/>
      <c r="I189" s="145"/>
      <c r="J189" s="131" t="str">
        <f t="shared" si="2"/>
        <v/>
      </c>
      <c r="K189" s="135" t="str">
        <f>'Закупка'!T189</f>
        <v/>
      </c>
      <c r="L189" s="136" t="str">
        <f>'Закупка'!U189</f>
        <v/>
      </c>
      <c r="M189" s="137" t="str">
        <f>'Закупка'!V189</f>
        <v/>
      </c>
    </row>
    <row r="190" ht="45.0" customHeight="1">
      <c r="A190" s="126" t="str">
        <f>'Закупка'!A190</f>
        <v/>
      </c>
      <c r="B190" s="127" t="str">
        <f>'Закупка'!B190</f>
        <v/>
      </c>
      <c r="C190" s="128" t="str">
        <f>'Закупка'!R190</f>
        <v/>
      </c>
      <c r="D190" s="129" t="str">
        <f t="array" ref="D190">INDEX('Закупка'!G190:K190, $A$2)</f>
        <v/>
      </c>
      <c r="E190" s="130" t="str">
        <f>'Закупка'!F190</f>
        <v/>
      </c>
      <c r="F190" s="131" t="str">
        <f t="shared" si="1"/>
        <v/>
      </c>
      <c r="G190" s="132"/>
      <c r="H190" s="133"/>
      <c r="I190" s="145"/>
      <c r="J190" s="131" t="str">
        <f t="shared" si="2"/>
        <v/>
      </c>
      <c r="K190" s="135" t="str">
        <f>'Закупка'!T190</f>
        <v/>
      </c>
      <c r="L190" s="136" t="str">
        <f>'Закупка'!U190</f>
        <v/>
      </c>
      <c r="M190" s="137" t="str">
        <f>'Закупка'!V190</f>
        <v/>
      </c>
    </row>
    <row r="191" ht="45.0" customHeight="1">
      <c r="A191" s="126" t="str">
        <f>'Закупка'!A191</f>
        <v/>
      </c>
      <c r="B191" s="127" t="str">
        <f>'Закупка'!B191</f>
        <v/>
      </c>
      <c r="C191" s="128" t="str">
        <f>'Закупка'!R191</f>
        <v/>
      </c>
      <c r="D191" s="129" t="str">
        <f t="array" ref="D191">INDEX('Закупка'!G191:K191, $A$2)</f>
        <v/>
      </c>
      <c r="E191" s="130" t="str">
        <f>'Закупка'!F191</f>
        <v/>
      </c>
      <c r="F191" s="131" t="str">
        <f t="shared" si="1"/>
        <v/>
      </c>
      <c r="G191" s="132"/>
      <c r="H191" s="133"/>
      <c r="I191" s="145"/>
      <c r="J191" s="131" t="str">
        <f t="shared" si="2"/>
        <v/>
      </c>
      <c r="K191" s="135" t="str">
        <f>'Закупка'!T191</f>
        <v/>
      </c>
      <c r="L191" s="136" t="str">
        <f>'Закупка'!U191</f>
        <v/>
      </c>
      <c r="M191" s="137" t="str">
        <f>'Закупка'!V191</f>
        <v/>
      </c>
    </row>
    <row r="192" ht="45.0" customHeight="1">
      <c r="A192" s="126" t="str">
        <f>'Закупка'!A192</f>
        <v/>
      </c>
      <c r="B192" s="127" t="str">
        <f>'Закупка'!B192</f>
        <v/>
      </c>
      <c r="C192" s="128" t="str">
        <f>'Закупка'!R192</f>
        <v/>
      </c>
      <c r="D192" s="129" t="str">
        <f t="array" ref="D192">INDEX('Закупка'!G192:K192, $A$2)</f>
        <v/>
      </c>
      <c r="E192" s="130" t="str">
        <f>'Закупка'!F192</f>
        <v/>
      </c>
      <c r="F192" s="131" t="str">
        <f t="shared" si="1"/>
        <v/>
      </c>
      <c r="G192" s="132"/>
      <c r="H192" s="133"/>
      <c r="I192" s="145"/>
      <c r="J192" s="131" t="str">
        <f t="shared" si="2"/>
        <v/>
      </c>
      <c r="K192" s="135" t="str">
        <f>'Закупка'!T192</f>
        <v/>
      </c>
      <c r="L192" s="136" t="str">
        <f>'Закупка'!U192</f>
        <v/>
      </c>
      <c r="M192" s="137" t="str">
        <f>'Закупка'!V192</f>
        <v/>
      </c>
    </row>
    <row r="193" ht="45.0" customHeight="1">
      <c r="A193" s="126" t="str">
        <f>'Закупка'!A193</f>
        <v/>
      </c>
      <c r="B193" s="127" t="str">
        <f>'Закупка'!B193</f>
        <v/>
      </c>
      <c r="C193" s="128" t="str">
        <f>'Закупка'!R193</f>
        <v/>
      </c>
      <c r="D193" s="129" t="str">
        <f t="array" ref="D193">INDEX('Закупка'!G193:K193, $A$2)</f>
        <v/>
      </c>
      <c r="E193" s="130" t="str">
        <f>'Закупка'!F193</f>
        <v/>
      </c>
      <c r="F193" s="131" t="str">
        <f t="shared" si="1"/>
        <v/>
      </c>
      <c r="G193" s="132"/>
      <c r="H193" s="133"/>
      <c r="I193" s="145"/>
      <c r="J193" s="131" t="str">
        <f t="shared" si="2"/>
        <v/>
      </c>
      <c r="K193" s="135" t="str">
        <f>'Закупка'!T193</f>
        <v/>
      </c>
      <c r="L193" s="136" t="str">
        <f>'Закупка'!U193</f>
        <v/>
      </c>
      <c r="M193" s="137" t="str">
        <f>'Закупка'!V193</f>
        <v/>
      </c>
    </row>
    <row r="194" ht="45.0" customHeight="1">
      <c r="A194" s="126" t="str">
        <f>'Закупка'!A194</f>
        <v/>
      </c>
      <c r="B194" s="127" t="str">
        <f>'Закупка'!B194</f>
        <v/>
      </c>
      <c r="C194" s="128" t="str">
        <f>'Закупка'!R194</f>
        <v/>
      </c>
      <c r="D194" s="129" t="str">
        <f t="array" ref="D194">INDEX('Закупка'!G194:K194, $A$2)</f>
        <v/>
      </c>
      <c r="E194" s="130" t="str">
        <f>'Закупка'!F194</f>
        <v/>
      </c>
      <c r="F194" s="131" t="str">
        <f t="shared" si="1"/>
        <v/>
      </c>
      <c r="G194" s="132"/>
      <c r="H194" s="133"/>
      <c r="I194" s="145"/>
      <c r="J194" s="131" t="str">
        <f t="shared" si="2"/>
        <v/>
      </c>
      <c r="K194" s="135" t="str">
        <f>'Закупка'!T194</f>
        <v/>
      </c>
      <c r="L194" s="136" t="str">
        <f>'Закупка'!U194</f>
        <v/>
      </c>
      <c r="M194" s="137" t="str">
        <f>'Закупка'!V194</f>
        <v/>
      </c>
    </row>
    <row r="195" ht="45.0" customHeight="1">
      <c r="A195" s="126" t="str">
        <f>'Закупка'!A195</f>
        <v/>
      </c>
      <c r="B195" s="127" t="str">
        <f>'Закупка'!B195</f>
        <v/>
      </c>
      <c r="C195" s="128" t="str">
        <f>'Закупка'!R195</f>
        <v/>
      </c>
      <c r="D195" s="129" t="str">
        <f t="array" ref="D195">INDEX('Закупка'!G195:K195, $A$2)</f>
        <v/>
      </c>
      <c r="E195" s="130" t="str">
        <f>'Закупка'!F195</f>
        <v/>
      </c>
      <c r="F195" s="131" t="str">
        <f t="shared" si="1"/>
        <v/>
      </c>
      <c r="G195" s="132"/>
      <c r="H195" s="133"/>
      <c r="I195" s="145"/>
      <c r="J195" s="131" t="str">
        <f t="shared" si="2"/>
        <v/>
      </c>
      <c r="K195" s="135" t="str">
        <f>'Закупка'!T195</f>
        <v/>
      </c>
      <c r="L195" s="136" t="str">
        <f>'Закупка'!U195</f>
        <v/>
      </c>
      <c r="M195" s="137" t="str">
        <f>'Закупка'!V195</f>
        <v/>
      </c>
    </row>
    <row r="196" ht="45.0" customHeight="1">
      <c r="A196" s="126" t="str">
        <f>'Закупка'!A196</f>
        <v/>
      </c>
      <c r="B196" s="127" t="str">
        <f>'Закупка'!B196</f>
        <v/>
      </c>
      <c r="C196" s="128" t="str">
        <f>'Закупка'!R196</f>
        <v/>
      </c>
      <c r="D196" s="129" t="str">
        <f t="array" ref="D196">INDEX('Закупка'!G196:K196, $A$2)</f>
        <v/>
      </c>
      <c r="E196" s="130" t="str">
        <f>'Закупка'!F196</f>
        <v/>
      </c>
      <c r="F196" s="131" t="str">
        <f t="shared" si="1"/>
        <v/>
      </c>
      <c r="G196" s="132"/>
      <c r="H196" s="133"/>
      <c r="I196" s="145"/>
      <c r="J196" s="131" t="str">
        <f t="shared" si="2"/>
        <v/>
      </c>
      <c r="K196" s="135" t="str">
        <f>'Закупка'!T196</f>
        <v/>
      </c>
      <c r="L196" s="136" t="str">
        <f>'Закупка'!U196</f>
        <v/>
      </c>
      <c r="M196" s="137" t="str">
        <f>'Закупка'!V196</f>
        <v/>
      </c>
    </row>
    <row r="197" ht="45.0" customHeight="1">
      <c r="A197" s="138" t="str">
        <f>'Закупка'!A197</f>
        <v/>
      </c>
      <c r="B197" s="127" t="str">
        <f>'Закупка'!B197</f>
        <v/>
      </c>
      <c r="C197" s="128" t="str">
        <f>'Закупка'!R197</f>
        <v/>
      </c>
      <c r="D197" s="129" t="str">
        <f t="array" ref="D197">INDEX('Закупка'!G197:K197, $A$2)</f>
        <v/>
      </c>
      <c r="E197" s="139" t="str">
        <f>'Закупка'!F197</f>
        <v/>
      </c>
      <c r="F197" s="131" t="str">
        <f t="shared" si="1"/>
        <v/>
      </c>
      <c r="G197" s="132"/>
      <c r="H197" s="133"/>
      <c r="I197" s="145"/>
      <c r="J197" s="131" t="str">
        <f t="shared" si="2"/>
        <v/>
      </c>
      <c r="K197" s="135" t="str">
        <f>'Закупка'!T197</f>
        <v/>
      </c>
      <c r="L197" s="136" t="str">
        <f>'Закупка'!U197</f>
        <v/>
      </c>
      <c r="M197" s="137" t="str">
        <f>'Закупка'!V197</f>
        <v/>
      </c>
    </row>
    <row r="198" ht="45.0" customHeight="1">
      <c r="A198" s="138" t="str">
        <f>'Закупка'!A198</f>
        <v/>
      </c>
      <c r="B198" s="127" t="str">
        <f>'Закупка'!B198</f>
        <v/>
      </c>
      <c r="C198" s="128" t="str">
        <f>'Закупка'!R198</f>
        <v/>
      </c>
      <c r="D198" s="129" t="str">
        <f t="array" ref="D198">INDEX('Закупка'!G198:K198, $A$2)</f>
        <v/>
      </c>
      <c r="E198" s="139" t="str">
        <f>'Закупка'!F198</f>
        <v/>
      </c>
      <c r="F198" s="131" t="str">
        <f t="shared" si="1"/>
        <v/>
      </c>
      <c r="G198" s="132"/>
      <c r="H198" s="133"/>
      <c r="I198" s="145"/>
      <c r="J198" s="131" t="str">
        <f t="shared" si="2"/>
        <v/>
      </c>
      <c r="K198" s="135" t="str">
        <f>'Закупка'!T198</f>
        <v/>
      </c>
      <c r="L198" s="136" t="str">
        <f>'Закупка'!U198</f>
        <v/>
      </c>
      <c r="M198" s="137" t="str">
        <f>'Закупка'!V198</f>
        <v/>
      </c>
    </row>
    <row r="199" ht="45.0" customHeight="1">
      <c r="A199" s="138" t="str">
        <f>'Закупка'!A199</f>
        <v/>
      </c>
      <c r="B199" s="127" t="str">
        <f>'Закупка'!B199</f>
        <v/>
      </c>
      <c r="C199" s="128" t="str">
        <f>'Закупка'!R199</f>
        <v/>
      </c>
      <c r="D199" s="129" t="str">
        <f t="array" ref="D199">INDEX('Закупка'!G199:K199, $A$2)</f>
        <v/>
      </c>
      <c r="E199" s="139" t="str">
        <f>'Закупка'!F199</f>
        <v/>
      </c>
      <c r="F199" s="131" t="str">
        <f t="shared" si="1"/>
        <v/>
      </c>
      <c r="G199" s="132"/>
      <c r="H199" s="133"/>
      <c r="I199" s="145"/>
      <c r="J199" s="131" t="str">
        <f t="shared" si="2"/>
        <v/>
      </c>
      <c r="K199" s="135" t="str">
        <f>'Закупка'!T199</f>
        <v/>
      </c>
      <c r="L199" s="136" t="str">
        <f>'Закупка'!U199</f>
        <v/>
      </c>
      <c r="M199" s="13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1" t="s">
        <v>9</v>
      </c>
      <c r="B1" s="111" t="str">
        <f>VLOOKUP(A1, Lookup!B:C, 2, FALSE)</f>
        <v>Blau</v>
      </c>
      <c r="C1" s="112"/>
      <c r="D1" s="113" t="s">
        <v>174</v>
      </c>
      <c r="E1" s="114" t="str">
        <f>'Закупка'!F1</f>
        <v>внтури пачки штук?</v>
      </c>
      <c r="F1" s="113" t="s">
        <v>175</v>
      </c>
      <c r="G1" s="115" t="s">
        <v>176</v>
      </c>
      <c r="J1" s="113" t="s">
        <v>177</v>
      </c>
      <c r="K1" s="116"/>
      <c r="L1" s="140"/>
      <c r="M1" s="116"/>
    </row>
    <row r="2" ht="23.25" customHeight="1">
      <c r="A2" s="119">
        <f>MATCH(A1, 'Закупка'!G1:K1, 0)</f>
        <v>5</v>
      </c>
      <c r="B2" s="120">
        <f>'Закупка'!B2</f>
        <v>45845</v>
      </c>
      <c r="C2" s="121"/>
      <c r="G2" s="122" t="s">
        <v>187</v>
      </c>
      <c r="H2" s="122" t="s">
        <v>188</v>
      </c>
      <c r="I2" s="122" t="s">
        <v>180</v>
      </c>
      <c r="K2" s="123" t="str">
        <f>'Закупка'!T1</f>
        <v>Holded артикул</v>
      </c>
      <c r="L2" s="124" t="str">
        <f>'Закупка'!U1</f>
        <v>название с holded</v>
      </c>
      <c r="M2" s="125" t="str">
        <f>'Закупка'!V1</f>
        <v>codigo de fabricasion</v>
      </c>
    </row>
    <row r="3" ht="45.0" customHeight="1">
      <c r="A3" s="126" t="str">
        <f>'Закупка'!A3</f>
        <v/>
      </c>
      <c r="B3" s="127" t="str">
        <f>'Закупка'!B3</f>
        <v>Фактура 1</v>
      </c>
      <c r="C3" s="128" t="str">
        <f>'Закупка'!R3</f>
        <v/>
      </c>
      <c r="D3" s="129" t="str">
        <f t="array" ref="D3">INDEX('Закупка'!G3:K3, $A$2)</f>
        <v/>
      </c>
      <c r="E3" s="130" t="str">
        <f>'Закупка'!F3</f>
        <v/>
      </c>
      <c r="F3" s="131" t="str">
        <f t="shared" ref="F3:F199" si="1">IF(D3&lt;&gt;"",D3*E3,)</f>
        <v/>
      </c>
      <c r="G3" s="132"/>
      <c r="H3" s="133"/>
      <c r="I3" s="134"/>
      <c r="J3" s="131"/>
      <c r="K3" s="135" t="str">
        <f>'Закупка'!T3</f>
        <v/>
      </c>
      <c r="L3" s="136" t="str">
        <f>'Закупка'!U3</f>
        <v/>
      </c>
      <c r="M3" s="137" t="str">
        <f>'Закупка'!V3</f>
        <v/>
      </c>
    </row>
    <row r="4" ht="45.0" customHeight="1">
      <c r="A4" s="126" t="str">
        <f>'Закупка'!A4</f>
        <v>1.1</v>
      </c>
      <c r="B4" s="127" t="str">
        <f>'Закупка'!B4</f>
        <v>RANUNCULUS CLOONEY TUAREQ</v>
      </c>
      <c r="C4" s="128" t="str">
        <f>'Закупка'!R4</f>
        <v/>
      </c>
      <c r="D4" s="129" t="str">
        <f t="array" ref="D4">INDEX('Закупка'!G4:K4, $A$2)</f>
        <v/>
      </c>
      <c r="E4" s="130" t="str">
        <f>'Закупка'!F4</f>
        <v>10</v>
      </c>
      <c r="F4" s="131" t="str">
        <f t="shared" si="1"/>
        <v/>
      </c>
      <c r="G4" s="132"/>
      <c r="H4" s="133"/>
      <c r="I4" s="134"/>
      <c r="J4" s="131"/>
      <c r="K4" s="135">
        <f>'Закупка'!T4</f>
        <v>8400518</v>
      </c>
      <c r="L4" s="136" t="str">
        <f>'Закупка'!U4</f>
        <v>RANUNCULUS - Butterfly - flor</v>
      </c>
      <c r="M4" s="137" t="str">
        <f>'Закупка'!V4</f>
        <v> RANUBUBL, RANUBUSA, 174946, 147132, 126830</v>
      </c>
    </row>
    <row r="5" ht="45.0" customHeight="1">
      <c r="A5" s="126" t="str">
        <f>'Закупка'!A5</f>
        <v>1.2</v>
      </c>
      <c r="B5" s="127" t="str">
        <f>'Закупка'!B5</f>
        <v>RANUNCULUS CLOONEY GRAND PASTEL</v>
      </c>
      <c r="C5" s="128" t="str">
        <f>'Закупка'!R5</f>
        <v/>
      </c>
      <c r="D5" s="129">
        <f t="array" ref="D5">INDEX('Закупка'!G5:K5, $A$2)</f>
        <v>6</v>
      </c>
      <c r="E5" s="130" t="str">
        <f>'Закупка'!F5</f>
        <v>10</v>
      </c>
      <c r="F5" s="131">
        <f t="shared" si="1"/>
        <v>60</v>
      </c>
      <c r="G5" s="132">
        <v>6.0</v>
      </c>
      <c r="H5" s="133">
        <v>48.0</v>
      </c>
      <c r="I5" s="134"/>
      <c r="J5" s="131"/>
      <c r="K5" s="135">
        <f>'Закупка'!T5</f>
        <v>8400518</v>
      </c>
      <c r="L5" s="136" t="str">
        <f>'Закупка'!U5</f>
        <v>RANUNCULUS - Butterfly - flor</v>
      </c>
      <c r="M5" s="137" t="str">
        <f>'Закупка'!V5</f>
        <v> RANUBUBL, RANUBUSA, 174946, 147132, 126830</v>
      </c>
    </row>
    <row r="6" ht="45.0" customHeight="1">
      <c r="A6" s="126" t="str">
        <f>'Закупка'!A6</f>
        <v>1.3</v>
      </c>
      <c r="B6" s="127" t="str">
        <f>'Закупка'!B6</f>
        <v>ALSTROEMERIA SI SOFIENA</v>
      </c>
      <c r="C6" s="128" t="str">
        <f>'Закупка'!R6</f>
        <v/>
      </c>
      <c r="D6" s="129">
        <f t="array" ref="D6">INDEX('Закупка'!G6:K6, $A$2)</f>
        <v>2</v>
      </c>
      <c r="E6" s="130" t="str">
        <f>'Закупка'!F6</f>
        <v>10</v>
      </c>
      <c r="F6" s="131">
        <f t="shared" si="1"/>
        <v>20</v>
      </c>
      <c r="G6" s="132">
        <v>2.0</v>
      </c>
      <c r="H6" s="133">
        <v>18.0</v>
      </c>
      <c r="I6" s="134"/>
      <c r="J6" s="131"/>
      <c r="K6" s="135">
        <f>'Закупка'!T6</f>
        <v>8400154</v>
      </c>
      <c r="L6" s="136" t="str">
        <f>'Закупка'!U6</f>
        <v>ALSTROEMERIA - flor</v>
      </c>
      <c r="M6" s="137" t="str">
        <f>'Закупка'!V6</f>
        <v>00027, 11920, 146548, 148465, ALS VA, 148462, 148466, 11920, ALS-P, 137896, 137077, 137894, 148289, 148469, ALSTROEMERIES ALSTROEMERIA, ALSP, 11920</v>
      </c>
    </row>
    <row r="7" ht="45.0" customHeight="1">
      <c r="A7" s="126" t="str">
        <f>'Закупка'!A7</f>
        <v>1.4</v>
      </c>
      <c r="B7" s="127" t="str">
        <f>'Закупка'!B7</f>
        <v>ROSA LARGE BELLE ROSE</v>
      </c>
      <c r="C7" s="128" t="str">
        <f>'Закупка'!R7</f>
        <v/>
      </c>
      <c r="D7" s="129">
        <f t="array" ref="D7">INDEX('Закупка'!G7:K7, $A$2)</f>
        <v>6</v>
      </c>
      <c r="E7" s="130" t="str">
        <f>'Закупка'!F7</f>
        <v>10</v>
      </c>
      <c r="F7" s="131">
        <f t="shared" si="1"/>
        <v>60</v>
      </c>
      <c r="G7" s="132">
        <v>6.0</v>
      </c>
      <c r="H7" s="133">
        <v>60.0</v>
      </c>
      <c r="I7" s="134"/>
      <c r="J7" s="131"/>
      <c r="K7" s="135">
        <f>'Закупка'!T7</f>
        <v>8400731</v>
      </c>
      <c r="L7" s="136" t="str">
        <f>'Закупка'!U7</f>
        <v>RS ROSA LA BELLE LOLOMARIK - flor</v>
      </c>
      <c r="M7" s="137">
        <f>'Закупка'!V7</f>
        <v>181496</v>
      </c>
    </row>
    <row r="8" ht="45.0" customHeight="1">
      <c r="A8" s="126" t="str">
        <f>'Закупка'!A8</f>
        <v>1.5</v>
      </c>
      <c r="B8" s="127" t="str">
        <f>'Закупка'!B8</f>
        <v>ROSA GARDEN PRISCILLA!</v>
      </c>
      <c r="C8" s="128" t="str">
        <f>'Закупка'!R8</f>
        <v/>
      </c>
      <c r="D8" s="129">
        <f t="array" ref="D8">INDEX('Закупка'!G8:K8, $A$2)</f>
        <v>4</v>
      </c>
      <c r="E8" s="130" t="str">
        <f>'Закупка'!F8</f>
        <v>5</v>
      </c>
      <c r="F8" s="131">
        <f t="shared" si="1"/>
        <v>20</v>
      </c>
      <c r="G8" s="132">
        <v>4.0</v>
      </c>
      <c r="H8" s="133">
        <v>20.0</v>
      </c>
      <c r="I8" s="134"/>
      <c r="J8" s="131"/>
      <c r="K8" s="135">
        <f>'Закупка'!T8</f>
        <v>84001081</v>
      </c>
      <c r="L8" s="136" t="str">
        <f>'Закупка'!U8</f>
        <v>ROSA PRISCILLA - flor</v>
      </c>
      <c r="M8" s="137" t="str">
        <f>'Закупка'!V8</f>
        <v/>
      </c>
    </row>
    <row r="9" ht="45.0" customHeight="1">
      <c r="A9" s="126" t="str">
        <f>'Закупка'!A9</f>
        <v>1.6</v>
      </c>
      <c r="B9" s="127" t="str">
        <f>'Закупка'!B9</f>
        <v>ROSA GARDEN MIX UHURU</v>
      </c>
      <c r="C9" s="128" t="str">
        <f>'Закупка'!R9</f>
        <v/>
      </c>
      <c r="D9" s="129">
        <f t="array" ref="D9">INDEX('Закупка'!G9:K9, $A$2)</f>
        <v>8</v>
      </c>
      <c r="E9" s="130" t="str">
        <f>'Закупка'!F9</f>
        <v>6</v>
      </c>
      <c r="F9" s="131">
        <f t="shared" si="1"/>
        <v>48</v>
      </c>
      <c r="G9" s="132">
        <v>8.0</v>
      </c>
      <c r="H9" s="133">
        <v>46.0</v>
      </c>
      <c r="I9" s="134"/>
      <c r="J9" s="131"/>
      <c r="K9" s="135">
        <f>'Закупка'!T9</f>
        <v>84001157</v>
      </c>
      <c r="L9" s="136" t="str">
        <f>'Закупка'!U9</f>
        <v>RISA GARDAN MIX - flor/3</v>
      </c>
      <c r="M9" s="137" t="str">
        <f>'Закупка'!V9</f>
        <v/>
      </c>
    </row>
    <row r="10" ht="45.0" customHeight="1">
      <c r="A10" s="126" t="str">
        <f>'Закупка'!A10</f>
        <v>1.7</v>
      </c>
      <c r="B10" s="127" t="str">
        <f>'Закупка'!B10</f>
        <v>ROSA SPRAY CHIMO</v>
      </c>
      <c r="C10" s="128" t="str">
        <f>'Закупка'!R10</f>
        <v/>
      </c>
      <c r="D10" s="129">
        <f t="array" ref="D10">INDEX('Закупка'!G10:K10, $A$2)</f>
        <v>3</v>
      </c>
      <c r="E10" s="130" t="str">
        <f>'Закупка'!F10</f>
        <v>10</v>
      </c>
      <c r="F10" s="131">
        <f t="shared" si="1"/>
        <v>30</v>
      </c>
      <c r="G10" s="132">
        <v>3.0</v>
      </c>
      <c r="H10" s="133">
        <v>30.0</v>
      </c>
      <c r="I10" s="134"/>
      <c r="J10" s="131"/>
      <c r="K10" s="135">
        <f>'Закупка'!T10</f>
        <v>8400828</v>
      </c>
      <c r="L10" s="136" t="str">
        <f>'Закупка'!U10</f>
        <v>ROSA CHIMO - flor</v>
      </c>
      <c r="M10" s="137">
        <f>'Закупка'!V10</f>
        <v>135409</v>
      </c>
    </row>
    <row r="11" ht="45.0" customHeight="1">
      <c r="A11" s="126" t="str">
        <f>'Закупка'!A11</f>
        <v>1.8</v>
      </c>
      <c r="B11" s="127" t="str">
        <f>'Закупка'!B11</f>
        <v>ROSA SPRAY BIRDS NEST+</v>
      </c>
      <c r="C11" s="128" t="str">
        <f>'Закупка'!R11</f>
        <v/>
      </c>
      <c r="D11" s="129">
        <f t="array" ref="D11">INDEX('Закупка'!G11:K11, $A$2)</f>
        <v>3</v>
      </c>
      <c r="E11" s="130" t="str">
        <f>'Закупка'!F11</f>
        <v>10</v>
      </c>
      <c r="F11" s="131">
        <f t="shared" si="1"/>
        <v>30</v>
      </c>
      <c r="G11" s="132">
        <v>3.0</v>
      </c>
      <c r="H11" s="133">
        <v>30.0</v>
      </c>
      <c r="I11" s="134"/>
      <c r="J11" s="131"/>
      <c r="K11" s="135">
        <f>'Закупка'!T11</f>
        <v>84001078</v>
      </c>
      <c r="L11" s="136" t="str">
        <f>'Закупка'!U11</f>
        <v>ROSA BIRDS NEST - flor</v>
      </c>
      <c r="M11" s="137" t="str">
        <f>'Закупка'!V11</f>
        <v/>
      </c>
    </row>
    <row r="12" ht="45.0" customHeight="1">
      <c r="A12" s="126" t="str">
        <f>'Закупка'!A12</f>
        <v>1.9</v>
      </c>
      <c r="B12" s="127" t="str">
        <f>'Закупка'!B12</f>
        <v>ROSA LARGE CELEB</v>
      </c>
      <c r="C12" s="128" t="str">
        <f>'Закупка'!R12</f>
        <v/>
      </c>
      <c r="D12" s="129" t="str">
        <f t="array" ref="D12">INDEX('Закупка'!G12:K12, $A$2)</f>
        <v/>
      </c>
      <c r="E12" s="130" t="str">
        <f>'Закупка'!F12</f>
        <v>10</v>
      </c>
      <c r="F12" s="131" t="str">
        <f t="shared" si="1"/>
        <v/>
      </c>
      <c r="G12" s="132"/>
      <c r="H12" s="133"/>
      <c r="I12" s="134"/>
      <c r="J12" s="131"/>
      <c r="K12" s="135">
        <f>'Закупка'!T12</f>
        <v>84001044</v>
      </c>
      <c r="L12" s="136" t="str">
        <f>'Закупка'!U12</f>
        <v>ROSA CELEBRATING HEATHER - flor</v>
      </c>
      <c r="M12" s="137" t="str">
        <f>'Закупка'!V12</f>
        <v/>
      </c>
    </row>
    <row r="13" ht="45.0" customHeight="1">
      <c r="A13" s="126" t="str">
        <f>'Закупка'!A13</f>
        <v>1.10</v>
      </c>
      <c r="B13" s="127" t="str">
        <f>'Закупка'!B13</f>
        <v>ARR CACTUS</v>
      </c>
      <c r="C13" s="128" t="str">
        <f>'Закупка'!R13</f>
        <v/>
      </c>
      <c r="D13" s="129">
        <f t="array" ref="D13">INDEX('Закупка'!G13:K13, $A$2)</f>
        <v>9</v>
      </c>
      <c r="E13" s="130" t="str">
        <f>'Закупка'!F13</f>
        <v>1</v>
      </c>
      <c r="F13" s="131">
        <f t="shared" si="1"/>
        <v>9</v>
      </c>
      <c r="G13" s="132">
        <v>9.0</v>
      </c>
      <c r="H13" s="133">
        <v>9.0</v>
      </c>
      <c r="I13" s="134"/>
      <c r="J13" s="131"/>
      <c r="K13" s="135">
        <f>'Закупка'!T13</f>
        <v>8400594</v>
      </c>
      <c r="L13" s="136" t="str">
        <f>'Закупка'!U13</f>
        <v>CACTUS - planta/22</v>
      </c>
      <c r="M13" s="137" t="str">
        <f>'Закупка'!V13</f>
        <v>TEST 13 cactus</v>
      </c>
    </row>
    <row r="14" ht="45.0" customHeight="1">
      <c r="A14" s="126" t="str">
        <f>'Закупка'!A14</f>
        <v>1.11</v>
      </c>
      <c r="B14" s="127" t="str">
        <f>'Закупка'!B14</f>
        <v>ALOE ARBO</v>
      </c>
      <c r="C14" s="128" t="str">
        <f>'Закупка'!R14</f>
        <v/>
      </c>
      <c r="D14" s="129" t="str">
        <f t="array" ref="D14">INDEX('Закупка'!G14:K14, $A$2)</f>
        <v/>
      </c>
      <c r="E14" s="130" t="str">
        <f>'Закупка'!F14</f>
        <v>1</v>
      </c>
      <c r="F14" s="131" t="str">
        <f t="shared" si="1"/>
        <v/>
      </c>
      <c r="G14" s="132"/>
      <c r="H14" s="133"/>
      <c r="I14" s="134"/>
      <c r="J14" s="131"/>
      <c r="K14" s="135">
        <f>'Закупка'!T14</f>
        <v>84001156</v>
      </c>
      <c r="L14" s="136" t="str">
        <f>'Закупка'!U14</f>
        <v>ALOE ARBO - planta/67</v>
      </c>
      <c r="M14" s="137" t="str">
        <f>'Закупка'!V14</f>
        <v/>
      </c>
    </row>
    <row r="15" ht="45.0" customHeight="1">
      <c r="A15" s="126" t="str">
        <f>'Закупка'!A15</f>
        <v>1.12</v>
      </c>
      <c r="B15" s="127" t="str">
        <f>'Закупка'!B15</f>
        <v>ALOE ARBO</v>
      </c>
      <c r="C15" s="128" t="str">
        <f>'Закупка'!R15</f>
        <v/>
      </c>
      <c r="D15" s="129">
        <f t="array" ref="D15">INDEX('Закупка'!G15:K15, $A$2)</f>
        <v>4</v>
      </c>
      <c r="E15" s="130" t="str">
        <f>'Закупка'!F15</f>
        <v>1</v>
      </c>
      <c r="F15" s="131">
        <f t="shared" si="1"/>
        <v>4</v>
      </c>
      <c r="G15" s="132">
        <v>4.0</v>
      </c>
      <c r="H15" s="133">
        <v>4.0</v>
      </c>
      <c r="I15" s="134"/>
      <c r="J15" s="131"/>
      <c r="K15" s="135">
        <f>'Закупка'!T15</f>
        <v>84001155</v>
      </c>
      <c r="L15" s="136" t="str">
        <f>'Закупка'!U15</f>
        <v>ALOE ARBO - planta/47</v>
      </c>
      <c r="M15" s="137" t="str">
        <f>'Закупка'!V15</f>
        <v/>
      </c>
    </row>
    <row r="16" ht="45.0" customHeight="1">
      <c r="A16" s="126" t="str">
        <f>'Закупка'!A16</f>
        <v>1.13</v>
      </c>
      <c r="B16" s="127" t="str">
        <f>'Закупка'!B16</f>
        <v>ARR2 MB GROEN IJZER REK 1 BOL</v>
      </c>
      <c r="C16" s="128" t="str">
        <f>'Закупка'!R16</f>
        <v/>
      </c>
      <c r="D16" s="129">
        <f t="array" ref="D16">INDEX('Закупка'!G16:K16, $A$2)</f>
        <v>4</v>
      </c>
      <c r="E16" s="130" t="str">
        <f>'Закупка'!F16</f>
        <v>1</v>
      </c>
      <c r="F16" s="131">
        <f t="shared" si="1"/>
        <v>4</v>
      </c>
      <c r="G16" s="132">
        <v>4.0</v>
      </c>
      <c r="H16" s="133">
        <v>4.0</v>
      </c>
      <c r="I16" s="134"/>
      <c r="J16" s="131"/>
      <c r="K16" s="135">
        <f>'Закупка'!T16</f>
        <v>8400410</v>
      </c>
      <c r="L16" s="136" t="str">
        <f>'Закупка'!U16</f>
        <v>SUCCULENTUS T16, T22 - MIX - planta/22</v>
      </c>
      <c r="M16" s="137" t="str">
        <f>'Закупка'!V16</f>
        <v>6CRASA22, 54, CRASS16 </v>
      </c>
    </row>
    <row r="17" ht="45.0" customHeight="1">
      <c r="A17" s="126" t="str">
        <f>'Закупка'!A17</f>
        <v>1.14</v>
      </c>
      <c r="B17" s="127" t="str">
        <f>'Закупка'!B17</f>
        <v>ARR NARCISSUS TETE-A-TETE</v>
      </c>
      <c r="C17" s="128" t="str">
        <f>'Закупка'!R17</f>
        <v/>
      </c>
      <c r="D17" s="129">
        <f t="array" ref="D17">INDEX('Закупка'!G17:K17, $A$2)</f>
        <v>6</v>
      </c>
      <c r="E17" s="130" t="str">
        <f>'Закупка'!F17</f>
        <v>1</v>
      </c>
      <c r="F17" s="131">
        <f t="shared" si="1"/>
        <v>6</v>
      </c>
      <c r="G17" s="132">
        <v>6.0</v>
      </c>
      <c r="H17" s="133">
        <v>6.0</v>
      </c>
      <c r="I17" s="134"/>
      <c r="J17" s="131"/>
      <c r="K17" s="135">
        <f>'Закупка'!T17</f>
        <v>84001152</v>
      </c>
      <c r="L17" s="136" t="str">
        <f>'Закупка'!U17</f>
        <v>NARCISO TETE-A-TETE - composición/14</v>
      </c>
      <c r="M17" s="137" t="str">
        <f>'Закупка'!V17</f>
        <v/>
      </c>
    </row>
    <row r="18" ht="45.0" customHeight="1">
      <c r="A18" s="126" t="str">
        <f>'Закупка'!A18</f>
        <v>1.15</v>
      </c>
      <c r="B18" s="127" t="str">
        <f>'Закупка'!B18</f>
        <v>ARR NARCISSUS</v>
      </c>
      <c r="C18" s="128" t="str">
        <f>'Закупка'!R18</f>
        <v/>
      </c>
      <c r="D18" s="129">
        <f t="array" ref="D18">INDEX('Закупка'!G18:K18, $A$2)</f>
        <v>4</v>
      </c>
      <c r="E18" s="130" t="str">
        <f>'Закупка'!F18</f>
        <v>1</v>
      </c>
      <c r="F18" s="131">
        <f t="shared" si="1"/>
        <v>4</v>
      </c>
      <c r="G18" s="132">
        <v>4.0</v>
      </c>
      <c r="H18" s="133">
        <v>4.0</v>
      </c>
      <c r="I18" s="134"/>
      <c r="J18" s="131"/>
      <c r="K18" s="135">
        <f>'Закупка'!T18</f>
        <v>84001038</v>
      </c>
      <c r="L18" s="136" t="str">
        <f>'Закупка'!U18</f>
        <v>NARCIS MASCOTA - planta  /17</v>
      </c>
      <c r="M18" s="137" t="str">
        <f>'Закупка'!V18</f>
        <v/>
      </c>
    </row>
    <row r="19" ht="45.0" customHeight="1">
      <c r="A19" s="126" t="str">
        <f>'Закупка'!A19</f>
        <v>1.16</v>
      </c>
      <c r="B19" s="127" t="str">
        <f>'Закупка'!B19</f>
        <v>ARR2 PL KER BAROK DRACENA</v>
      </c>
      <c r="C19" s="128" t="str">
        <f>'Закупка'!R19</f>
        <v/>
      </c>
      <c r="D19" s="129" t="str">
        <f t="array" ref="D19">INDEX('Закупка'!G19:K19, $A$2)</f>
        <v/>
      </c>
      <c r="E19" s="130" t="str">
        <f>'Закупка'!F19</f>
        <v>1</v>
      </c>
      <c r="F19" s="131" t="str">
        <f t="shared" si="1"/>
        <v/>
      </c>
      <c r="G19" s="132"/>
      <c r="H19" s="133"/>
      <c r="I19" s="134"/>
      <c r="J19" s="131"/>
      <c r="K19" s="135">
        <f>'Закупка'!T19</f>
        <v>84001154</v>
      </c>
      <c r="L19" s="136" t="str">
        <f>'Закупка'!U19</f>
        <v>COMPOSITION DE DRECENA - planta/38</v>
      </c>
      <c r="M19" s="137" t="str">
        <f>'Закупка'!V19</f>
        <v/>
      </c>
    </row>
    <row r="20" ht="45.0" customHeight="1">
      <c r="A20" s="126" t="str">
        <f>'Закупка'!A20</f>
        <v>1.17</v>
      </c>
      <c r="B20" s="127" t="str">
        <f>'Закупка'!B20</f>
        <v>ARR2 PL KER BAROK DRACENA</v>
      </c>
      <c r="C20" s="128" t="str">
        <f>'Закупка'!R20</f>
        <v/>
      </c>
      <c r="D20" s="129">
        <f t="array" ref="D20">INDEX('Закупка'!G20:K20, $A$2)</f>
        <v>4</v>
      </c>
      <c r="E20" s="130" t="str">
        <f>'Закупка'!F20</f>
        <v>1</v>
      </c>
      <c r="F20" s="131">
        <f t="shared" si="1"/>
        <v>4</v>
      </c>
      <c r="G20" s="132">
        <v>4.0</v>
      </c>
      <c r="H20" s="133">
        <v>4.0</v>
      </c>
      <c r="I20" s="134"/>
      <c r="J20" s="131"/>
      <c r="K20" s="135">
        <f>'Закупка'!T20</f>
        <v>84001154</v>
      </c>
      <c r="L20" s="136" t="str">
        <f>'Закупка'!U20</f>
        <v>COMPOSITION DE DRECENA - planta/38</v>
      </c>
      <c r="M20" s="137" t="str">
        <f>'Закупка'!V20</f>
        <v/>
      </c>
    </row>
    <row r="21" ht="45.0" customHeight="1">
      <c r="A21" s="126" t="str">
        <f>'Закупка'!A21</f>
        <v>1.18</v>
      </c>
      <c r="B21" s="127" t="str">
        <f>'Закупка'!B21</f>
        <v>ARR2 PL GLAS CILINDER PHAL PAARS</v>
      </c>
      <c r="C21" s="128" t="str">
        <f>'Закупка'!R21</f>
        <v/>
      </c>
      <c r="D21" s="129">
        <f t="array" ref="D21">INDEX('Закупка'!G21:K21, $A$2)</f>
        <v>2</v>
      </c>
      <c r="E21" s="130" t="str">
        <f>'Закупка'!F21</f>
        <v>1</v>
      </c>
      <c r="F21" s="131">
        <f t="shared" si="1"/>
        <v>2</v>
      </c>
      <c r="G21" s="132">
        <v>2.0</v>
      </c>
      <c r="H21" s="133">
        <v>2.0</v>
      </c>
      <c r="I21" s="134"/>
      <c r="J21" s="131"/>
      <c r="K21" s="135">
        <f>'Закупка'!T21</f>
        <v>84001153</v>
      </c>
      <c r="L21" s="136" t="str">
        <f>'Закупка'!U21</f>
        <v>ARRANGEMENT DE PHALAENOPSIS - composición/56</v>
      </c>
      <c r="M21" s="137" t="str">
        <f>'Закупка'!V21</f>
        <v/>
      </c>
    </row>
    <row r="22" ht="45.0" customHeight="1">
      <c r="A22" s="126" t="str">
        <f>'Закупка'!A22</f>
        <v>1.19</v>
      </c>
      <c r="B22" s="127" t="str">
        <f>'Закупка'!B22</f>
        <v>CRASSULA OVATA</v>
      </c>
      <c r="C22" s="128" t="str">
        <f>'Закупка'!R22</f>
        <v/>
      </c>
      <c r="D22" s="129" t="str">
        <f t="array" ref="D22">INDEX('Закупка'!G22:K22, $A$2)</f>
        <v/>
      </c>
      <c r="E22" s="130" t="str">
        <f>'Закупка'!F22</f>
        <v>1</v>
      </c>
      <c r="F22" s="131" t="str">
        <f t="shared" si="1"/>
        <v/>
      </c>
      <c r="G22" s="132"/>
      <c r="H22" s="133"/>
      <c r="I22" s="134"/>
      <c r="J22" s="131"/>
      <c r="K22" s="135">
        <f>'Закупка'!T22</f>
        <v>8400365</v>
      </c>
      <c r="L22" s="136" t="str">
        <f>'Закупка'!U22</f>
        <v>ARBOL DE JADE T25 -planta/120</v>
      </c>
      <c r="M22" s="137" t="str">
        <f>'Закупка'!V22</f>
        <v> ARBOL DE JADE GRANDE  (Crassula Ovata) T-25</v>
      </c>
    </row>
    <row r="23" ht="45.0" customHeight="1">
      <c r="A23" s="126" t="str">
        <f>'Закупка'!A23</f>
        <v>1.20</v>
      </c>
      <c r="B23" s="127" t="str">
        <f>'Закупка'!B23</f>
        <v>CRASSULA OVATA</v>
      </c>
      <c r="C23" s="128" t="str">
        <f>'Закупка'!R23</f>
        <v/>
      </c>
      <c r="D23" s="129">
        <f t="array" ref="D23">INDEX('Закупка'!G23:K23, $A$2)</f>
        <v>1</v>
      </c>
      <c r="E23" s="130" t="str">
        <f>'Закупка'!F23</f>
        <v>1</v>
      </c>
      <c r="F23" s="131">
        <f t="shared" si="1"/>
        <v>1</v>
      </c>
      <c r="G23" s="132">
        <v>1.0</v>
      </c>
      <c r="H23" s="133">
        <v>1.0</v>
      </c>
      <c r="I23" s="134"/>
      <c r="J23" s="131"/>
      <c r="K23" s="135">
        <f>'Закупка'!T23</f>
        <v>8400365</v>
      </c>
      <c r="L23" s="136" t="str">
        <f>'Закупка'!U23</f>
        <v>ARBOL DE JADE T25 -planta/188</v>
      </c>
      <c r="M23" s="137" t="str">
        <f>'Закупка'!V23</f>
        <v> ARBOL DE JADE GRANDE  (Crassula Ovata) T-25</v>
      </c>
    </row>
    <row r="24" ht="45.0" customHeight="1">
      <c r="A24" s="126" t="str">
        <f>'Закупка'!A24</f>
        <v>1.21</v>
      </c>
      <c r="B24" s="127" t="str">
        <f>'Закупка'!B24</f>
        <v>CODIAEUM VARI MRS ICETON</v>
      </c>
      <c r="C24" s="128" t="str">
        <f>'Закупка'!R24</f>
        <v/>
      </c>
      <c r="D24" s="129" t="str">
        <f t="array" ref="D24">INDEX('Закупка'!G24:K24, $A$2)</f>
        <v/>
      </c>
      <c r="E24" s="130" t="str">
        <f>'Закупка'!F24</f>
        <v>1</v>
      </c>
      <c r="F24" s="131" t="str">
        <f t="shared" si="1"/>
        <v/>
      </c>
      <c r="G24" s="132"/>
      <c r="H24" s="133"/>
      <c r="I24" s="134"/>
      <c r="J24" s="131"/>
      <c r="K24" s="135">
        <f>'Закупка'!T24</f>
        <v>8400558</v>
      </c>
      <c r="L24" s="136" t="str">
        <f>'Закупка'!U24</f>
        <v>CROTON 50cm - Petra - planta/36</v>
      </c>
      <c r="M24" s="137" t="str">
        <f>'Закупка'!V24</f>
        <v>81945, CROMA20</v>
      </c>
    </row>
    <row r="25" ht="45.0" customHeight="1">
      <c r="A25" s="126" t="str">
        <f>'Закупка'!A25</f>
        <v>1.22</v>
      </c>
      <c r="B25" s="127" t="str">
        <f>'Закупка'!B25</f>
        <v>LAVANDULA STOE ANOUK</v>
      </c>
      <c r="C25" s="128" t="str">
        <f>'Закупка'!R25</f>
        <v/>
      </c>
      <c r="D25" s="129">
        <f t="array" ref="D25">INDEX('Закупка'!G25:K25, $A$2)</f>
        <v>6</v>
      </c>
      <c r="E25" s="130" t="str">
        <f>'Закупка'!F25</f>
        <v>1</v>
      </c>
      <c r="F25" s="131">
        <f t="shared" si="1"/>
        <v>6</v>
      </c>
      <c r="G25" s="132">
        <v>6.0</v>
      </c>
      <c r="H25" s="133">
        <v>6.0</v>
      </c>
      <c r="I25" s="134"/>
      <c r="J25" s="131"/>
      <c r="K25" s="135">
        <f>'Закупка'!T25</f>
        <v>8400357</v>
      </c>
      <c r="L25" s="136" t="str">
        <f>'Закупка'!U25</f>
        <v>LAVANDULA T13 - planta</v>
      </c>
      <c r="M25" s="137" t="str">
        <f>'Закупка'!V25</f>
        <v>LAV13 LAVANDULA T-13, 42454</v>
      </c>
    </row>
    <row r="26" ht="45.0" customHeight="1">
      <c r="A26" s="126" t="str">
        <f>'Закупка'!A26</f>
        <v>1.23</v>
      </c>
      <c r="B26" s="127" t="str">
        <f>'Закупка'!B26</f>
        <v>KALANCHOE LUCKY BELLS</v>
      </c>
      <c r="C26" s="128" t="str">
        <f>'Закупка'!R26</f>
        <v/>
      </c>
      <c r="D26" s="129" t="str">
        <f t="array" ref="D26">INDEX('Закупка'!G26:K26, $A$2)</f>
        <v/>
      </c>
      <c r="E26" s="130" t="str">
        <f>'Закупка'!F26</f>
        <v>1</v>
      </c>
      <c r="F26" s="131" t="str">
        <f t="shared" si="1"/>
        <v/>
      </c>
      <c r="G26" s="132"/>
      <c r="H26" s="133"/>
      <c r="I26" s="134"/>
      <c r="J26" s="131"/>
      <c r="K26" s="135">
        <f>'Закупка'!T26</f>
        <v>8400448</v>
      </c>
      <c r="L26" s="136" t="str">
        <f>'Закупка'!U26</f>
        <v>KALANCHOE T25 - Pumila - planta/18</v>
      </c>
      <c r="M26" s="137" t="str">
        <f>'Закупка'!V26</f>
        <v>KAL-P  KALANCHOE PUMILA T-25 planta, KCALT</v>
      </c>
    </row>
    <row r="27" ht="45.0" customHeight="1">
      <c r="A27" s="126" t="str">
        <f>'Закупка'!A27</f>
        <v>1.24</v>
      </c>
      <c r="B27" s="127" t="str">
        <f>'Закупка'!B27</f>
        <v>EUPHORBIA TRIGONA</v>
      </c>
      <c r="C27" s="128" t="str">
        <f>'Закупка'!R27</f>
        <v/>
      </c>
      <c r="D27" s="129">
        <f t="array" ref="D27">INDEX('Закупка'!G27:K27, $A$2)</f>
        <v>10</v>
      </c>
      <c r="E27" s="130" t="str">
        <f>'Закупка'!F27</f>
        <v>1</v>
      </c>
      <c r="F27" s="131">
        <f t="shared" si="1"/>
        <v>10</v>
      </c>
      <c r="G27" s="132">
        <v>10.0</v>
      </c>
      <c r="H27" s="133">
        <v>10.0</v>
      </c>
      <c r="I27" s="134"/>
      <c r="J27" s="131"/>
      <c r="K27" s="135">
        <f>'Закупка'!T27</f>
        <v>8400556</v>
      </c>
      <c r="L27" s="136" t="str">
        <f>'Закупка'!U27</f>
        <v>EUPHORBIA 30cm -Milii - planta/22</v>
      </c>
      <c r="M27" s="137" t="str">
        <f>'Закупка'!V27</f>
        <v>174581, EUV</v>
      </c>
    </row>
    <row r="28" ht="45.0" customHeight="1">
      <c r="A28" s="126" t="str">
        <f>'Закупка'!A28</f>
        <v>1.25</v>
      </c>
      <c r="B28" s="127" t="str">
        <f>'Закупка'!B28</f>
        <v>PTPB6537 ARRANGEMENTEN PASEN</v>
      </c>
      <c r="C28" s="128" t="str">
        <f>'Закупка'!R28</f>
        <v/>
      </c>
      <c r="D28" s="129">
        <f t="array" ref="D28">INDEX('Закупка'!G28:K28, $A$2)</f>
        <v>1</v>
      </c>
      <c r="E28" s="130" t="str">
        <f>'Закупка'!F28</f>
        <v>1</v>
      </c>
      <c r="F28" s="131">
        <f t="shared" si="1"/>
        <v>1</v>
      </c>
      <c r="G28" s="132">
        <v>1.0</v>
      </c>
      <c r="H28" s="133">
        <v>1.0</v>
      </c>
      <c r="I28" s="134"/>
      <c r="J28" s="131"/>
      <c r="K28" s="135">
        <f>'Закупка'!T28</f>
        <v>84001153</v>
      </c>
      <c r="L28" s="136" t="str">
        <f>'Закупка'!U28</f>
        <v>ARRANGEMENT DE PHALAENOPSIS - composición/56</v>
      </c>
      <c r="M28" s="137" t="str">
        <f>'Закупка'!V28</f>
        <v/>
      </c>
    </row>
    <row r="29" ht="45.0" customHeight="1">
      <c r="A29" s="126" t="str">
        <f>'Закупка'!A29</f>
        <v>1.26</v>
      </c>
      <c r="B29" s="127" t="str">
        <f>'Закупка'!B29</f>
        <v>PTPB6525 ARRANGEMENTEN PASEN</v>
      </c>
      <c r="C29" s="128" t="str">
        <f>'Закупка'!R29</f>
        <v/>
      </c>
      <c r="D29" s="129">
        <f t="array" ref="D29">INDEX('Закупка'!G29:K29, $A$2)</f>
        <v>1</v>
      </c>
      <c r="E29" s="130" t="str">
        <f>'Закупка'!F29</f>
        <v>1</v>
      </c>
      <c r="F29" s="131">
        <f t="shared" si="1"/>
        <v>1</v>
      </c>
      <c r="G29" s="132">
        <v>1.0</v>
      </c>
      <c r="H29" s="133">
        <v>1.0</v>
      </c>
      <c r="I29" s="134"/>
      <c r="J29" s="131"/>
      <c r="K29" s="135">
        <f>'Закупка'!T29</f>
        <v>84001153</v>
      </c>
      <c r="L29" s="136" t="str">
        <f>'Закупка'!U29</f>
        <v>ARRANGEMENT DE PHALAENOPSIS - composición/56</v>
      </c>
      <c r="M29" s="137" t="str">
        <f>'Закупка'!V29</f>
        <v/>
      </c>
    </row>
    <row r="30" ht="45.0" customHeight="1">
      <c r="A30" s="126" t="str">
        <f>'Закупка'!A30</f>
        <v>1.27</v>
      </c>
      <c r="B30" s="127" t="str">
        <f>'Закупка'!B30</f>
        <v>PHALAENOPSIS OTHER YELLOW</v>
      </c>
      <c r="C30" s="128" t="str">
        <f>'Закупка'!R30</f>
        <v/>
      </c>
      <c r="D30" s="129" t="str">
        <f t="array" ref="D30">INDEX('Закупка'!G30:K30, $A$2)</f>
        <v/>
      </c>
      <c r="E30" s="130" t="str">
        <f>'Закупка'!F30</f>
        <v>1</v>
      </c>
      <c r="F30" s="131" t="str">
        <f t="shared" si="1"/>
        <v/>
      </c>
      <c r="G30" s="132"/>
      <c r="H30" s="133"/>
      <c r="I30" s="134"/>
      <c r="J30" s="131"/>
      <c r="K30" s="135">
        <f>'Закупка'!T30</f>
        <v>8400391</v>
      </c>
      <c r="L30" s="136" t="str">
        <f>'Закупка'!U30</f>
        <v>PHALAENOPSIS MIX - planta/28</v>
      </c>
      <c r="M30" s="137" t="str">
        <f>'Закупка'!V30</f>
        <v>161202, 179376, 144102, 179304, 191963, 135419, 182797, 127000, 191284</v>
      </c>
    </row>
    <row r="31" ht="45.0" customHeight="1">
      <c r="A31" s="126" t="str">
        <f>'Закупка'!A31</f>
        <v>1.28</v>
      </c>
      <c r="B31" s="127" t="str">
        <f>'Закупка'!B31</f>
        <v>SUCCULENTEN OTHER</v>
      </c>
      <c r="C31" s="128" t="str">
        <f>'Закупка'!R31</f>
        <v/>
      </c>
      <c r="D31" s="129">
        <f t="array" ref="D31">INDEX('Закупка'!G31:K31, $A$2)</f>
        <v>3</v>
      </c>
      <c r="E31" s="130" t="str">
        <f>'Закупка'!F31</f>
        <v>1</v>
      </c>
      <c r="F31" s="131">
        <f t="shared" si="1"/>
        <v>3</v>
      </c>
      <c r="G31" s="132">
        <v>3.0</v>
      </c>
      <c r="H31" s="133">
        <v>3.0</v>
      </c>
      <c r="I31" s="134"/>
      <c r="J31" s="131"/>
      <c r="K31" s="135">
        <f>'Закупка'!T31</f>
        <v>8400591</v>
      </c>
      <c r="L31" s="136" t="str">
        <f>'Закупка'!U31</f>
        <v>SUCCULENTUS OTHER - planta/28</v>
      </c>
      <c r="M31" s="137" t="str">
        <f>'Закупка'!V31</f>
        <v>CRASSCI-9, AEON.012</v>
      </c>
    </row>
    <row r="32" ht="45.0" customHeight="1">
      <c r="A32" s="126" t="str">
        <f>'Закупка'!A32</f>
        <v>1.29</v>
      </c>
      <c r="B32" s="127" t="str">
        <f>'Закупка'!B32</f>
        <v>RHIPSALIS MIX</v>
      </c>
      <c r="C32" s="128" t="str">
        <f>'Закупка'!R32</f>
        <v/>
      </c>
      <c r="D32" s="129">
        <f t="array" ref="D32">INDEX('Закупка'!G32:K32, $A$2)</f>
        <v>12</v>
      </c>
      <c r="E32" s="130" t="str">
        <f>'Закупка'!F32</f>
        <v>1</v>
      </c>
      <c r="F32" s="131">
        <f t="shared" si="1"/>
        <v>12</v>
      </c>
      <c r="G32" s="132">
        <v>12.0</v>
      </c>
      <c r="H32" s="133">
        <v>12.0</v>
      </c>
      <c r="I32" s="134"/>
      <c r="J32" s="131"/>
      <c r="K32" s="135">
        <f>'Закупка'!T32</f>
        <v>8400895</v>
      </c>
      <c r="L32" s="136" t="str">
        <f>'Закупка'!U32</f>
        <v>RHIPSALIS MIX - T17 planta colganta</v>
      </c>
      <c r="M32" s="137">
        <f>'Закупка'!V32</f>
        <v>83612</v>
      </c>
    </row>
    <row r="33" ht="45.0" customHeight="1">
      <c r="A33" s="126" t="str">
        <f>'Закупка'!A33</f>
        <v/>
      </c>
      <c r="B33" s="127" t="str">
        <f>'Закупка'!B33</f>
        <v/>
      </c>
      <c r="C33" s="128" t="str">
        <f>'Закупка'!R33</f>
        <v/>
      </c>
      <c r="D33" s="129" t="str">
        <f t="array" ref="D33">INDEX('Закупка'!G33:K33, $A$2)</f>
        <v/>
      </c>
      <c r="E33" s="130" t="str">
        <f>'Закупка'!F33</f>
        <v/>
      </c>
      <c r="F33" s="131" t="str">
        <f t="shared" si="1"/>
        <v/>
      </c>
      <c r="G33" s="132"/>
      <c r="H33" s="133"/>
      <c r="I33" s="134"/>
      <c r="J33" s="131"/>
      <c r="K33" s="135" t="str">
        <f>'Закупка'!T33</f>
        <v/>
      </c>
      <c r="L33" s="136" t="str">
        <f>'Закупка'!U33</f>
        <v/>
      </c>
      <c r="M33" s="137" t="str">
        <f>'Закупка'!V33</f>
        <v/>
      </c>
    </row>
    <row r="34" ht="45.0" customHeight="1">
      <c r="A34" s="126" t="str">
        <f>'Закупка'!A34</f>
        <v/>
      </c>
      <c r="B34" s="127" t="str">
        <f>'Закупка'!B34</f>
        <v/>
      </c>
      <c r="C34" s="128" t="str">
        <f>'Закупка'!R34</f>
        <v/>
      </c>
      <c r="D34" s="129" t="str">
        <f t="array" ref="D34">INDEX('Закупка'!G34:K34, $A$2)</f>
        <v/>
      </c>
      <c r="E34" s="130" t="str">
        <f>'Закупка'!F34</f>
        <v/>
      </c>
      <c r="F34" s="131" t="str">
        <f t="shared" si="1"/>
        <v/>
      </c>
      <c r="G34" s="132"/>
      <c r="H34" s="133"/>
      <c r="I34" s="134"/>
      <c r="J34" s="131"/>
      <c r="K34" s="135" t="str">
        <f>'Закупка'!T34</f>
        <v/>
      </c>
      <c r="L34" s="136" t="str">
        <f>'Закупка'!U34</f>
        <v/>
      </c>
      <c r="M34" s="137" t="str">
        <f>'Закупка'!V34</f>
        <v/>
      </c>
    </row>
    <row r="35" ht="45.0" customHeight="1">
      <c r="A35" s="126" t="str">
        <f>'Закупка'!A35</f>
        <v/>
      </c>
      <c r="B35" s="127" t="str">
        <f>'Закупка'!B35</f>
        <v/>
      </c>
      <c r="C35" s="128" t="str">
        <f>'Закупка'!R35</f>
        <v/>
      </c>
      <c r="D35" s="129" t="str">
        <f t="array" ref="D35">INDEX('Закупка'!G35:K35, $A$2)</f>
        <v/>
      </c>
      <c r="E35" s="130" t="str">
        <f>'Закупка'!F35</f>
        <v/>
      </c>
      <c r="F35" s="131" t="str">
        <f t="shared" si="1"/>
        <v/>
      </c>
      <c r="G35" s="132"/>
      <c r="H35" s="133"/>
      <c r="I35" s="134"/>
      <c r="J35" s="131"/>
      <c r="K35" s="135" t="str">
        <f>'Закупка'!T35</f>
        <v/>
      </c>
      <c r="L35" s="136" t="str">
        <f>'Закупка'!U35</f>
        <v/>
      </c>
      <c r="M35" s="137" t="str">
        <f>'Закупка'!V35</f>
        <v/>
      </c>
    </row>
    <row r="36" ht="45.0" customHeight="1">
      <c r="A36" s="126" t="str">
        <f>'Закупка'!A36</f>
        <v/>
      </c>
      <c r="B36" s="127" t="str">
        <f>'Закупка'!B36</f>
        <v/>
      </c>
      <c r="C36" s="128" t="str">
        <f>'Закупка'!R36</f>
        <v/>
      </c>
      <c r="D36" s="129" t="str">
        <f t="array" ref="D36">INDEX('Закупка'!G36:K36, $A$2)</f>
        <v/>
      </c>
      <c r="E36" s="130" t="str">
        <f>'Закупка'!F36</f>
        <v/>
      </c>
      <c r="F36" s="131" t="str">
        <f t="shared" si="1"/>
        <v/>
      </c>
      <c r="G36" s="132"/>
      <c r="H36" s="133"/>
      <c r="I36" s="134"/>
      <c r="J36" s="131"/>
      <c r="K36" s="135" t="str">
        <f>'Закупка'!T36</f>
        <v/>
      </c>
      <c r="L36" s="136" t="str">
        <f>'Закупка'!U36</f>
        <v/>
      </c>
      <c r="M36" s="137" t="str">
        <f>'Закупка'!V36</f>
        <v/>
      </c>
    </row>
    <row r="37" ht="45.0" customHeight="1">
      <c r="A37" s="126" t="str">
        <f>'Закупка'!A37</f>
        <v/>
      </c>
      <c r="B37" s="127" t="str">
        <f>'Закупка'!B37</f>
        <v/>
      </c>
      <c r="C37" s="128" t="str">
        <f>'Закупка'!R37</f>
        <v/>
      </c>
      <c r="D37" s="129" t="str">
        <f t="array" ref="D37">INDEX('Закупка'!G37:K37, $A$2)</f>
        <v/>
      </c>
      <c r="E37" s="130" t="str">
        <f>'Закупка'!F37</f>
        <v/>
      </c>
      <c r="F37" s="131" t="str">
        <f t="shared" si="1"/>
        <v/>
      </c>
      <c r="G37" s="132"/>
      <c r="H37" s="133"/>
      <c r="I37" s="134"/>
      <c r="J37" s="131"/>
      <c r="K37" s="135" t="str">
        <f>'Закупка'!T37</f>
        <v/>
      </c>
      <c r="L37" s="136" t="str">
        <f>'Закупка'!U37</f>
        <v/>
      </c>
      <c r="M37" s="137" t="str">
        <f>'Закупка'!V37</f>
        <v/>
      </c>
    </row>
    <row r="38" ht="45.0" customHeight="1">
      <c r="A38" s="126" t="str">
        <f>'Закупка'!A38</f>
        <v/>
      </c>
      <c r="B38" s="127" t="str">
        <f>'Закупка'!B38</f>
        <v/>
      </c>
      <c r="C38" s="128" t="str">
        <f>'Закупка'!R38</f>
        <v/>
      </c>
      <c r="D38" s="129" t="str">
        <f t="array" ref="D38">INDEX('Закупка'!G38:K38, $A$2)</f>
        <v/>
      </c>
      <c r="E38" s="130" t="str">
        <f>'Закупка'!F38</f>
        <v/>
      </c>
      <c r="F38" s="131" t="str">
        <f t="shared" si="1"/>
        <v/>
      </c>
      <c r="G38" s="132"/>
      <c r="H38" s="133"/>
      <c r="I38" s="134"/>
      <c r="J38" s="131"/>
      <c r="K38" s="135" t="str">
        <f>'Закупка'!T38</f>
        <v/>
      </c>
      <c r="L38" s="136" t="str">
        <f>'Закупка'!U38</f>
        <v/>
      </c>
      <c r="M38" s="137" t="str">
        <f>'Закупка'!V38</f>
        <v/>
      </c>
    </row>
    <row r="39" ht="45.0" customHeight="1">
      <c r="A39" s="126" t="str">
        <f>'Закупка'!A39</f>
        <v/>
      </c>
      <c r="B39" s="127" t="str">
        <f>'Закупка'!B39</f>
        <v/>
      </c>
      <c r="C39" s="128" t="str">
        <f>'Закупка'!R39</f>
        <v/>
      </c>
      <c r="D39" s="129" t="str">
        <f t="array" ref="D39">INDEX('Закупка'!G39:K39, $A$2)</f>
        <v/>
      </c>
      <c r="E39" s="130" t="str">
        <f>'Закупка'!F39</f>
        <v/>
      </c>
      <c r="F39" s="131" t="str">
        <f t="shared" si="1"/>
        <v/>
      </c>
      <c r="G39" s="132"/>
      <c r="H39" s="133"/>
      <c r="I39" s="134"/>
      <c r="J39" s="131"/>
      <c r="K39" s="135" t="str">
        <f>'Закупка'!T39</f>
        <v/>
      </c>
      <c r="L39" s="136" t="str">
        <f>'Закупка'!U39</f>
        <v/>
      </c>
      <c r="M39" s="137" t="str">
        <f>'Закупка'!V39</f>
        <v/>
      </c>
    </row>
    <row r="40" ht="45.0" customHeight="1">
      <c r="A40" s="126" t="str">
        <f>'Закупка'!A40</f>
        <v/>
      </c>
      <c r="B40" s="127" t="str">
        <f>'Закупка'!B40</f>
        <v/>
      </c>
      <c r="C40" s="128" t="str">
        <f>'Закупка'!R40</f>
        <v/>
      </c>
      <c r="D40" s="129" t="str">
        <f t="array" ref="D40">INDEX('Закупка'!G40:K40, $A$2)</f>
        <v/>
      </c>
      <c r="E40" s="130" t="str">
        <f>'Закупка'!F40</f>
        <v/>
      </c>
      <c r="F40" s="131" t="str">
        <f t="shared" si="1"/>
        <v/>
      </c>
      <c r="G40" s="132"/>
      <c r="H40" s="133"/>
      <c r="I40" s="134"/>
      <c r="J40" s="131"/>
      <c r="K40" s="135" t="str">
        <f>'Закупка'!T40</f>
        <v/>
      </c>
      <c r="L40" s="136" t="str">
        <f>'Закупка'!U40</f>
        <v/>
      </c>
      <c r="M40" s="137" t="str">
        <f>'Закупка'!V40</f>
        <v/>
      </c>
    </row>
    <row r="41" ht="45.0" customHeight="1">
      <c r="A41" s="126" t="str">
        <f>'Закупка'!A41</f>
        <v/>
      </c>
      <c r="B41" s="127" t="str">
        <f>'Закупка'!B41</f>
        <v/>
      </c>
      <c r="C41" s="128" t="str">
        <f>'Закупка'!R41</f>
        <v/>
      </c>
      <c r="D41" s="129" t="str">
        <f t="array" ref="D41">INDEX('Закупка'!G41:K41, $A$2)</f>
        <v/>
      </c>
      <c r="E41" s="130" t="str">
        <f>'Закупка'!F41</f>
        <v/>
      </c>
      <c r="F41" s="131" t="str">
        <f t="shared" si="1"/>
        <v/>
      </c>
      <c r="G41" s="132"/>
      <c r="H41" s="133"/>
      <c r="I41" s="134"/>
      <c r="J41" s="131"/>
      <c r="K41" s="135" t="str">
        <f>'Закупка'!T41</f>
        <v/>
      </c>
      <c r="L41" s="136" t="str">
        <f>'Закупка'!U41</f>
        <v/>
      </c>
      <c r="M41" s="137" t="str">
        <f>'Закупка'!V41</f>
        <v/>
      </c>
    </row>
    <row r="42" ht="45.0" customHeight="1">
      <c r="A42" s="126" t="str">
        <f>'Закупка'!A42</f>
        <v/>
      </c>
      <c r="B42" s="127" t="str">
        <f>'Закупка'!B42</f>
        <v/>
      </c>
      <c r="C42" s="128" t="str">
        <f>'Закупка'!R42</f>
        <v/>
      </c>
      <c r="D42" s="129" t="str">
        <f t="array" ref="D42">INDEX('Закупка'!G42:K42, $A$2)</f>
        <v/>
      </c>
      <c r="E42" s="130" t="str">
        <f>'Закупка'!F42</f>
        <v/>
      </c>
      <c r="F42" s="131" t="str">
        <f t="shared" si="1"/>
        <v/>
      </c>
      <c r="G42" s="132"/>
      <c r="H42" s="133"/>
      <c r="I42" s="134"/>
      <c r="J42" s="131"/>
      <c r="K42" s="135" t="str">
        <f>'Закупка'!T42</f>
        <v/>
      </c>
      <c r="L42" s="136" t="str">
        <f>'Закупка'!U42</f>
        <v/>
      </c>
      <c r="M42" s="137" t="str">
        <f>'Закупка'!V42</f>
        <v/>
      </c>
    </row>
    <row r="43" ht="45.0" customHeight="1">
      <c r="A43" s="126" t="str">
        <f>'Закупка'!A43</f>
        <v/>
      </c>
      <c r="B43" s="127" t="str">
        <f>'Закупка'!B43</f>
        <v/>
      </c>
      <c r="C43" s="128" t="str">
        <f>'Закупка'!R43</f>
        <v/>
      </c>
      <c r="D43" s="129" t="str">
        <f t="array" ref="D43">INDEX('Закупка'!G43:K43, $A$2)</f>
        <v/>
      </c>
      <c r="E43" s="130" t="str">
        <f>'Закупка'!F43</f>
        <v/>
      </c>
      <c r="F43" s="131" t="str">
        <f t="shared" si="1"/>
        <v/>
      </c>
      <c r="G43" s="132"/>
      <c r="H43" s="133"/>
      <c r="I43" s="134"/>
      <c r="J43" s="131"/>
      <c r="K43" s="135" t="str">
        <f>'Закупка'!T43</f>
        <v/>
      </c>
      <c r="L43" s="136" t="str">
        <f>'Закупка'!U43</f>
        <v/>
      </c>
      <c r="M43" s="137" t="str">
        <f>'Закупка'!V43</f>
        <v/>
      </c>
    </row>
    <row r="44" ht="45.0" customHeight="1">
      <c r="A44" s="126" t="str">
        <f>'Закупка'!A44</f>
        <v/>
      </c>
      <c r="B44" s="127" t="str">
        <f>'Закупка'!B44</f>
        <v/>
      </c>
      <c r="C44" s="128" t="str">
        <f>'Закупка'!R44</f>
        <v/>
      </c>
      <c r="D44" s="129" t="str">
        <f t="array" ref="D44">INDEX('Закупка'!G44:K44, $A$2)</f>
        <v/>
      </c>
      <c r="E44" s="130" t="str">
        <f>'Закупка'!F44</f>
        <v/>
      </c>
      <c r="F44" s="131" t="str">
        <f t="shared" si="1"/>
        <v/>
      </c>
      <c r="G44" s="132"/>
      <c r="H44" s="133"/>
      <c r="I44" s="134"/>
      <c r="J44" s="131"/>
      <c r="K44" s="135" t="str">
        <f>'Закупка'!T44</f>
        <v/>
      </c>
      <c r="L44" s="136" t="str">
        <f>'Закупка'!U44</f>
        <v/>
      </c>
      <c r="M44" s="137" t="str">
        <f>'Закупка'!V44</f>
        <v/>
      </c>
    </row>
    <row r="45" ht="45.0" customHeight="1">
      <c r="A45" s="126" t="str">
        <f>'Закупка'!A45</f>
        <v/>
      </c>
      <c r="B45" s="127" t="str">
        <f>'Закупка'!B45</f>
        <v/>
      </c>
      <c r="C45" s="128" t="str">
        <f>'Закупка'!R45</f>
        <v/>
      </c>
      <c r="D45" s="129" t="str">
        <f t="array" ref="D45">INDEX('Закупка'!G45:K45, $A$2)</f>
        <v/>
      </c>
      <c r="E45" s="130" t="str">
        <f>'Закупка'!F45</f>
        <v/>
      </c>
      <c r="F45" s="131" t="str">
        <f t="shared" si="1"/>
        <v/>
      </c>
      <c r="G45" s="132"/>
      <c r="H45" s="133"/>
      <c r="I45" s="134"/>
      <c r="J45" s="131"/>
      <c r="K45" s="135" t="str">
        <f>'Закупка'!T45</f>
        <v/>
      </c>
      <c r="L45" s="136" t="str">
        <f>'Закупка'!U45</f>
        <v/>
      </c>
      <c r="M45" s="137" t="str">
        <f>'Закупка'!V45</f>
        <v/>
      </c>
    </row>
    <row r="46" ht="45.0" customHeight="1">
      <c r="A46" s="126" t="str">
        <f>'Закупка'!A46</f>
        <v/>
      </c>
      <c r="B46" s="127" t="str">
        <f>'Закупка'!B46</f>
        <v/>
      </c>
      <c r="C46" s="128" t="str">
        <f>'Закупка'!R46</f>
        <v/>
      </c>
      <c r="D46" s="129" t="str">
        <f t="array" ref="D46">INDEX('Закупка'!G46:K46, $A$2)</f>
        <v/>
      </c>
      <c r="E46" s="130" t="str">
        <f>'Закупка'!F46</f>
        <v/>
      </c>
      <c r="F46" s="131" t="str">
        <f t="shared" si="1"/>
        <v/>
      </c>
      <c r="G46" s="132"/>
      <c r="H46" s="133"/>
      <c r="I46" s="134"/>
      <c r="J46" s="131"/>
      <c r="K46" s="135" t="str">
        <f>'Закупка'!T46</f>
        <v/>
      </c>
      <c r="L46" s="136" t="str">
        <f>'Закупка'!U46</f>
        <v/>
      </c>
      <c r="M46" s="137" t="str">
        <f>'Закупка'!V46</f>
        <v/>
      </c>
    </row>
    <row r="47" ht="45.0" customHeight="1">
      <c r="A47" s="126" t="str">
        <f>'Закупка'!A47</f>
        <v/>
      </c>
      <c r="B47" s="127" t="str">
        <f>'Закупка'!B47</f>
        <v/>
      </c>
      <c r="C47" s="128" t="str">
        <f>'Закупка'!R47</f>
        <v/>
      </c>
      <c r="D47" s="129" t="str">
        <f t="array" ref="D47">INDEX('Закупка'!G47:K47, $A$2)</f>
        <v/>
      </c>
      <c r="E47" s="130" t="str">
        <f>'Закупка'!F47</f>
        <v/>
      </c>
      <c r="F47" s="131" t="str">
        <f t="shared" si="1"/>
        <v/>
      </c>
      <c r="G47" s="132"/>
      <c r="H47" s="133"/>
      <c r="I47" s="134"/>
      <c r="J47" s="131"/>
      <c r="K47" s="135" t="str">
        <f>'Закупка'!T47</f>
        <v/>
      </c>
      <c r="L47" s="136" t="str">
        <f>'Закупка'!U47</f>
        <v/>
      </c>
      <c r="M47" s="137" t="str">
        <f>'Закупка'!V47</f>
        <v/>
      </c>
    </row>
    <row r="48" ht="45.0" customHeight="1">
      <c r="A48" s="126" t="str">
        <f>'Закупка'!A48</f>
        <v/>
      </c>
      <c r="B48" s="127" t="str">
        <f>'Закупка'!B48</f>
        <v/>
      </c>
      <c r="C48" s="128" t="str">
        <f>'Закупка'!R48</f>
        <v/>
      </c>
      <c r="D48" s="129" t="str">
        <f t="array" ref="D48">INDEX('Закупка'!G48:K48, $A$2)</f>
        <v/>
      </c>
      <c r="E48" s="130" t="str">
        <f>'Закупка'!F48</f>
        <v/>
      </c>
      <c r="F48" s="131" t="str">
        <f t="shared" si="1"/>
        <v/>
      </c>
      <c r="G48" s="132"/>
      <c r="H48" s="133"/>
      <c r="I48" s="134"/>
      <c r="J48" s="131"/>
      <c r="K48" s="135" t="str">
        <f>'Закупка'!T48</f>
        <v/>
      </c>
      <c r="L48" s="136" t="str">
        <f>'Закупка'!U48</f>
        <v/>
      </c>
      <c r="M48" s="137" t="str">
        <f>'Закупка'!V48</f>
        <v/>
      </c>
    </row>
    <row r="49" ht="45.0" customHeight="1">
      <c r="A49" s="126" t="str">
        <f>'Закупка'!A49</f>
        <v/>
      </c>
      <c r="B49" s="127" t="str">
        <f>'Закупка'!B49</f>
        <v/>
      </c>
      <c r="C49" s="128" t="str">
        <f>'Закупка'!R49</f>
        <v/>
      </c>
      <c r="D49" s="129" t="str">
        <f t="array" ref="D49">INDEX('Закупка'!G49:K49, $A$2)</f>
        <v/>
      </c>
      <c r="E49" s="130" t="str">
        <f>'Закупка'!F49</f>
        <v/>
      </c>
      <c r="F49" s="131" t="str">
        <f t="shared" si="1"/>
        <v/>
      </c>
      <c r="G49" s="132"/>
      <c r="H49" s="133"/>
      <c r="I49" s="134"/>
      <c r="J49" s="131"/>
      <c r="K49" s="135" t="str">
        <f>'Закупка'!T49</f>
        <v/>
      </c>
      <c r="L49" s="136" t="str">
        <f>'Закупка'!U49</f>
        <v/>
      </c>
      <c r="M49" s="137" t="str">
        <f>'Закупка'!V49</f>
        <v/>
      </c>
    </row>
    <row r="50" ht="45.0" customHeight="1">
      <c r="A50" s="126" t="str">
        <f>'Закупка'!A50</f>
        <v/>
      </c>
      <c r="B50" s="127" t="str">
        <f>'Закупка'!B50</f>
        <v/>
      </c>
      <c r="C50" s="128" t="str">
        <f>'Закупка'!R50</f>
        <v/>
      </c>
      <c r="D50" s="129" t="str">
        <f t="array" ref="D50">INDEX('Закупка'!G50:K50, $A$2)</f>
        <v/>
      </c>
      <c r="E50" s="130" t="str">
        <f>'Закупка'!F50</f>
        <v/>
      </c>
      <c r="F50" s="131" t="str">
        <f t="shared" si="1"/>
        <v/>
      </c>
      <c r="G50" s="132"/>
      <c r="H50" s="133"/>
      <c r="I50" s="134"/>
      <c r="J50" s="131"/>
      <c r="K50" s="135" t="str">
        <f>'Закупка'!T50</f>
        <v/>
      </c>
      <c r="L50" s="136" t="str">
        <f>'Закупка'!U50</f>
        <v/>
      </c>
      <c r="M50" s="137" t="str">
        <f>'Закупка'!V50</f>
        <v/>
      </c>
    </row>
    <row r="51" ht="45.0" customHeight="1">
      <c r="A51" s="126" t="str">
        <f>'Закупка'!A51</f>
        <v/>
      </c>
      <c r="B51" s="127" t="str">
        <f>'Закупка'!B51</f>
        <v/>
      </c>
      <c r="C51" s="128" t="str">
        <f>'Закупка'!R51</f>
        <v/>
      </c>
      <c r="D51" s="129" t="str">
        <f t="array" ref="D51">INDEX('Закупка'!G51:K51, $A$2)</f>
        <v/>
      </c>
      <c r="E51" s="130" t="str">
        <f>'Закупка'!F51</f>
        <v/>
      </c>
      <c r="F51" s="131" t="str">
        <f t="shared" si="1"/>
        <v/>
      </c>
      <c r="G51" s="132"/>
      <c r="H51" s="133"/>
      <c r="I51" s="134"/>
      <c r="J51" s="131"/>
      <c r="K51" s="135" t="str">
        <f>'Закупка'!T51</f>
        <v/>
      </c>
      <c r="L51" s="136" t="str">
        <f>'Закупка'!U51</f>
        <v/>
      </c>
      <c r="M51" s="137" t="str">
        <f>'Закупка'!V51</f>
        <v/>
      </c>
    </row>
    <row r="52" ht="45.0" customHeight="1">
      <c r="A52" s="126" t="str">
        <f>'Закупка'!A52</f>
        <v/>
      </c>
      <c r="B52" s="127" t="str">
        <f>'Закупка'!B52</f>
        <v/>
      </c>
      <c r="C52" s="128" t="str">
        <f>'Закупка'!R52</f>
        <v/>
      </c>
      <c r="D52" s="129" t="str">
        <f t="array" ref="D52">INDEX('Закупка'!G52:K52, $A$2)</f>
        <v/>
      </c>
      <c r="E52" s="130" t="str">
        <f>'Закупка'!F52</f>
        <v/>
      </c>
      <c r="F52" s="131" t="str">
        <f t="shared" si="1"/>
        <v/>
      </c>
      <c r="G52" s="132"/>
      <c r="H52" s="133"/>
      <c r="I52" s="134"/>
      <c r="J52" s="131"/>
      <c r="K52" s="135" t="str">
        <f>'Закупка'!T52</f>
        <v/>
      </c>
      <c r="L52" s="136" t="str">
        <f>'Закупка'!U52</f>
        <v/>
      </c>
      <c r="M52" s="137" t="str">
        <f>'Закупка'!V52</f>
        <v/>
      </c>
    </row>
    <row r="53" ht="45.0" customHeight="1">
      <c r="A53" s="126" t="str">
        <f>'Закупка'!A53</f>
        <v/>
      </c>
      <c r="B53" s="127" t="str">
        <f>'Закупка'!B53</f>
        <v/>
      </c>
      <c r="C53" s="128" t="str">
        <f>'Закупка'!R53</f>
        <v/>
      </c>
      <c r="D53" s="129" t="str">
        <f t="array" ref="D53">INDEX('Закупка'!G53:K53, $A$2)</f>
        <v/>
      </c>
      <c r="E53" s="130" t="str">
        <f>'Закупка'!F53</f>
        <v/>
      </c>
      <c r="F53" s="131" t="str">
        <f t="shared" si="1"/>
        <v/>
      </c>
      <c r="G53" s="132"/>
      <c r="H53" s="133"/>
      <c r="I53" s="134"/>
      <c r="J53" s="131"/>
      <c r="K53" s="135" t="str">
        <f>'Закупка'!T53</f>
        <v/>
      </c>
      <c r="L53" s="136" t="str">
        <f>'Закупка'!U53</f>
        <v/>
      </c>
      <c r="M53" s="137" t="str">
        <f>'Закупка'!V53</f>
        <v/>
      </c>
    </row>
    <row r="54" ht="45.0" customHeight="1">
      <c r="A54" s="126" t="str">
        <f>'Закупка'!A54</f>
        <v/>
      </c>
      <c r="B54" s="127" t="str">
        <f>'Закупка'!B54</f>
        <v/>
      </c>
      <c r="C54" s="128" t="str">
        <f>'Закупка'!R54</f>
        <v/>
      </c>
      <c r="D54" s="129" t="str">
        <f t="array" ref="D54">INDEX('Закупка'!G54:K54, $A$2)</f>
        <v/>
      </c>
      <c r="E54" s="130" t="str">
        <f>'Закупка'!F54</f>
        <v/>
      </c>
      <c r="F54" s="131" t="str">
        <f t="shared" si="1"/>
        <v/>
      </c>
      <c r="G54" s="132"/>
      <c r="H54" s="133"/>
      <c r="I54" s="134"/>
      <c r="J54" s="131"/>
      <c r="K54" s="135" t="str">
        <f>'Закупка'!T54</f>
        <v/>
      </c>
      <c r="L54" s="136" t="str">
        <f>'Закупка'!U54</f>
        <v/>
      </c>
      <c r="M54" s="137" t="str">
        <f>'Закупка'!V54</f>
        <v/>
      </c>
    </row>
    <row r="55" ht="45.0" customHeight="1">
      <c r="A55" s="126" t="str">
        <f>'Закупка'!A55</f>
        <v/>
      </c>
      <c r="B55" s="127" t="str">
        <f>'Закупка'!B55</f>
        <v/>
      </c>
      <c r="C55" s="128" t="str">
        <f>'Закупка'!R55</f>
        <v/>
      </c>
      <c r="D55" s="129" t="str">
        <f t="array" ref="D55">INDEX('Закупка'!G55:K55, $A$2)</f>
        <v/>
      </c>
      <c r="E55" s="130" t="str">
        <f>'Закупка'!F55</f>
        <v/>
      </c>
      <c r="F55" s="131" t="str">
        <f t="shared" si="1"/>
        <v/>
      </c>
      <c r="G55" s="132"/>
      <c r="H55" s="133"/>
      <c r="I55" s="134"/>
      <c r="J55" s="131"/>
      <c r="K55" s="135" t="str">
        <f>'Закупка'!T55</f>
        <v/>
      </c>
      <c r="L55" s="136" t="str">
        <f>'Закупка'!U55</f>
        <v/>
      </c>
      <c r="M55" s="137" t="str">
        <f>'Закупка'!V55</f>
        <v/>
      </c>
    </row>
    <row r="56" ht="45.0" customHeight="1">
      <c r="A56" s="126" t="str">
        <f>'Закупка'!A56</f>
        <v/>
      </c>
      <c r="B56" s="127" t="str">
        <f>'Закупка'!B56</f>
        <v/>
      </c>
      <c r="C56" s="128" t="str">
        <f>'Закупка'!R56</f>
        <v/>
      </c>
      <c r="D56" s="129" t="str">
        <f t="array" ref="D56">INDEX('Закупка'!G56:K56, $A$2)</f>
        <v/>
      </c>
      <c r="E56" s="130" t="str">
        <f>'Закупка'!F56</f>
        <v/>
      </c>
      <c r="F56" s="131" t="str">
        <f t="shared" si="1"/>
        <v/>
      </c>
      <c r="G56" s="132"/>
      <c r="H56" s="133"/>
      <c r="I56" s="134"/>
      <c r="J56" s="131"/>
      <c r="K56" s="135" t="str">
        <f>'Закупка'!T56</f>
        <v/>
      </c>
      <c r="L56" s="136" t="str">
        <f>'Закупка'!U56</f>
        <v/>
      </c>
      <c r="M56" s="137" t="str">
        <f>'Закупка'!V56</f>
        <v/>
      </c>
    </row>
    <row r="57" ht="45.0" customHeight="1">
      <c r="A57" s="126" t="str">
        <f>'Закупка'!A57</f>
        <v/>
      </c>
      <c r="B57" s="127" t="str">
        <f>'Закупка'!B57</f>
        <v/>
      </c>
      <c r="C57" s="128" t="str">
        <f>'Закупка'!R57</f>
        <v/>
      </c>
      <c r="D57" s="129" t="str">
        <f t="array" ref="D57">INDEX('Закупка'!G57:K57, $A$2)</f>
        <v/>
      </c>
      <c r="E57" s="130" t="str">
        <f>'Закупка'!F57</f>
        <v/>
      </c>
      <c r="F57" s="131" t="str">
        <f t="shared" si="1"/>
        <v/>
      </c>
      <c r="G57" s="132"/>
      <c r="H57" s="133"/>
      <c r="I57" s="134"/>
      <c r="J57" s="131"/>
      <c r="K57" s="135" t="str">
        <f>'Закупка'!T57</f>
        <v/>
      </c>
      <c r="L57" s="136" t="str">
        <f>'Закупка'!U57</f>
        <v/>
      </c>
      <c r="M57" s="137" t="str">
        <f>'Закупка'!V57</f>
        <v/>
      </c>
    </row>
    <row r="58" ht="45.0" customHeight="1">
      <c r="A58" s="126" t="str">
        <f>'Закупка'!A58</f>
        <v/>
      </c>
      <c r="B58" s="127" t="str">
        <f>'Закупка'!B58</f>
        <v/>
      </c>
      <c r="C58" s="128" t="str">
        <f>'Закупка'!R58</f>
        <v/>
      </c>
      <c r="D58" s="129" t="str">
        <f t="array" ref="D58">INDEX('Закупка'!G58:K58, $A$2)</f>
        <v/>
      </c>
      <c r="E58" s="130" t="str">
        <f>'Закупка'!F58</f>
        <v/>
      </c>
      <c r="F58" s="131" t="str">
        <f t="shared" si="1"/>
        <v/>
      </c>
      <c r="G58" s="132"/>
      <c r="H58" s="133"/>
      <c r="I58" s="134"/>
      <c r="J58" s="131"/>
      <c r="K58" s="135" t="str">
        <f>'Закупка'!T58</f>
        <v/>
      </c>
      <c r="L58" s="136" t="str">
        <f>'Закупка'!U58</f>
        <v/>
      </c>
      <c r="M58" s="137" t="str">
        <f>'Закупка'!V58</f>
        <v/>
      </c>
    </row>
    <row r="59" ht="45.0" customHeight="1">
      <c r="A59" s="126" t="str">
        <f>'Закупка'!A59</f>
        <v/>
      </c>
      <c r="B59" s="127" t="str">
        <f>'Закупка'!B59</f>
        <v/>
      </c>
      <c r="C59" s="128" t="str">
        <f>'Закупка'!R59</f>
        <v/>
      </c>
      <c r="D59" s="129" t="str">
        <f t="array" ref="D59">INDEX('Закупка'!G59:K59, $A$2)</f>
        <v/>
      </c>
      <c r="E59" s="130" t="str">
        <f>'Закупка'!F59</f>
        <v/>
      </c>
      <c r="F59" s="131" t="str">
        <f t="shared" si="1"/>
        <v/>
      </c>
      <c r="G59" s="132"/>
      <c r="H59" s="133"/>
      <c r="I59" s="134"/>
      <c r="J59" s="131"/>
      <c r="K59" s="135" t="str">
        <f>'Закупка'!T59</f>
        <v/>
      </c>
      <c r="L59" s="136" t="str">
        <f>'Закупка'!U59</f>
        <v/>
      </c>
      <c r="M59" s="137" t="str">
        <f>'Закупка'!V59</f>
        <v/>
      </c>
    </row>
    <row r="60" ht="45.0" customHeight="1">
      <c r="A60" s="126" t="str">
        <f>'Закупка'!A60</f>
        <v/>
      </c>
      <c r="B60" s="127" t="str">
        <f>'Закупка'!B60</f>
        <v/>
      </c>
      <c r="C60" s="128" t="str">
        <f>'Закупка'!R60</f>
        <v/>
      </c>
      <c r="D60" s="129" t="str">
        <f t="array" ref="D60">INDEX('Закупка'!G60:K60, $A$2)</f>
        <v/>
      </c>
      <c r="E60" s="130" t="str">
        <f>'Закупка'!F60</f>
        <v/>
      </c>
      <c r="F60" s="131" t="str">
        <f t="shared" si="1"/>
        <v/>
      </c>
      <c r="G60" s="132"/>
      <c r="H60" s="133"/>
      <c r="I60" s="134"/>
      <c r="J60" s="131"/>
      <c r="K60" s="135" t="str">
        <f>'Закупка'!T60</f>
        <v/>
      </c>
      <c r="L60" s="136" t="str">
        <f>'Закупка'!U60</f>
        <v/>
      </c>
      <c r="M60" s="137" t="str">
        <f>'Закупка'!V60</f>
        <v/>
      </c>
    </row>
    <row r="61" ht="45.0" customHeight="1">
      <c r="A61" s="126" t="str">
        <f>'Закупка'!A61</f>
        <v/>
      </c>
      <c r="B61" s="127" t="str">
        <f>'Закупка'!B61</f>
        <v/>
      </c>
      <c r="C61" s="128" t="str">
        <f>'Закупка'!R61</f>
        <v/>
      </c>
      <c r="D61" s="129" t="str">
        <f t="array" ref="D61">INDEX('Закупка'!G61:K61, $A$2)</f>
        <v/>
      </c>
      <c r="E61" s="130" t="str">
        <f>'Закупка'!F61</f>
        <v/>
      </c>
      <c r="F61" s="131" t="str">
        <f t="shared" si="1"/>
        <v/>
      </c>
      <c r="G61" s="132"/>
      <c r="H61" s="133"/>
      <c r="I61" s="134"/>
      <c r="J61" s="131"/>
      <c r="K61" s="135" t="str">
        <f>'Закупка'!T61</f>
        <v/>
      </c>
      <c r="L61" s="136" t="str">
        <f>'Закупка'!U61</f>
        <v/>
      </c>
      <c r="M61" s="137" t="str">
        <f>'Закупка'!V61</f>
        <v/>
      </c>
    </row>
    <row r="62" ht="45.0" customHeight="1">
      <c r="A62" s="126" t="str">
        <f>'Закупка'!A62</f>
        <v/>
      </c>
      <c r="B62" s="127" t="str">
        <f>'Закупка'!B62</f>
        <v/>
      </c>
      <c r="C62" s="128" t="str">
        <f>'Закупка'!R62</f>
        <v/>
      </c>
      <c r="D62" s="129" t="str">
        <f t="array" ref="D62">INDEX('Закупка'!G62:K62, $A$2)</f>
        <v/>
      </c>
      <c r="E62" s="130" t="str">
        <f>'Закупка'!F62</f>
        <v/>
      </c>
      <c r="F62" s="131" t="str">
        <f t="shared" si="1"/>
        <v/>
      </c>
      <c r="G62" s="132"/>
      <c r="H62" s="133"/>
      <c r="I62" s="134"/>
      <c r="J62" s="131"/>
      <c r="K62" s="135" t="str">
        <f>'Закупка'!T62</f>
        <v/>
      </c>
      <c r="L62" s="136" t="str">
        <f>'Закупка'!U62</f>
        <v/>
      </c>
      <c r="M62" s="137" t="str">
        <f>'Закупка'!V62</f>
        <v/>
      </c>
    </row>
    <row r="63" ht="45.0" customHeight="1">
      <c r="A63" s="126" t="str">
        <f>'Закупка'!A63</f>
        <v/>
      </c>
      <c r="B63" s="127" t="str">
        <f>'Закупка'!B63</f>
        <v/>
      </c>
      <c r="C63" s="128" t="str">
        <f>'Закупка'!R63</f>
        <v/>
      </c>
      <c r="D63" s="129" t="str">
        <f t="array" ref="D63">INDEX('Закупка'!G63:K63, $A$2)</f>
        <v/>
      </c>
      <c r="E63" s="130" t="str">
        <f>'Закупка'!F63</f>
        <v/>
      </c>
      <c r="F63" s="131" t="str">
        <f t="shared" si="1"/>
        <v/>
      </c>
      <c r="G63" s="132"/>
      <c r="H63" s="133"/>
      <c r="I63" s="134"/>
      <c r="J63" s="131"/>
      <c r="K63" s="135" t="str">
        <f>'Закупка'!T63</f>
        <v/>
      </c>
      <c r="L63" s="136" t="str">
        <f>'Закупка'!U63</f>
        <v/>
      </c>
      <c r="M63" s="137" t="str">
        <f>'Закупка'!V63</f>
        <v/>
      </c>
    </row>
    <row r="64" ht="45.0" customHeight="1">
      <c r="A64" s="126" t="str">
        <f>'Закупка'!A64</f>
        <v/>
      </c>
      <c r="B64" s="127" t="str">
        <f>'Закупка'!B64</f>
        <v/>
      </c>
      <c r="C64" s="128" t="str">
        <f>'Закупка'!R64</f>
        <v/>
      </c>
      <c r="D64" s="129" t="str">
        <f t="array" ref="D64">INDEX('Закупка'!G64:K64, $A$2)</f>
        <v/>
      </c>
      <c r="E64" s="130" t="str">
        <f>'Закупка'!F64</f>
        <v/>
      </c>
      <c r="F64" s="131" t="str">
        <f t="shared" si="1"/>
        <v/>
      </c>
      <c r="G64" s="132"/>
      <c r="H64" s="133"/>
      <c r="I64" s="134"/>
      <c r="J64" s="131"/>
      <c r="K64" s="135" t="str">
        <f>'Закупка'!T64</f>
        <v/>
      </c>
      <c r="L64" s="136" t="str">
        <f>'Закупка'!U64</f>
        <v/>
      </c>
      <c r="M64" s="137" t="str">
        <f>'Закупка'!V64</f>
        <v/>
      </c>
    </row>
    <row r="65" ht="45.0" customHeight="1">
      <c r="A65" s="126" t="str">
        <f>'Закупка'!A65</f>
        <v/>
      </c>
      <c r="B65" s="127" t="str">
        <f>'Закупка'!B65</f>
        <v/>
      </c>
      <c r="C65" s="128" t="str">
        <f>'Закупка'!R65</f>
        <v/>
      </c>
      <c r="D65" s="129" t="str">
        <f t="array" ref="D65">INDEX('Закупка'!G65:K65, $A$2)</f>
        <v/>
      </c>
      <c r="E65" s="130" t="str">
        <f>'Закупка'!F65</f>
        <v/>
      </c>
      <c r="F65" s="131" t="str">
        <f t="shared" si="1"/>
        <v/>
      </c>
      <c r="G65" s="132"/>
      <c r="H65" s="133"/>
      <c r="I65" s="134"/>
      <c r="J65" s="131"/>
      <c r="K65" s="135" t="str">
        <f>'Закупка'!T65</f>
        <v/>
      </c>
      <c r="L65" s="136" t="str">
        <f>'Закупка'!U65</f>
        <v/>
      </c>
      <c r="M65" s="137" t="str">
        <f>'Закупка'!V65</f>
        <v/>
      </c>
    </row>
    <row r="66" ht="45.0" customHeight="1">
      <c r="A66" s="126" t="str">
        <f>'Закупка'!A66</f>
        <v/>
      </c>
      <c r="B66" s="127" t="str">
        <f>'Закупка'!B66</f>
        <v/>
      </c>
      <c r="C66" s="128" t="str">
        <f>'Закупка'!R66</f>
        <v/>
      </c>
      <c r="D66" s="129" t="str">
        <f t="array" ref="D66">INDEX('Закупка'!G66:K66, $A$2)</f>
        <v/>
      </c>
      <c r="E66" s="130" t="str">
        <f>'Закупка'!F66</f>
        <v/>
      </c>
      <c r="F66" s="131" t="str">
        <f t="shared" si="1"/>
        <v/>
      </c>
      <c r="G66" s="132"/>
      <c r="H66" s="133"/>
      <c r="I66" s="134"/>
      <c r="J66" s="131"/>
      <c r="K66" s="135" t="str">
        <f>'Закупка'!T66</f>
        <v/>
      </c>
      <c r="L66" s="136" t="str">
        <f>'Закупка'!U66</f>
        <v/>
      </c>
      <c r="M66" s="137" t="str">
        <f>'Закупка'!V66</f>
        <v/>
      </c>
    </row>
    <row r="67" ht="45.0" customHeight="1">
      <c r="A67" s="126" t="str">
        <f>'Закупка'!A67</f>
        <v/>
      </c>
      <c r="B67" s="127" t="str">
        <f>'Закупка'!B67</f>
        <v/>
      </c>
      <c r="C67" s="128" t="str">
        <f>'Закупка'!R67</f>
        <v/>
      </c>
      <c r="D67" s="129" t="str">
        <f t="array" ref="D67">INDEX('Закупка'!G67:K67, $A$2)</f>
        <v/>
      </c>
      <c r="E67" s="130" t="str">
        <f>'Закупка'!F67</f>
        <v/>
      </c>
      <c r="F67" s="131" t="str">
        <f t="shared" si="1"/>
        <v/>
      </c>
      <c r="G67" s="132"/>
      <c r="H67" s="133"/>
      <c r="I67" s="134"/>
      <c r="J67" s="131"/>
      <c r="K67" s="135" t="str">
        <f>'Закупка'!T67</f>
        <v/>
      </c>
      <c r="L67" s="136" t="str">
        <f>'Закупка'!U67</f>
        <v/>
      </c>
      <c r="M67" s="137" t="str">
        <f>'Закупка'!V67</f>
        <v/>
      </c>
    </row>
    <row r="68" ht="45.0" customHeight="1">
      <c r="A68" s="126" t="str">
        <f>'Закупка'!A68</f>
        <v/>
      </c>
      <c r="B68" s="127" t="str">
        <f>'Закупка'!B68</f>
        <v/>
      </c>
      <c r="C68" s="128" t="str">
        <f>'Закупка'!R68</f>
        <v/>
      </c>
      <c r="D68" s="129" t="str">
        <f t="array" ref="D68">INDEX('Закупка'!G68:K68, $A$2)</f>
        <v/>
      </c>
      <c r="E68" s="130" t="str">
        <f>'Закупка'!F68</f>
        <v/>
      </c>
      <c r="F68" s="131" t="str">
        <f t="shared" si="1"/>
        <v/>
      </c>
      <c r="G68" s="132"/>
      <c r="H68" s="133"/>
      <c r="I68" s="134"/>
      <c r="J68" s="131"/>
      <c r="K68" s="135" t="str">
        <f>'Закупка'!T68</f>
        <v/>
      </c>
      <c r="L68" s="136" t="str">
        <f>'Закупка'!U68</f>
        <v/>
      </c>
      <c r="M68" s="137" t="str">
        <f>'Закупка'!V68</f>
        <v/>
      </c>
    </row>
    <row r="69" ht="45.0" customHeight="1">
      <c r="A69" s="126" t="str">
        <f>'Закупка'!A69</f>
        <v/>
      </c>
      <c r="B69" s="127" t="str">
        <f>'Закупка'!B69</f>
        <v/>
      </c>
      <c r="C69" s="128" t="str">
        <f>'Закупка'!R69</f>
        <v/>
      </c>
      <c r="D69" s="129" t="str">
        <f t="array" ref="D69">INDEX('Закупка'!G69:K69, $A$2)</f>
        <v/>
      </c>
      <c r="E69" s="130" t="str">
        <f>'Закупка'!F69</f>
        <v/>
      </c>
      <c r="F69" s="131" t="str">
        <f t="shared" si="1"/>
        <v/>
      </c>
      <c r="G69" s="132"/>
      <c r="H69" s="133"/>
      <c r="I69" s="134"/>
      <c r="J69" s="131"/>
      <c r="K69" s="135" t="str">
        <f>'Закупка'!T69</f>
        <v/>
      </c>
      <c r="L69" s="136" t="str">
        <f>'Закупка'!U69</f>
        <v/>
      </c>
      <c r="M69" s="137" t="str">
        <f>'Закупка'!V69</f>
        <v/>
      </c>
    </row>
    <row r="70" ht="45.0" customHeight="1">
      <c r="A70" s="126" t="str">
        <f>'Закупка'!A70</f>
        <v/>
      </c>
      <c r="B70" s="127" t="str">
        <f>'Закупка'!B70</f>
        <v/>
      </c>
      <c r="C70" s="128" t="str">
        <f>'Закупка'!R70</f>
        <v/>
      </c>
      <c r="D70" s="129" t="str">
        <f t="array" ref="D70">INDEX('Закупка'!G70:K70, $A$2)</f>
        <v/>
      </c>
      <c r="E70" s="130" t="str">
        <f>'Закупка'!F70</f>
        <v/>
      </c>
      <c r="F70" s="131" t="str">
        <f t="shared" si="1"/>
        <v/>
      </c>
      <c r="G70" s="132"/>
      <c r="H70" s="133"/>
      <c r="I70" s="134"/>
      <c r="J70" s="131"/>
      <c r="K70" s="135" t="str">
        <f>'Закупка'!T70</f>
        <v/>
      </c>
      <c r="L70" s="136" t="str">
        <f>'Закупка'!U70</f>
        <v/>
      </c>
      <c r="M70" s="137" t="str">
        <f>'Закупка'!V70</f>
        <v/>
      </c>
    </row>
    <row r="71" ht="45.0" customHeight="1">
      <c r="A71" s="126" t="str">
        <f>'Закупка'!A71</f>
        <v/>
      </c>
      <c r="B71" s="127" t="str">
        <f>'Закупка'!B71</f>
        <v/>
      </c>
      <c r="C71" s="128" t="str">
        <f>'Закупка'!R71</f>
        <v/>
      </c>
      <c r="D71" s="129" t="str">
        <f t="array" ref="D71">INDEX('Закупка'!G71:K71, $A$2)</f>
        <v/>
      </c>
      <c r="E71" s="130" t="str">
        <f>'Закупка'!F71</f>
        <v/>
      </c>
      <c r="F71" s="131" t="str">
        <f t="shared" si="1"/>
        <v/>
      </c>
      <c r="G71" s="132"/>
      <c r="H71" s="133"/>
      <c r="I71" s="134"/>
      <c r="J71" s="131"/>
      <c r="K71" s="135" t="str">
        <f>'Закупка'!T71</f>
        <v/>
      </c>
      <c r="L71" s="136" t="str">
        <f>'Закупка'!U71</f>
        <v/>
      </c>
      <c r="M71" s="137" t="str">
        <f>'Закупка'!V71</f>
        <v/>
      </c>
    </row>
    <row r="72" ht="45.0" customHeight="1">
      <c r="A72" s="126" t="str">
        <f>'Закупка'!A72</f>
        <v/>
      </c>
      <c r="B72" s="127" t="str">
        <f>'Закупка'!B72</f>
        <v/>
      </c>
      <c r="C72" s="128" t="str">
        <f>'Закупка'!R72</f>
        <v/>
      </c>
      <c r="D72" s="129" t="str">
        <f t="array" ref="D72">INDEX('Закупка'!G72:K72, $A$2)</f>
        <v/>
      </c>
      <c r="E72" s="130" t="str">
        <f>'Закупка'!F72</f>
        <v/>
      </c>
      <c r="F72" s="131" t="str">
        <f t="shared" si="1"/>
        <v/>
      </c>
      <c r="G72" s="132"/>
      <c r="H72" s="133"/>
      <c r="I72" s="134"/>
      <c r="J72" s="131"/>
      <c r="K72" s="135" t="str">
        <f>'Закупка'!T72</f>
        <v/>
      </c>
      <c r="L72" s="136" t="str">
        <f>'Закупка'!U72</f>
        <v/>
      </c>
      <c r="M72" s="137" t="str">
        <f>'Закупка'!V72</f>
        <v/>
      </c>
    </row>
    <row r="73" ht="45.0" customHeight="1">
      <c r="A73" s="126" t="str">
        <f>'Закупка'!A73</f>
        <v/>
      </c>
      <c r="B73" s="127" t="str">
        <f>'Закупка'!B73</f>
        <v/>
      </c>
      <c r="C73" s="128" t="str">
        <f>'Закупка'!R73</f>
        <v/>
      </c>
      <c r="D73" s="129" t="str">
        <f t="array" ref="D73">INDEX('Закупка'!G73:K73, $A$2)</f>
        <v/>
      </c>
      <c r="E73" s="130" t="str">
        <f>'Закупка'!F73</f>
        <v/>
      </c>
      <c r="F73" s="131" t="str">
        <f t="shared" si="1"/>
        <v/>
      </c>
      <c r="G73" s="132"/>
      <c r="H73" s="133"/>
      <c r="I73" s="134"/>
      <c r="J73" s="131"/>
      <c r="K73" s="135" t="str">
        <f>'Закупка'!T73</f>
        <v/>
      </c>
      <c r="L73" s="136" t="str">
        <f>'Закупка'!U73</f>
        <v/>
      </c>
      <c r="M73" s="137" t="str">
        <f>'Закупка'!V73</f>
        <v/>
      </c>
    </row>
    <row r="74" ht="45.0" customHeight="1">
      <c r="A74" s="126" t="str">
        <f>'Закупка'!A74</f>
        <v/>
      </c>
      <c r="B74" s="127" t="str">
        <f>'Закупка'!B74</f>
        <v/>
      </c>
      <c r="C74" s="128" t="str">
        <f>'Закупка'!R74</f>
        <v/>
      </c>
      <c r="D74" s="129" t="str">
        <f t="array" ref="D74">INDEX('Закупка'!G74:K74, $A$2)</f>
        <v/>
      </c>
      <c r="E74" s="130" t="str">
        <f>'Закупка'!F74</f>
        <v/>
      </c>
      <c r="F74" s="131" t="str">
        <f t="shared" si="1"/>
        <v/>
      </c>
      <c r="G74" s="132"/>
      <c r="H74" s="133"/>
      <c r="I74" s="134"/>
      <c r="J74" s="131"/>
      <c r="K74" s="135" t="str">
        <f>'Закупка'!T74</f>
        <v/>
      </c>
      <c r="L74" s="136" t="str">
        <f>'Закупка'!U74</f>
        <v/>
      </c>
      <c r="M74" s="137" t="str">
        <f>'Закупка'!V74</f>
        <v/>
      </c>
    </row>
    <row r="75" ht="45.0" customHeight="1">
      <c r="A75" s="126" t="str">
        <f>'Закупка'!A75</f>
        <v/>
      </c>
      <c r="B75" s="127" t="str">
        <f>'Закупка'!B75</f>
        <v/>
      </c>
      <c r="C75" s="128" t="str">
        <f>'Закупка'!R75</f>
        <v/>
      </c>
      <c r="D75" s="129" t="str">
        <f t="array" ref="D75">INDEX('Закупка'!G75:K75, $A$2)</f>
        <v/>
      </c>
      <c r="E75" s="130" t="str">
        <f>'Закупка'!F75</f>
        <v/>
      </c>
      <c r="F75" s="131" t="str">
        <f t="shared" si="1"/>
        <v/>
      </c>
      <c r="G75" s="132"/>
      <c r="H75" s="133"/>
      <c r="I75" s="134"/>
      <c r="J75" s="131"/>
      <c r="K75" s="135" t="str">
        <f>'Закупка'!T75</f>
        <v/>
      </c>
      <c r="L75" s="136" t="str">
        <f>'Закупка'!U75</f>
        <v/>
      </c>
      <c r="M75" s="137" t="str">
        <f>'Закупка'!V75</f>
        <v/>
      </c>
    </row>
    <row r="76" ht="45.0" customHeight="1">
      <c r="A76" s="126" t="str">
        <f>'Закупка'!A76</f>
        <v/>
      </c>
      <c r="B76" s="127" t="str">
        <f>'Закупка'!B76</f>
        <v/>
      </c>
      <c r="C76" s="128" t="str">
        <f>'Закупка'!R76</f>
        <v/>
      </c>
      <c r="D76" s="129" t="str">
        <f t="array" ref="D76">INDEX('Закупка'!G76:K76, $A$2)</f>
        <v/>
      </c>
      <c r="E76" s="130" t="str">
        <f>'Закупка'!F76</f>
        <v/>
      </c>
      <c r="F76" s="131" t="str">
        <f t="shared" si="1"/>
        <v/>
      </c>
      <c r="G76" s="132"/>
      <c r="H76" s="133"/>
      <c r="I76" s="134"/>
      <c r="J76" s="131"/>
      <c r="K76" s="135" t="str">
        <f>'Закупка'!T76</f>
        <v/>
      </c>
      <c r="L76" s="136" t="str">
        <f>'Закупка'!U76</f>
        <v/>
      </c>
      <c r="M76" s="137" t="str">
        <f>'Закупка'!V76</f>
        <v/>
      </c>
    </row>
    <row r="77" ht="45.0" customHeight="1">
      <c r="A77" s="126" t="str">
        <f>'Закупка'!A77</f>
        <v/>
      </c>
      <c r="B77" s="127" t="str">
        <f>'Закупка'!B77</f>
        <v/>
      </c>
      <c r="C77" s="128" t="str">
        <f>'Закупка'!R77</f>
        <v/>
      </c>
      <c r="D77" s="129" t="str">
        <f t="array" ref="D77">INDEX('Закупка'!G77:K77, $A$2)</f>
        <v/>
      </c>
      <c r="E77" s="130" t="str">
        <f>'Закупка'!F77</f>
        <v/>
      </c>
      <c r="F77" s="131" t="str">
        <f t="shared" si="1"/>
        <v/>
      </c>
      <c r="G77" s="132"/>
      <c r="H77" s="133"/>
      <c r="I77" s="134"/>
      <c r="J77" s="131"/>
      <c r="K77" s="135" t="str">
        <f>'Закупка'!T77</f>
        <v/>
      </c>
      <c r="L77" s="136" t="str">
        <f>'Закупка'!U77</f>
        <v/>
      </c>
      <c r="M77" s="137" t="str">
        <f>'Закупка'!V77</f>
        <v/>
      </c>
    </row>
    <row r="78" ht="45.0" customHeight="1">
      <c r="A78" s="126" t="str">
        <f>'Закупка'!A78</f>
        <v/>
      </c>
      <c r="B78" s="127" t="str">
        <f>'Закупка'!B78</f>
        <v/>
      </c>
      <c r="C78" s="128" t="str">
        <f>'Закупка'!R78</f>
        <v/>
      </c>
      <c r="D78" s="129" t="str">
        <f t="array" ref="D78">INDEX('Закупка'!G78:K78, $A$2)</f>
        <v/>
      </c>
      <c r="E78" s="130" t="str">
        <f>'Закупка'!F78</f>
        <v/>
      </c>
      <c r="F78" s="131" t="str">
        <f t="shared" si="1"/>
        <v/>
      </c>
      <c r="G78" s="132"/>
      <c r="H78" s="133"/>
      <c r="I78" s="134"/>
      <c r="J78" s="131"/>
      <c r="K78" s="135" t="str">
        <f>'Закупка'!T78</f>
        <v/>
      </c>
      <c r="L78" s="136" t="str">
        <f>'Закупка'!U78</f>
        <v/>
      </c>
      <c r="M78" s="137" t="str">
        <f>'Закупка'!V78</f>
        <v/>
      </c>
    </row>
    <row r="79" ht="45.0" customHeight="1">
      <c r="A79" s="126" t="str">
        <f>'Закупка'!A79</f>
        <v/>
      </c>
      <c r="B79" s="127" t="str">
        <f>'Закупка'!B79</f>
        <v/>
      </c>
      <c r="C79" s="128" t="str">
        <f>'Закупка'!R79</f>
        <v/>
      </c>
      <c r="D79" s="129" t="str">
        <f t="array" ref="D79">INDEX('Закупка'!G79:K79, $A$2)</f>
        <v/>
      </c>
      <c r="E79" s="130" t="str">
        <f>'Закупка'!F79</f>
        <v/>
      </c>
      <c r="F79" s="131" t="str">
        <f t="shared" si="1"/>
        <v/>
      </c>
      <c r="G79" s="132"/>
      <c r="H79" s="133"/>
      <c r="I79" s="134"/>
      <c r="J79" s="131"/>
      <c r="K79" s="135" t="str">
        <f>'Закупка'!T79</f>
        <v/>
      </c>
      <c r="L79" s="136" t="str">
        <f>'Закупка'!U79</f>
        <v/>
      </c>
      <c r="M79" s="137" t="str">
        <f>'Закупка'!V79</f>
        <v/>
      </c>
    </row>
    <row r="80" ht="45.0" customHeight="1">
      <c r="A80" s="126" t="str">
        <f>'Закупка'!A80</f>
        <v/>
      </c>
      <c r="B80" s="127" t="str">
        <f>'Закупка'!B80</f>
        <v/>
      </c>
      <c r="C80" s="128" t="str">
        <f>'Закупка'!R80</f>
        <v/>
      </c>
      <c r="D80" s="129" t="str">
        <f t="array" ref="D80">INDEX('Закупка'!G80:K80, $A$2)</f>
        <v/>
      </c>
      <c r="E80" s="130" t="str">
        <f>'Закупка'!F80</f>
        <v/>
      </c>
      <c r="F80" s="131" t="str">
        <f t="shared" si="1"/>
        <v/>
      </c>
      <c r="G80" s="132"/>
      <c r="H80" s="133"/>
      <c r="I80" s="134"/>
      <c r="J80" s="131"/>
      <c r="K80" s="135" t="str">
        <f>'Закупка'!T80</f>
        <v/>
      </c>
      <c r="L80" s="136" t="str">
        <f>'Закупка'!U80</f>
        <v/>
      </c>
      <c r="M80" s="137" t="str">
        <f>'Закупка'!V80</f>
        <v/>
      </c>
    </row>
    <row r="81" ht="45.0" customHeight="1">
      <c r="A81" s="126" t="str">
        <f>'Закупка'!A81</f>
        <v/>
      </c>
      <c r="B81" s="127" t="str">
        <f>'Закупка'!B81</f>
        <v/>
      </c>
      <c r="C81" s="128" t="str">
        <f>'Закупка'!R81</f>
        <v/>
      </c>
      <c r="D81" s="129" t="str">
        <f t="array" ref="D81">INDEX('Закупка'!G81:K81, $A$2)</f>
        <v/>
      </c>
      <c r="E81" s="130" t="str">
        <f>'Закупка'!F81</f>
        <v/>
      </c>
      <c r="F81" s="131" t="str">
        <f t="shared" si="1"/>
        <v/>
      </c>
      <c r="G81" s="132"/>
      <c r="H81" s="133"/>
      <c r="I81" s="134"/>
      <c r="J81" s="131"/>
      <c r="K81" s="135" t="str">
        <f>'Закупка'!T81</f>
        <v/>
      </c>
      <c r="L81" s="136" t="str">
        <f>'Закупка'!U81</f>
        <v/>
      </c>
      <c r="M81" s="137" t="str">
        <f>'Закупка'!V81</f>
        <v/>
      </c>
    </row>
    <row r="82" ht="45.0" customHeight="1">
      <c r="A82" s="126" t="str">
        <f>'Закупка'!A82</f>
        <v/>
      </c>
      <c r="B82" s="127" t="str">
        <f>'Закупка'!B82</f>
        <v/>
      </c>
      <c r="C82" s="128" t="str">
        <f>'Закупка'!R82</f>
        <v/>
      </c>
      <c r="D82" s="129" t="str">
        <f t="array" ref="D82">INDEX('Закупка'!G82:K82, $A$2)</f>
        <v/>
      </c>
      <c r="E82" s="130" t="str">
        <f>'Закупка'!F82</f>
        <v/>
      </c>
      <c r="F82" s="131" t="str">
        <f t="shared" si="1"/>
        <v/>
      </c>
      <c r="G82" s="132"/>
      <c r="H82" s="133"/>
      <c r="I82" s="134"/>
      <c r="J82" s="131"/>
      <c r="K82" s="135" t="str">
        <f>'Закупка'!T82</f>
        <v/>
      </c>
      <c r="L82" s="136" t="str">
        <f>'Закупка'!U82</f>
        <v/>
      </c>
      <c r="M82" s="137" t="str">
        <f>'Закупка'!V82</f>
        <v/>
      </c>
    </row>
    <row r="83" ht="45.0" customHeight="1">
      <c r="A83" s="126" t="str">
        <f>'Закупка'!A83</f>
        <v/>
      </c>
      <c r="B83" s="127" t="str">
        <f>'Закупка'!B83</f>
        <v/>
      </c>
      <c r="C83" s="128" t="str">
        <f>'Закупка'!R83</f>
        <v/>
      </c>
      <c r="D83" s="129" t="str">
        <f t="array" ref="D83">INDEX('Закупка'!G83:K83, $A$2)</f>
        <v/>
      </c>
      <c r="E83" s="130" t="str">
        <f>'Закупка'!F83</f>
        <v/>
      </c>
      <c r="F83" s="131" t="str">
        <f t="shared" si="1"/>
        <v/>
      </c>
      <c r="G83" s="132"/>
      <c r="H83" s="133"/>
      <c r="I83" s="134"/>
      <c r="J83" s="131"/>
      <c r="K83" s="135" t="str">
        <f>'Закупка'!T83</f>
        <v/>
      </c>
      <c r="L83" s="136" t="str">
        <f>'Закупка'!U83</f>
        <v/>
      </c>
      <c r="M83" s="137" t="str">
        <f>'Закупка'!V83</f>
        <v/>
      </c>
    </row>
    <row r="84" ht="45.0" customHeight="1">
      <c r="A84" s="126" t="str">
        <f>'Закупка'!A84</f>
        <v/>
      </c>
      <c r="B84" s="127" t="str">
        <f>'Закупка'!B84</f>
        <v/>
      </c>
      <c r="C84" s="128" t="str">
        <f>'Закупка'!R84</f>
        <v/>
      </c>
      <c r="D84" s="129" t="str">
        <f t="array" ref="D84">INDEX('Закупка'!G84:K84, $A$2)</f>
        <v/>
      </c>
      <c r="E84" s="130" t="str">
        <f>'Закупка'!F84</f>
        <v/>
      </c>
      <c r="F84" s="131" t="str">
        <f t="shared" si="1"/>
        <v/>
      </c>
      <c r="G84" s="132"/>
      <c r="H84" s="133"/>
      <c r="I84" s="134"/>
      <c r="J84" s="131"/>
      <c r="K84" s="135" t="str">
        <f>'Закупка'!T84</f>
        <v/>
      </c>
      <c r="L84" s="136" t="str">
        <f>'Закупка'!U84</f>
        <v/>
      </c>
      <c r="M84" s="137" t="str">
        <f>'Закупка'!V84</f>
        <v/>
      </c>
    </row>
    <row r="85" ht="45.0" customHeight="1">
      <c r="A85" s="126" t="str">
        <f>'Закупка'!A85</f>
        <v/>
      </c>
      <c r="B85" s="127" t="str">
        <f>'Закупка'!B85</f>
        <v/>
      </c>
      <c r="C85" s="128" t="str">
        <f>'Закупка'!R85</f>
        <v/>
      </c>
      <c r="D85" s="129" t="str">
        <f t="array" ref="D85">INDEX('Закупка'!G85:K85, $A$2)</f>
        <v/>
      </c>
      <c r="E85" s="130" t="str">
        <f>'Закупка'!F85</f>
        <v/>
      </c>
      <c r="F85" s="131" t="str">
        <f t="shared" si="1"/>
        <v/>
      </c>
      <c r="G85" s="132"/>
      <c r="H85" s="133"/>
      <c r="I85" s="134"/>
      <c r="J85" s="131"/>
      <c r="K85" s="135" t="str">
        <f>'Закупка'!T85</f>
        <v/>
      </c>
      <c r="L85" s="136" t="str">
        <f>'Закупка'!U85</f>
        <v/>
      </c>
      <c r="M85" s="137" t="str">
        <f>'Закупка'!V85</f>
        <v/>
      </c>
    </row>
    <row r="86" ht="45.0" customHeight="1">
      <c r="A86" s="126" t="str">
        <f>'Закупка'!A86</f>
        <v/>
      </c>
      <c r="B86" s="127" t="str">
        <f>'Закупка'!B86</f>
        <v/>
      </c>
      <c r="C86" s="128" t="str">
        <f>'Закупка'!R86</f>
        <v/>
      </c>
      <c r="D86" s="129" t="str">
        <f t="array" ref="D86">INDEX('Закупка'!G86:K86, $A$2)</f>
        <v/>
      </c>
      <c r="E86" s="130" t="str">
        <f>'Закупка'!F86</f>
        <v/>
      </c>
      <c r="F86" s="131" t="str">
        <f t="shared" si="1"/>
        <v/>
      </c>
      <c r="G86" s="132"/>
      <c r="H86" s="133"/>
      <c r="I86" s="134"/>
      <c r="J86" s="131"/>
      <c r="K86" s="135" t="str">
        <f>'Закупка'!T86</f>
        <v/>
      </c>
      <c r="L86" s="136" t="str">
        <f>'Закупка'!U86</f>
        <v/>
      </c>
      <c r="M86" s="137" t="str">
        <f>'Закупка'!V86</f>
        <v/>
      </c>
    </row>
    <row r="87" ht="45.0" customHeight="1">
      <c r="A87" s="126" t="str">
        <f>'Закупка'!A87</f>
        <v/>
      </c>
      <c r="B87" s="127" t="str">
        <f>'Закупка'!B87</f>
        <v/>
      </c>
      <c r="C87" s="128" t="str">
        <f>'Закупка'!R87</f>
        <v/>
      </c>
      <c r="D87" s="129" t="str">
        <f t="array" ref="D87">INDEX('Закупка'!G87:K87, $A$2)</f>
        <v/>
      </c>
      <c r="E87" s="130" t="str">
        <f>'Закупка'!F87</f>
        <v/>
      </c>
      <c r="F87" s="131" t="str">
        <f t="shared" si="1"/>
        <v/>
      </c>
      <c r="G87" s="132"/>
      <c r="H87" s="133"/>
      <c r="I87" s="134"/>
      <c r="J87" s="131"/>
      <c r="K87" s="135" t="str">
        <f>'Закупка'!T87</f>
        <v/>
      </c>
      <c r="L87" s="136" t="str">
        <f>'Закупка'!U87</f>
        <v/>
      </c>
      <c r="M87" s="137" t="str">
        <f>'Закупка'!V87</f>
        <v/>
      </c>
    </row>
    <row r="88" ht="45.0" customHeight="1">
      <c r="A88" s="126" t="str">
        <f>'Закупка'!A88</f>
        <v/>
      </c>
      <c r="B88" s="127" t="str">
        <f>'Закупка'!B88</f>
        <v/>
      </c>
      <c r="C88" s="128" t="str">
        <f>'Закупка'!R88</f>
        <v/>
      </c>
      <c r="D88" s="129" t="str">
        <f t="array" ref="D88">INDEX('Закупка'!G88:K88, $A$2)</f>
        <v/>
      </c>
      <c r="E88" s="130" t="str">
        <f>'Закупка'!F88</f>
        <v/>
      </c>
      <c r="F88" s="131" t="str">
        <f t="shared" si="1"/>
        <v/>
      </c>
      <c r="G88" s="132"/>
      <c r="H88" s="133"/>
      <c r="I88" s="134"/>
      <c r="J88" s="131"/>
      <c r="K88" s="135" t="str">
        <f>'Закупка'!T88</f>
        <v/>
      </c>
      <c r="L88" s="136" t="str">
        <f>'Закупка'!U88</f>
        <v/>
      </c>
      <c r="M88" s="137" t="str">
        <f>'Закупка'!V88</f>
        <v/>
      </c>
    </row>
    <row r="89" ht="45.0" customHeight="1">
      <c r="A89" s="126" t="str">
        <f>'Закупка'!A89</f>
        <v/>
      </c>
      <c r="B89" s="127" t="str">
        <f>'Закупка'!B89</f>
        <v/>
      </c>
      <c r="C89" s="128" t="str">
        <f>'Закупка'!R89</f>
        <v/>
      </c>
      <c r="D89" s="129" t="str">
        <f t="array" ref="D89">INDEX('Закупка'!G89:K89, $A$2)</f>
        <v/>
      </c>
      <c r="E89" s="130" t="str">
        <f>'Закупка'!F89</f>
        <v/>
      </c>
      <c r="F89" s="131" t="str">
        <f t="shared" si="1"/>
        <v/>
      </c>
      <c r="G89" s="132"/>
      <c r="H89" s="133"/>
      <c r="I89" s="134"/>
      <c r="J89" s="131"/>
      <c r="K89" s="135" t="str">
        <f>'Закупка'!T89</f>
        <v/>
      </c>
      <c r="L89" s="136" t="str">
        <f>'Закупка'!U89</f>
        <v/>
      </c>
      <c r="M89" s="137" t="str">
        <f>'Закупка'!V89</f>
        <v/>
      </c>
    </row>
    <row r="90" ht="45.0" customHeight="1">
      <c r="A90" s="126" t="str">
        <f>'Закупка'!A90</f>
        <v/>
      </c>
      <c r="B90" s="127" t="str">
        <f>'Закупка'!B90</f>
        <v/>
      </c>
      <c r="C90" s="128" t="str">
        <f>'Закупка'!R90</f>
        <v/>
      </c>
      <c r="D90" s="129" t="str">
        <f t="array" ref="D90">INDEX('Закупка'!G90:K90, $A$2)</f>
        <v/>
      </c>
      <c r="E90" s="130" t="str">
        <f>'Закупка'!F90</f>
        <v/>
      </c>
      <c r="F90" s="131" t="str">
        <f t="shared" si="1"/>
        <v/>
      </c>
      <c r="G90" s="132"/>
      <c r="H90" s="133"/>
      <c r="I90" s="134"/>
      <c r="J90" s="131"/>
      <c r="K90" s="135" t="str">
        <f>'Закупка'!T90</f>
        <v/>
      </c>
      <c r="L90" s="136" t="str">
        <f>'Закупка'!U90</f>
        <v/>
      </c>
      <c r="M90" s="137" t="str">
        <f>'Закупка'!V90</f>
        <v/>
      </c>
    </row>
    <row r="91" ht="45.0" customHeight="1">
      <c r="A91" s="126" t="str">
        <f>'Закупка'!A91</f>
        <v/>
      </c>
      <c r="B91" s="127" t="str">
        <f>'Закупка'!B91</f>
        <v/>
      </c>
      <c r="C91" s="128" t="str">
        <f>'Закупка'!R91</f>
        <v/>
      </c>
      <c r="D91" s="129" t="str">
        <f t="array" ref="D91">INDEX('Закупка'!G91:K91, $A$2)</f>
        <v/>
      </c>
      <c r="E91" s="130" t="str">
        <f>'Закупка'!F91</f>
        <v/>
      </c>
      <c r="F91" s="131" t="str">
        <f t="shared" si="1"/>
        <v/>
      </c>
      <c r="G91" s="132"/>
      <c r="H91" s="133"/>
      <c r="I91" s="134"/>
      <c r="J91" s="131"/>
      <c r="K91" s="135" t="str">
        <f>'Закупка'!T91</f>
        <v/>
      </c>
      <c r="L91" s="136" t="str">
        <f>'Закупка'!U91</f>
        <v/>
      </c>
      <c r="M91" s="137" t="str">
        <f>'Закупка'!V91</f>
        <v/>
      </c>
    </row>
    <row r="92" ht="45.0" customHeight="1">
      <c r="A92" s="126" t="str">
        <f>'Закупка'!A92</f>
        <v/>
      </c>
      <c r="B92" s="127" t="str">
        <f>'Закупка'!B92</f>
        <v/>
      </c>
      <c r="C92" s="128" t="str">
        <f>'Закупка'!R92</f>
        <v/>
      </c>
      <c r="D92" s="129" t="str">
        <f t="array" ref="D92">INDEX('Закупка'!G92:K92, $A$2)</f>
        <v/>
      </c>
      <c r="E92" s="130" t="str">
        <f>'Закупка'!F92</f>
        <v/>
      </c>
      <c r="F92" s="131" t="str">
        <f t="shared" si="1"/>
        <v/>
      </c>
      <c r="G92" s="132"/>
      <c r="H92" s="133"/>
      <c r="I92" s="134"/>
      <c r="J92" s="131"/>
      <c r="K92" s="135" t="str">
        <f>'Закупка'!T92</f>
        <v/>
      </c>
      <c r="L92" s="136" t="str">
        <f>'Закупка'!U92</f>
        <v/>
      </c>
      <c r="M92" s="137" t="str">
        <f>'Закупка'!V92</f>
        <v/>
      </c>
    </row>
    <row r="93" ht="45.0" customHeight="1">
      <c r="A93" s="126" t="str">
        <f>'Закупка'!A93</f>
        <v/>
      </c>
      <c r="B93" s="127" t="str">
        <f>'Закупка'!B93</f>
        <v/>
      </c>
      <c r="C93" s="128" t="str">
        <f>'Закупка'!R93</f>
        <v/>
      </c>
      <c r="D93" s="129" t="str">
        <f t="array" ref="D93">INDEX('Закупка'!G93:K93, $A$2)</f>
        <v/>
      </c>
      <c r="E93" s="130" t="str">
        <f>'Закупка'!F93</f>
        <v/>
      </c>
      <c r="F93" s="131" t="str">
        <f t="shared" si="1"/>
        <v/>
      </c>
      <c r="G93" s="132"/>
      <c r="H93" s="133"/>
      <c r="I93" s="134"/>
      <c r="J93" s="131"/>
      <c r="K93" s="135" t="str">
        <f>'Закупка'!T93</f>
        <v/>
      </c>
      <c r="L93" s="136" t="str">
        <f>'Закупка'!U93</f>
        <v/>
      </c>
      <c r="M93" s="137" t="str">
        <f>'Закупка'!V93</f>
        <v/>
      </c>
    </row>
    <row r="94" ht="45.0" customHeight="1">
      <c r="A94" s="126" t="str">
        <f>'Закупка'!A94</f>
        <v/>
      </c>
      <c r="B94" s="127" t="str">
        <f>'Закупка'!B94</f>
        <v/>
      </c>
      <c r="C94" s="128" t="str">
        <f>'Закупка'!R94</f>
        <v/>
      </c>
      <c r="D94" s="129" t="str">
        <f t="array" ref="D94">INDEX('Закупка'!G94:K94, $A$2)</f>
        <v/>
      </c>
      <c r="E94" s="130" t="str">
        <f>'Закупка'!F94</f>
        <v/>
      </c>
      <c r="F94" s="131" t="str">
        <f t="shared" si="1"/>
        <v/>
      </c>
      <c r="G94" s="132"/>
      <c r="H94" s="133"/>
      <c r="I94" s="134"/>
      <c r="J94" s="131"/>
      <c r="K94" s="135" t="str">
        <f>'Закупка'!T94</f>
        <v/>
      </c>
      <c r="L94" s="136" t="str">
        <f>'Закупка'!U94</f>
        <v/>
      </c>
      <c r="M94" s="137" t="str">
        <f>'Закупка'!V94</f>
        <v/>
      </c>
    </row>
    <row r="95" ht="45.0" customHeight="1">
      <c r="A95" s="126" t="str">
        <f>'Закупка'!A95</f>
        <v/>
      </c>
      <c r="B95" s="127" t="str">
        <f>'Закупка'!B95</f>
        <v/>
      </c>
      <c r="C95" s="128" t="str">
        <f>'Закупка'!R95</f>
        <v/>
      </c>
      <c r="D95" s="129" t="str">
        <f t="array" ref="D95">INDEX('Закупка'!G95:K95, $A$2)</f>
        <v/>
      </c>
      <c r="E95" s="130" t="str">
        <f>'Закупка'!F95</f>
        <v/>
      </c>
      <c r="F95" s="131" t="str">
        <f t="shared" si="1"/>
        <v/>
      </c>
      <c r="G95" s="132"/>
      <c r="H95" s="133"/>
      <c r="I95" s="134"/>
      <c r="J95" s="131"/>
      <c r="K95" s="135" t="str">
        <f>'Закупка'!T95</f>
        <v/>
      </c>
      <c r="L95" s="136" t="str">
        <f>'Закупка'!U95</f>
        <v/>
      </c>
      <c r="M95" s="137" t="str">
        <f>'Закупка'!V95</f>
        <v/>
      </c>
    </row>
    <row r="96" ht="45.0" customHeight="1">
      <c r="A96" s="126" t="str">
        <f>'Закупка'!A96</f>
        <v/>
      </c>
      <c r="B96" s="127" t="str">
        <f>'Закупка'!B96</f>
        <v/>
      </c>
      <c r="C96" s="128" t="str">
        <f>'Закупка'!R96</f>
        <v/>
      </c>
      <c r="D96" s="129" t="str">
        <f t="array" ref="D96">INDEX('Закупка'!G96:K96, $A$2)</f>
        <v/>
      </c>
      <c r="E96" s="130" t="str">
        <f>'Закупка'!F96</f>
        <v/>
      </c>
      <c r="F96" s="131" t="str">
        <f t="shared" si="1"/>
        <v/>
      </c>
      <c r="G96" s="132"/>
      <c r="H96" s="133"/>
      <c r="I96" s="134"/>
      <c r="J96" s="131"/>
      <c r="K96" s="135" t="str">
        <f>'Закупка'!T96</f>
        <v/>
      </c>
      <c r="L96" s="136" t="str">
        <f>'Закупка'!U96</f>
        <v/>
      </c>
      <c r="M96" s="137" t="str">
        <f>'Закупка'!V96</f>
        <v/>
      </c>
    </row>
    <row r="97" ht="45.0" customHeight="1">
      <c r="A97" s="126" t="str">
        <f>'Закупка'!A97</f>
        <v/>
      </c>
      <c r="B97" s="127" t="str">
        <f>'Закупка'!B97</f>
        <v/>
      </c>
      <c r="C97" s="128" t="str">
        <f>'Закупка'!R97</f>
        <v/>
      </c>
      <c r="D97" s="129" t="str">
        <f t="array" ref="D97">INDEX('Закупка'!G97:K97, $A$2)</f>
        <v/>
      </c>
      <c r="E97" s="130" t="str">
        <f>'Закупка'!F97</f>
        <v/>
      </c>
      <c r="F97" s="131" t="str">
        <f t="shared" si="1"/>
        <v/>
      </c>
      <c r="G97" s="132"/>
      <c r="H97" s="133"/>
      <c r="I97" s="134"/>
      <c r="J97" s="131"/>
      <c r="K97" s="135" t="str">
        <f>'Закупка'!T97</f>
        <v/>
      </c>
      <c r="L97" s="136" t="str">
        <f>'Закупка'!U97</f>
        <v/>
      </c>
      <c r="M97" s="137" t="str">
        <f>'Закупка'!V97</f>
        <v/>
      </c>
    </row>
    <row r="98" ht="45.0" customHeight="1">
      <c r="A98" s="126" t="str">
        <f>'Закупка'!A98</f>
        <v/>
      </c>
      <c r="B98" s="127" t="str">
        <f>'Закупка'!B98</f>
        <v/>
      </c>
      <c r="C98" s="128" t="str">
        <f>'Закупка'!R98</f>
        <v/>
      </c>
      <c r="D98" s="129" t="str">
        <f t="array" ref="D98">INDEX('Закупка'!G98:K98, $A$2)</f>
        <v/>
      </c>
      <c r="E98" s="130" t="str">
        <f>'Закупка'!F98</f>
        <v/>
      </c>
      <c r="F98" s="131" t="str">
        <f t="shared" si="1"/>
        <v/>
      </c>
      <c r="G98" s="132"/>
      <c r="H98" s="133"/>
      <c r="I98" s="134"/>
      <c r="J98" s="131"/>
      <c r="K98" s="135" t="str">
        <f>'Закупка'!T98</f>
        <v/>
      </c>
      <c r="L98" s="136" t="str">
        <f>'Закупка'!U98</f>
        <v/>
      </c>
      <c r="M98" s="137" t="str">
        <f>'Закупка'!V98</f>
        <v/>
      </c>
    </row>
    <row r="99" ht="45.0" customHeight="1">
      <c r="A99" s="126" t="str">
        <f>'Закупка'!A99</f>
        <v/>
      </c>
      <c r="B99" s="127" t="str">
        <f>'Закупка'!B99</f>
        <v/>
      </c>
      <c r="C99" s="128" t="str">
        <f>'Закупка'!R99</f>
        <v/>
      </c>
      <c r="D99" s="129" t="str">
        <f t="array" ref="D99">INDEX('Закупка'!G99:K99, $A$2)</f>
        <v/>
      </c>
      <c r="E99" s="130" t="str">
        <f>'Закупка'!F99</f>
        <v/>
      </c>
      <c r="F99" s="131" t="str">
        <f t="shared" si="1"/>
        <v/>
      </c>
      <c r="G99" s="132"/>
      <c r="H99" s="133"/>
      <c r="I99" s="134"/>
      <c r="J99" s="131"/>
      <c r="K99" s="135" t="str">
        <f>'Закупка'!T99</f>
        <v/>
      </c>
      <c r="L99" s="136" t="str">
        <f>'Закупка'!U99</f>
        <v/>
      </c>
      <c r="M99" s="137" t="str">
        <f>'Закупка'!V99</f>
        <v/>
      </c>
    </row>
    <row r="100" ht="45.0" customHeight="1">
      <c r="A100" s="126" t="str">
        <f>'Закупка'!A100</f>
        <v/>
      </c>
      <c r="B100" s="127" t="str">
        <f>'Закупка'!B100</f>
        <v/>
      </c>
      <c r="C100" s="128" t="str">
        <f>'Закупка'!R100</f>
        <v/>
      </c>
      <c r="D100" s="129" t="str">
        <f t="array" ref="D100">INDEX('Закупка'!G100:K100, $A$2)</f>
        <v/>
      </c>
      <c r="E100" s="130" t="str">
        <f>'Закупка'!F100</f>
        <v/>
      </c>
      <c r="F100" s="131" t="str">
        <f t="shared" si="1"/>
        <v/>
      </c>
      <c r="G100" s="132"/>
      <c r="H100" s="133"/>
      <c r="I100" s="134"/>
      <c r="J100" s="131"/>
      <c r="K100" s="135" t="str">
        <f>'Закупка'!T100</f>
        <v/>
      </c>
      <c r="L100" s="136" t="str">
        <f>'Закупка'!U100</f>
        <v/>
      </c>
      <c r="M100" s="137" t="str">
        <f>'Закупка'!V100</f>
        <v/>
      </c>
    </row>
    <row r="101" ht="45.0" customHeight="1">
      <c r="A101" s="126" t="str">
        <f>'Закупка'!A101</f>
        <v/>
      </c>
      <c r="B101" s="127" t="str">
        <f>'Закупка'!B101</f>
        <v/>
      </c>
      <c r="C101" s="128" t="str">
        <f>'Закупка'!R101</f>
        <v/>
      </c>
      <c r="D101" s="129" t="str">
        <f t="array" ref="D101">INDEX('Закупка'!G101:K101, $A$2)</f>
        <v/>
      </c>
      <c r="E101" s="130" t="str">
        <f>'Закупка'!F101</f>
        <v/>
      </c>
      <c r="F101" s="131" t="str">
        <f t="shared" si="1"/>
        <v/>
      </c>
      <c r="G101" s="132"/>
      <c r="H101" s="133"/>
      <c r="I101" s="134"/>
      <c r="J101" s="131"/>
      <c r="K101" s="135" t="str">
        <f>'Закупка'!T101</f>
        <v/>
      </c>
      <c r="L101" s="136" t="str">
        <f>'Закупка'!U101</f>
        <v/>
      </c>
      <c r="M101" s="137" t="str">
        <f>'Закупка'!V101</f>
        <v/>
      </c>
    </row>
    <row r="102" ht="45.0" customHeight="1">
      <c r="A102" s="126" t="str">
        <f>'Закупка'!A102</f>
        <v/>
      </c>
      <c r="B102" s="127" t="str">
        <f>'Закупка'!B102</f>
        <v/>
      </c>
      <c r="C102" s="128" t="str">
        <f>'Закупка'!R102</f>
        <v/>
      </c>
      <c r="D102" s="129" t="str">
        <f t="array" ref="D102">INDEX('Закупка'!G102:K102, $A$2)</f>
        <v/>
      </c>
      <c r="E102" s="130" t="str">
        <f>'Закупка'!F102</f>
        <v/>
      </c>
      <c r="F102" s="131" t="str">
        <f t="shared" si="1"/>
        <v/>
      </c>
      <c r="G102" s="132"/>
      <c r="H102" s="133"/>
      <c r="I102" s="134"/>
      <c r="J102" s="131"/>
      <c r="K102" s="135" t="str">
        <f>'Закупка'!T102</f>
        <v/>
      </c>
      <c r="L102" s="136" t="str">
        <f>'Закупка'!U102</f>
        <v/>
      </c>
      <c r="M102" s="137" t="str">
        <f>'Закупка'!V102</f>
        <v/>
      </c>
    </row>
    <row r="103" ht="45.0" customHeight="1">
      <c r="A103" s="126" t="str">
        <f>'Закупка'!A103</f>
        <v/>
      </c>
      <c r="B103" s="127" t="str">
        <f>'Закупка'!B103</f>
        <v/>
      </c>
      <c r="C103" s="128" t="str">
        <f>'Закупка'!R103</f>
        <v/>
      </c>
      <c r="D103" s="129" t="str">
        <f t="array" ref="D103">INDEX('Закупка'!G103:K103, $A$2)</f>
        <v/>
      </c>
      <c r="E103" s="130" t="str">
        <f>'Закупка'!F103</f>
        <v/>
      </c>
      <c r="F103" s="131" t="str">
        <f t="shared" si="1"/>
        <v/>
      </c>
      <c r="G103" s="132"/>
      <c r="H103" s="133"/>
      <c r="I103" s="134"/>
      <c r="J103" s="131"/>
      <c r="K103" s="135" t="str">
        <f>'Закупка'!T103</f>
        <v/>
      </c>
      <c r="L103" s="136" t="str">
        <f>'Закупка'!U103</f>
        <v/>
      </c>
      <c r="M103" s="137" t="str">
        <f>'Закупка'!V103</f>
        <v/>
      </c>
    </row>
    <row r="104" ht="45.0" customHeight="1">
      <c r="A104" s="126" t="str">
        <f>'Закупка'!A104</f>
        <v/>
      </c>
      <c r="B104" s="127" t="str">
        <f>'Закупка'!B104</f>
        <v/>
      </c>
      <c r="C104" s="128" t="str">
        <f>'Закупка'!R104</f>
        <v/>
      </c>
      <c r="D104" s="129" t="str">
        <f t="array" ref="D104">INDEX('Закупка'!G104:K104, $A$2)</f>
        <v/>
      </c>
      <c r="E104" s="130" t="str">
        <f>'Закупка'!F104</f>
        <v/>
      </c>
      <c r="F104" s="131" t="str">
        <f t="shared" si="1"/>
        <v/>
      </c>
      <c r="G104" s="132"/>
      <c r="H104" s="133"/>
      <c r="I104" s="134"/>
      <c r="J104" s="131"/>
      <c r="K104" s="135" t="str">
        <f>'Закупка'!T104</f>
        <v/>
      </c>
      <c r="L104" s="136" t="str">
        <f>'Закупка'!U104</f>
        <v/>
      </c>
      <c r="M104" s="137" t="str">
        <f>'Закупка'!V104</f>
        <v/>
      </c>
    </row>
    <row r="105" ht="45.0" customHeight="1">
      <c r="A105" s="126" t="str">
        <f>'Закупка'!A105</f>
        <v/>
      </c>
      <c r="B105" s="127" t="str">
        <f>'Закупка'!B105</f>
        <v/>
      </c>
      <c r="C105" s="128" t="str">
        <f>'Закупка'!R105</f>
        <v/>
      </c>
      <c r="D105" s="129" t="str">
        <f t="array" ref="D105">INDEX('Закупка'!G105:K105, $A$2)</f>
        <v/>
      </c>
      <c r="E105" s="130" t="str">
        <f>'Закупка'!F105</f>
        <v/>
      </c>
      <c r="F105" s="131" t="str">
        <f t="shared" si="1"/>
        <v/>
      </c>
      <c r="G105" s="132"/>
      <c r="H105" s="133"/>
      <c r="I105" s="134"/>
      <c r="J105" s="131"/>
      <c r="K105" s="135" t="str">
        <f>'Закупка'!T105</f>
        <v/>
      </c>
      <c r="L105" s="136" t="str">
        <f>'Закупка'!U105</f>
        <v/>
      </c>
      <c r="M105" s="137" t="str">
        <f>'Закупка'!V105</f>
        <v/>
      </c>
    </row>
    <row r="106" ht="45.0" customHeight="1">
      <c r="A106" s="126" t="str">
        <f>'Закупка'!A106</f>
        <v/>
      </c>
      <c r="B106" s="127" t="str">
        <f>'Закупка'!B106</f>
        <v/>
      </c>
      <c r="C106" s="128" t="str">
        <f>'Закупка'!R106</f>
        <v/>
      </c>
      <c r="D106" s="129" t="str">
        <f t="array" ref="D106">INDEX('Закупка'!G106:K106, $A$2)</f>
        <v/>
      </c>
      <c r="E106" s="130" t="str">
        <f>'Закупка'!F106</f>
        <v/>
      </c>
      <c r="F106" s="131" t="str">
        <f t="shared" si="1"/>
        <v/>
      </c>
      <c r="G106" s="132"/>
      <c r="H106" s="133"/>
      <c r="I106" s="134"/>
      <c r="J106" s="131"/>
      <c r="K106" s="135" t="str">
        <f>'Закупка'!T106</f>
        <v/>
      </c>
      <c r="L106" s="136" t="str">
        <f>'Закупка'!U106</f>
        <v/>
      </c>
      <c r="M106" s="137" t="str">
        <f>'Закупка'!V106</f>
        <v/>
      </c>
    </row>
    <row r="107" ht="45.0" customHeight="1">
      <c r="A107" s="126" t="str">
        <f>'Закупка'!A107</f>
        <v/>
      </c>
      <c r="B107" s="127" t="str">
        <f>'Закупка'!B107</f>
        <v/>
      </c>
      <c r="C107" s="128" t="str">
        <f>'Закупка'!R107</f>
        <v/>
      </c>
      <c r="D107" s="129" t="str">
        <f t="array" ref="D107">INDEX('Закупка'!G107:K107, $A$2)</f>
        <v/>
      </c>
      <c r="E107" s="130" t="str">
        <f>'Закупка'!F107</f>
        <v/>
      </c>
      <c r="F107" s="131" t="str">
        <f t="shared" si="1"/>
        <v/>
      </c>
      <c r="G107" s="132"/>
      <c r="H107" s="133"/>
      <c r="I107" s="134"/>
      <c r="J107" s="131"/>
      <c r="K107" s="135" t="str">
        <f>'Закупка'!T107</f>
        <v/>
      </c>
      <c r="L107" s="136" t="str">
        <f>'Закупка'!U107</f>
        <v/>
      </c>
      <c r="M107" s="137" t="str">
        <f>'Закупка'!V107</f>
        <v/>
      </c>
    </row>
    <row r="108" ht="45.0" customHeight="1">
      <c r="A108" s="126" t="str">
        <f>'Закупка'!A108</f>
        <v/>
      </c>
      <c r="B108" s="127" t="str">
        <f>'Закупка'!B108</f>
        <v/>
      </c>
      <c r="C108" s="128" t="str">
        <f>'Закупка'!R108</f>
        <v/>
      </c>
      <c r="D108" s="129" t="str">
        <f t="array" ref="D108">INDEX('Закупка'!G108:K108, $A$2)</f>
        <v/>
      </c>
      <c r="E108" s="130" t="str">
        <f>'Закупка'!F108</f>
        <v/>
      </c>
      <c r="F108" s="131" t="str">
        <f t="shared" si="1"/>
        <v/>
      </c>
      <c r="G108" s="132"/>
      <c r="H108" s="133"/>
      <c r="I108" s="134"/>
      <c r="J108" s="131"/>
      <c r="K108" s="135" t="str">
        <f>'Закупка'!T108</f>
        <v/>
      </c>
      <c r="L108" s="136" t="str">
        <f>'Закупка'!U108</f>
        <v/>
      </c>
      <c r="M108" s="137" t="str">
        <f>'Закупка'!V108</f>
        <v/>
      </c>
    </row>
    <row r="109" ht="45.0" customHeight="1">
      <c r="A109" s="126" t="str">
        <f>'Закупка'!A109</f>
        <v/>
      </c>
      <c r="B109" s="127" t="str">
        <f>'Закупка'!B109</f>
        <v/>
      </c>
      <c r="C109" s="128" t="str">
        <f>'Закупка'!R109</f>
        <v/>
      </c>
      <c r="D109" s="129" t="str">
        <f t="array" ref="D109">INDEX('Закупка'!G109:K109, $A$2)</f>
        <v/>
      </c>
      <c r="E109" s="130" t="str">
        <f>'Закупка'!F109</f>
        <v/>
      </c>
      <c r="F109" s="131" t="str">
        <f t="shared" si="1"/>
        <v/>
      </c>
      <c r="G109" s="132"/>
      <c r="H109" s="133"/>
      <c r="I109" s="134"/>
      <c r="J109" s="131"/>
      <c r="K109" s="135" t="str">
        <f>'Закупка'!T109</f>
        <v/>
      </c>
      <c r="L109" s="136" t="str">
        <f>'Закупка'!U109</f>
        <v/>
      </c>
      <c r="M109" s="137" t="str">
        <f>'Закупка'!V109</f>
        <v/>
      </c>
    </row>
    <row r="110" ht="45.0" customHeight="1">
      <c r="A110" s="126" t="str">
        <f>'Закупка'!A110</f>
        <v/>
      </c>
      <c r="B110" s="127" t="str">
        <f>'Закупка'!B110</f>
        <v/>
      </c>
      <c r="C110" s="128" t="str">
        <f>'Закупка'!R110</f>
        <v/>
      </c>
      <c r="D110" s="129" t="str">
        <f t="array" ref="D110">INDEX('Закупка'!G110:K110, $A$2)</f>
        <v/>
      </c>
      <c r="E110" s="130" t="str">
        <f>'Закупка'!F110</f>
        <v/>
      </c>
      <c r="F110" s="131" t="str">
        <f t="shared" si="1"/>
        <v/>
      </c>
      <c r="G110" s="132"/>
      <c r="H110" s="133"/>
      <c r="I110" s="134"/>
      <c r="J110" s="131"/>
      <c r="K110" s="135" t="str">
        <f>'Закупка'!T110</f>
        <v/>
      </c>
      <c r="L110" s="136" t="str">
        <f>'Закупка'!U110</f>
        <v/>
      </c>
      <c r="M110" s="137" t="str">
        <f>'Закупка'!V110</f>
        <v/>
      </c>
    </row>
    <row r="111" ht="45.0" customHeight="1">
      <c r="A111" s="126" t="str">
        <f>'Закупка'!A111</f>
        <v/>
      </c>
      <c r="B111" s="127" t="str">
        <f>'Закупка'!B111</f>
        <v/>
      </c>
      <c r="C111" s="128" t="str">
        <f>'Закупка'!R111</f>
        <v/>
      </c>
      <c r="D111" s="129" t="str">
        <f t="array" ref="D111">INDEX('Закупка'!G111:K111, $A$2)</f>
        <v/>
      </c>
      <c r="E111" s="130" t="str">
        <f>'Закупка'!F111</f>
        <v/>
      </c>
      <c r="F111" s="131" t="str">
        <f t="shared" si="1"/>
        <v/>
      </c>
      <c r="G111" s="132"/>
      <c r="H111" s="133"/>
      <c r="I111" s="134"/>
      <c r="J111" s="131"/>
      <c r="K111" s="135" t="str">
        <f>'Закупка'!T111</f>
        <v/>
      </c>
      <c r="L111" s="136" t="str">
        <f>'Закупка'!U111</f>
        <v/>
      </c>
      <c r="M111" s="137" t="str">
        <f>'Закупка'!V111</f>
        <v/>
      </c>
    </row>
    <row r="112" ht="45.0" customHeight="1">
      <c r="A112" s="126" t="str">
        <f>'Закупка'!A112</f>
        <v/>
      </c>
      <c r="B112" s="127" t="str">
        <f>'Закупка'!B112</f>
        <v/>
      </c>
      <c r="C112" s="128" t="str">
        <f>'Закупка'!R112</f>
        <v/>
      </c>
      <c r="D112" s="129" t="str">
        <f t="array" ref="D112">INDEX('Закупка'!G112:K112, $A$2)</f>
        <v/>
      </c>
      <c r="E112" s="130" t="str">
        <f>'Закупка'!F112</f>
        <v/>
      </c>
      <c r="F112" s="131" t="str">
        <f t="shared" si="1"/>
        <v/>
      </c>
      <c r="G112" s="132"/>
      <c r="H112" s="133"/>
      <c r="I112" s="134"/>
      <c r="J112" s="131"/>
      <c r="K112" s="135" t="str">
        <f>'Закупка'!T112</f>
        <v/>
      </c>
      <c r="L112" s="136" t="str">
        <f>'Закупка'!U112</f>
        <v/>
      </c>
      <c r="M112" s="137" t="str">
        <f>'Закупка'!V112</f>
        <v/>
      </c>
    </row>
    <row r="113" ht="45.0" customHeight="1">
      <c r="A113" s="126" t="str">
        <f>'Закупка'!A113</f>
        <v/>
      </c>
      <c r="B113" s="127" t="str">
        <f>'Закупка'!B113</f>
        <v/>
      </c>
      <c r="C113" s="128" t="str">
        <f>'Закупка'!R113</f>
        <v/>
      </c>
      <c r="D113" s="129" t="str">
        <f t="array" ref="D113">INDEX('Закупка'!G113:K113, $A$2)</f>
        <v/>
      </c>
      <c r="E113" s="130" t="str">
        <f>'Закупка'!F113</f>
        <v/>
      </c>
      <c r="F113" s="131" t="str">
        <f t="shared" si="1"/>
        <v/>
      </c>
      <c r="G113" s="132"/>
      <c r="H113" s="133"/>
      <c r="I113" s="134"/>
      <c r="J113" s="131"/>
      <c r="K113" s="135" t="str">
        <f>'Закупка'!T113</f>
        <v/>
      </c>
      <c r="L113" s="136" t="str">
        <f>'Закупка'!U113</f>
        <v/>
      </c>
      <c r="M113" s="137" t="str">
        <f>'Закупка'!V113</f>
        <v/>
      </c>
    </row>
    <row r="114" ht="45.0" customHeight="1">
      <c r="A114" s="126" t="str">
        <f>'Закупка'!A114</f>
        <v/>
      </c>
      <c r="B114" s="127" t="str">
        <f>'Закупка'!B114</f>
        <v/>
      </c>
      <c r="C114" s="128" t="str">
        <f>'Закупка'!R114</f>
        <v/>
      </c>
      <c r="D114" s="129" t="str">
        <f t="array" ref="D114">INDEX('Закупка'!G114:K114, $A$2)</f>
        <v/>
      </c>
      <c r="E114" s="130" t="str">
        <f>'Закупка'!F114</f>
        <v/>
      </c>
      <c r="F114" s="131" t="str">
        <f t="shared" si="1"/>
        <v/>
      </c>
      <c r="G114" s="132"/>
      <c r="H114" s="133"/>
      <c r="I114" s="134"/>
      <c r="J114" s="131"/>
      <c r="K114" s="135" t="str">
        <f>'Закупка'!T114</f>
        <v/>
      </c>
      <c r="L114" s="136" t="str">
        <f>'Закупка'!U114</f>
        <v/>
      </c>
      <c r="M114" s="137" t="str">
        <f>'Закупка'!V114</f>
        <v/>
      </c>
    </row>
    <row r="115" ht="45.0" customHeight="1">
      <c r="A115" s="126" t="str">
        <f>'Закупка'!A115</f>
        <v/>
      </c>
      <c r="B115" s="127" t="str">
        <f>'Закупка'!B115</f>
        <v/>
      </c>
      <c r="C115" s="128" t="str">
        <f>'Закупка'!R115</f>
        <v/>
      </c>
      <c r="D115" s="129" t="str">
        <f t="array" ref="D115">INDEX('Закупка'!G115:K115, $A$2)</f>
        <v/>
      </c>
      <c r="E115" s="130" t="str">
        <f>'Закупка'!F115</f>
        <v/>
      </c>
      <c r="F115" s="131" t="str">
        <f t="shared" si="1"/>
        <v/>
      </c>
      <c r="G115" s="132"/>
      <c r="H115" s="133"/>
      <c r="I115" s="134"/>
      <c r="J115" s="131"/>
      <c r="K115" s="135" t="str">
        <f>'Закупка'!T115</f>
        <v/>
      </c>
      <c r="L115" s="136" t="str">
        <f>'Закупка'!U115</f>
        <v/>
      </c>
      <c r="M115" s="137" t="str">
        <f>'Закупка'!V115</f>
        <v/>
      </c>
    </row>
    <row r="116" ht="45.0" customHeight="1">
      <c r="A116" s="126" t="str">
        <f>'Закупка'!A116</f>
        <v/>
      </c>
      <c r="B116" s="127" t="str">
        <f>'Закупка'!B116</f>
        <v/>
      </c>
      <c r="C116" s="128" t="str">
        <f>'Закупка'!R116</f>
        <v/>
      </c>
      <c r="D116" s="129" t="str">
        <f t="array" ref="D116">INDEX('Закупка'!G116:K116, $A$2)</f>
        <v/>
      </c>
      <c r="E116" s="130" t="str">
        <f>'Закупка'!F116</f>
        <v/>
      </c>
      <c r="F116" s="131" t="str">
        <f t="shared" si="1"/>
        <v/>
      </c>
      <c r="G116" s="132"/>
      <c r="H116" s="133"/>
      <c r="I116" s="134"/>
      <c r="J116" s="131"/>
      <c r="K116" s="135" t="str">
        <f>'Закупка'!T116</f>
        <v/>
      </c>
      <c r="L116" s="136" t="str">
        <f>'Закупка'!U116</f>
        <v/>
      </c>
      <c r="M116" s="137" t="str">
        <f>'Закупка'!V116</f>
        <v/>
      </c>
    </row>
    <row r="117" ht="45.0" customHeight="1">
      <c r="A117" s="126" t="str">
        <f>'Закупка'!A117</f>
        <v/>
      </c>
      <c r="B117" s="127" t="str">
        <f>'Закупка'!B117</f>
        <v/>
      </c>
      <c r="C117" s="128" t="str">
        <f>'Закупка'!R117</f>
        <v/>
      </c>
      <c r="D117" s="129" t="str">
        <f t="array" ref="D117">INDEX('Закупка'!G117:K117, $A$2)</f>
        <v/>
      </c>
      <c r="E117" s="130" t="str">
        <f>'Закупка'!F117</f>
        <v/>
      </c>
      <c r="F117" s="131" t="str">
        <f t="shared" si="1"/>
        <v/>
      </c>
      <c r="G117" s="132"/>
      <c r="H117" s="133"/>
      <c r="I117" s="134"/>
      <c r="J117" s="131"/>
      <c r="K117" s="135" t="str">
        <f>'Закупка'!T117</f>
        <v/>
      </c>
      <c r="L117" s="136" t="str">
        <f>'Закупка'!U117</f>
        <v/>
      </c>
      <c r="M117" s="137" t="str">
        <f>'Закупка'!V117</f>
        <v/>
      </c>
    </row>
    <row r="118" ht="45.0" customHeight="1">
      <c r="A118" s="126" t="str">
        <f>'Закупка'!A118</f>
        <v/>
      </c>
      <c r="B118" s="127" t="str">
        <f>'Закупка'!B118</f>
        <v/>
      </c>
      <c r="C118" s="128" t="str">
        <f>'Закупка'!R118</f>
        <v/>
      </c>
      <c r="D118" s="129" t="str">
        <f t="array" ref="D118">INDEX('Закупка'!G118:K118, $A$2)</f>
        <v/>
      </c>
      <c r="E118" s="130" t="str">
        <f>'Закупка'!F118</f>
        <v/>
      </c>
      <c r="F118" s="131" t="str">
        <f t="shared" si="1"/>
        <v/>
      </c>
      <c r="G118" s="132"/>
      <c r="H118" s="133"/>
      <c r="I118" s="134"/>
      <c r="J118" s="131"/>
      <c r="K118" s="135" t="str">
        <f>'Закупка'!T118</f>
        <v/>
      </c>
      <c r="L118" s="136" t="str">
        <f>'Закупка'!U118</f>
        <v/>
      </c>
      <c r="M118" s="137" t="str">
        <f>'Закупка'!V118</f>
        <v/>
      </c>
    </row>
    <row r="119" ht="45.0" customHeight="1">
      <c r="A119" s="126" t="str">
        <f>'Закупка'!A119</f>
        <v/>
      </c>
      <c r="B119" s="127" t="str">
        <f>'Закупка'!B119</f>
        <v/>
      </c>
      <c r="C119" s="128" t="str">
        <f>'Закупка'!R119</f>
        <v/>
      </c>
      <c r="D119" s="129" t="str">
        <f t="array" ref="D119">INDEX('Закупка'!G119:K119, $A$2)</f>
        <v/>
      </c>
      <c r="E119" s="130" t="str">
        <f>'Закупка'!F119</f>
        <v/>
      </c>
      <c r="F119" s="131" t="str">
        <f t="shared" si="1"/>
        <v/>
      </c>
      <c r="G119" s="132"/>
      <c r="H119" s="133"/>
      <c r="I119" s="134"/>
      <c r="J119" s="131"/>
      <c r="K119" s="135" t="str">
        <f>'Закупка'!T119</f>
        <v/>
      </c>
      <c r="L119" s="136" t="str">
        <f>'Закупка'!U119</f>
        <v/>
      </c>
      <c r="M119" s="137" t="str">
        <f>'Закупка'!V119</f>
        <v/>
      </c>
    </row>
    <row r="120" ht="45.0" customHeight="1">
      <c r="A120" s="126" t="str">
        <f>'Закупка'!A120</f>
        <v/>
      </c>
      <c r="B120" s="127" t="str">
        <f>'Закупка'!B120</f>
        <v/>
      </c>
      <c r="C120" s="128" t="str">
        <f>'Закупка'!R120</f>
        <v/>
      </c>
      <c r="D120" s="129" t="str">
        <f t="array" ref="D120">INDEX('Закупка'!G120:K120, $A$2)</f>
        <v/>
      </c>
      <c r="E120" s="130" t="str">
        <f>'Закупка'!F120</f>
        <v/>
      </c>
      <c r="F120" s="131" t="str">
        <f t="shared" si="1"/>
        <v/>
      </c>
      <c r="G120" s="132"/>
      <c r="H120" s="133"/>
      <c r="I120" s="134"/>
      <c r="J120" s="131"/>
      <c r="K120" s="135" t="str">
        <f>'Закупка'!T120</f>
        <v/>
      </c>
      <c r="L120" s="136" t="str">
        <f>'Закупка'!U120</f>
        <v/>
      </c>
      <c r="M120" s="137" t="str">
        <f>'Закупка'!V120</f>
        <v/>
      </c>
    </row>
    <row r="121" ht="45.0" customHeight="1">
      <c r="A121" s="126" t="str">
        <f>'Закупка'!A121</f>
        <v/>
      </c>
      <c r="B121" s="127" t="str">
        <f>'Закупка'!B121</f>
        <v/>
      </c>
      <c r="C121" s="128" t="str">
        <f>'Закупка'!R121</f>
        <v/>
      </c>
      <c r="D121" s="129" t="str">
        <f t="array" ref="D121">INDEX('Закупка'!G121:K121, $A$2)</f>
        <v/>
      </c>
      <c r="E121" s="130" t="str">
        <f>'Закупка'!F121</f>
        <v/>
      </c>
      <c r="F121" s="131" t="str">
        <f t="shared" si="1"/>
        <v/>
      </c>
      <c r="G121" s="132"/>
      <c r="H121" s="133"/>
      <c r="I121" s="134"/>
      <c r="J121" s="131"/>
      <c r="K121" s="135" t="str">
        <f>'Закупка'!T121</f>
        <v/>
      </c>
      <c r="L121" s="136" t="str">
        <f>'Закупка'!U121</f>
        <v/>
      </c>
      <c r="M121" s="137" t="str">
        <f>'Закупка'!V121</f>
        <v/>
      </c>
    </row>
    <row r="122" ht="45.0" customHeight="1">
      <c r="A122" s="126" t="str">
        <f>'Закупка'!A122</f>
        <v/>
      </c>
      <c r="B122" s="127" t="str">
        <f>'Закупка'!B122</f>
        <v/>
      </c>
      <c r="C122" s="128" t="str">
        <f>'Закупка'!R122</f>
        <v/>
      </c>
      <c r="D122" s="129" t="str">
        <f t="array" ref="D122">INDEX('Закупка'!G122:K122, $A$2)</f>
        <v/>
      </c>
      <c r="E122" s="130" t="str">
        <f>'Закупка'!F122</f>
        <v/>
      </c>
      <c r="F122" s="131" t="str">
        <f t="shared" si="1"/>
        <v/>
      </c>
      <c r="G122" s="132"/>
      <c r="H122" s="133"/>
      <c r="I122" s="134"/>
      <c r="J122" s="131"/>
      <c r="K122" s="135" t="str">
        <f>'Закупка'!T122</f>
        <v/>
      </c>
      <c r="L122" s="136" t="str">
        <f>'Закупка'!U122</f>
        <v/>
      </c>
      <c r="M122" s="137" t="str">
        <f>'Закупка'!V122</f>
        <v/>
      </c>
    </row>
    <row r="123" ht="45.0" customHeight="1">
      <c r="A123" s="126" t="str">
        <f>'Закупка'!A123</f>
        <v/>
      </c>
      <c r="B123" s="127" t="str">
        <f>'Закупка'!B123</f>
        <v/>
      </c>
      <c r="C123" s="128" t="str">
        <f>'Закупка'!R123</f>
        <v/>
      </c>
      <c r="D123" s="129" t="str">
        <f t="array" ref="D123">INDEX('Закупка'!G123:K123, $A$2)</f>
        <v/>
      </c>
      <c r="E123" s="130" t="str">
        <f>'Закупка'!F123</f>
        <v/>
      </c>
      <c r="F123" s="131" t="str">
        <f t="shared" si="1"/>
        <v/>
      </c>
      <c r="G123" s="132"/>
      <c r="H123" s="133"/>
      <c r="I123" s="134"/>
      <c r="J123" s="131"/>
      <c r="K123" s="135" t="str">
        <f>'Закупка'!T123</f>
        <v/>
      </c>
      <c r="L123" s="136" t="str">
        <f>'Закупка'!U123</f>
        <v/>
      </c>
      <c r="M123" s="137" t="str">
        <f>'Закупка'!V123</f>
        <v/>
      </c>
    </row>
    <row r="124" ht="45.0" customHeight="1">
      <c r="A124" s="126" t="str">
        <f>'Закупка'!A124</f>
        <v/>
      </c>
      <c r="B124" s="127" t="str">
        <f>'Закупка'!B124</f>
        <v/>
      </c>
      <c r="C124" s="128" t="str">
        <f>'Закупка'!R124</f>
        <v/>
      </c>
      <c r="D124" s="129" t="str">
        <f t="array" ref="D124">INDEX('Закупка'!G124:K124, $A$2)</f>
        <v/>
      </c>
      <c r="E124" s="130" t="str">
        <f>'Закупка'!F124</f>
        <v/>
      </c>
      <c r="F124" s="131" t="str">
        <f t="shared" si="1"/>
        <v/>
      </c>
      <c r="G124" s="132"/>
      <c r="H124" s="133"/>
      <c r="I124" s="134"/>
      <c r="J124" s="131"/>
      <c r="K124" s="135" t="str">
        <f>'Закупка'!T124</f>
        <v/>
      </c>
      <c r="L124" s="136" t="str">
        <f>'Закупка'!U124</f>
        <v/>
      </c>
      <c r="M124" s="137" t="str">
        <f>'Закупка'!V124</f>
        <v/>
      </c>
    </row>
    <row r="125" ht="45.0" customHeight="1">
      <c r="A125" s="126" t="str">
        <f>'Закупка'!A125</f>
        <v/>
      </c>
      <c r="B125" s="127" t="str">
        <f>'Закупка'!B125</f>
        <v/>
      </c>
      <c r="C125" s="128" t="str">
        <f>'Закупка'!R125</f>
        <v/>
      </c>
      <c r="D125" s="129" t="str">
        <f t="array" ref="D125">INDEX('Закупка'!G125:K125, $A$2)</f>
        <v/>
      </c>
      <c r="E125" s="130" t="str">
        <f>'Закупка'!F125</f>
        <v/>
      </c>
      <c r="F125" s="131" t="str">
        <f t="shared" si="1"/>
        <v/>
      </c>
      <c r="G125" s="132"/>
      <c r="H125" s="133"/>
      <c r="I125" s="134"/>
      <c r="J125" s="131"/>
      <c r="K125" s="135" t="str">
        <f>'Закупка'!T125</f>
        <v/>
      </c>
      <c r="L125" s="136" t="str">
        <f>'Закупка'!U125</f>
        <v/>
      </c>
      <c r="M125" s="137" t="str">
        <f>'Закупка'!V125</f>
        <v/>
      </c>
    </row>
    <row r="126" ht="45.0" customHeight="1">
      <c r="A126" s="126" t="str">
        <f>'Закупка'!A126</f>
        <v/>
      </c>
      <c r="B126" s="127" t="str">
        <f>'Закупка'!B126</f>
        <v/>
      </c>
      <c r="C126" s="128" t="str">
        <f>'Закупка'!R126</f>
        <v/>
      </c>
      <c r="D126" s="129" t="str">
        <f t="array" ref="D126">INDEX('Закупка'!G126:K126, $A$2)</f>
        <v/>
      </c>
      <c r="E126" s="130" t="str">
        <f>'Закупка'!F126</f>
        <v/>
      </c>
      <c r="F126" s="131" t="str">
        <f t="shared" si="1"/>
        <v/>
      </c>
      <c r="G126" s="132"/>
      <c r="H126" s="133"/>
      <c r="I126" s="134"/>
      <c r="J126" s="131"/>
      <c r="K126" s="135" t="str">
        <f>'Закупка'!T126</f>
        <v/>
      </c>
      <c r="L126" s="136" t="str">
        <f>'Закупка'!U126</f>
        <v/>
      </c>
      <c r="M126" s="137" t="str">
        <f>'Закупка'!V126</f>
        <v/>
      </c>
    </row>
    <row r="127" ht="45.0" customHeight="1">
      <c r="A127" s="126" t="str">
        <f>'Закупка'!A127</f>
        <v/>
      </c>
      <c r="B127" s="127" t="str">
        <f>'Закупка'!B127</f>
        <v/>
      </c>
      <c r="C127" s="128" t="str">
        <f>'Закупка'!R127</f>
        <v/>
      </c>
      <c r="D127" s="129" t="str">
        <f t="array" ref="D127">INDEX('Закупка'!G127:K127, $A$2)</f>
        <v/>
      </c>
      <c r="E127" s="130" t="str">
        <f>'Закупка'!F127</f>
        <v/>
      </c>
      <c r="F127" s="131" t="str">
        <f t="shared" si="1"/>
        <v/>
      </c>
      <c r="G127" s="132"/>
      <c r="H127" s="133"/>
      <c r="I127" s="134"/>
      <c r="J127" s="131"/>
      <c r="K127" s="135" t="str">
        <f>'Закупка'!T127</f>
        <v/>
      </c>
      <c r="L127" s="136" t="str">
        <f>'Закупка'!U127</f>
        <v/>
      </c>
      <c r="M127" s="137" t="str">
        <f>'Закупка'!V127</f>
        <v/>
      </c>
    </row>
    <row r="128" ht="45.0" customHeight="1">
      <c r="A128" s="126" t="str">
        <f>'Закупка'!A128</f>
        <v/>
      </c>
      <c r="B128" s="127" t="str">
        <f>'Закупка'!B128</f>
        <v/>
      </c>
      <c r="C128" s="128" t="str">
        <f>'Закупка'!R128</f>
        <v/>
      </c>
      <c r="D128" s="129" t="str">
        <f t="array" ref="D128">INDEX('Закупка'!G128:K128, $A$2)</f>
        <v/>
      </c>
      <c r="E128" s="130" t="str">
        <f>'Закупка'!F128</f>
        <v/>
      </c>
      <c r="F128" s="131" t="str">
        <f t="shared" si="1"/>
        <v/>
      </c>
      <c r="G128" s="132"/>
      <c r="H128" s="133"/>
      <c r="I128" s="134"/>
      <c r="J128" s="131"/>
      <c r="K128" s="135" t="str">
        <f>'Закупка'!T128</f>
        <v/>
      </c>
      <c r="L128" s="136" t="str">
        <f>'Закупка'!U128</f>
        <v/>
      </c>
      <c r="M128" s="137" t="str">
        <f>'Закупка'!V128</f>
        <v/>
      </c>
    </row>
    <row r="129" ht="45.0" customHeight="1">
      <c r="A129" s="126" t="str">
        <f>'Закупка'!A129</f>
        <v/>
      </c>
      <c r="B129" s="127" t="str">
        <f>'Закупка'!B129</f>
        <v/>
      </c>
      <c r="C129" s="128" t="str">
        <f>'Закупка'!R129</f>
        <v/>
      </c>
      <c r="D129" s="129" t="str">
        <f t="array" ref="D129">INDEX('Закупка'!G129:K129, $A$2)</f>
        <v/>
      </c>
      <c r="E129" s="130" t="str">
        <f>'Закупка'!F129</f>
        <v/>
      </c>
      <c r="F129" s="131" t="str">
        <f t="shared" si="1"/>
        <v/>
      </c>
      <c r="G129" s="132"/>
      <c r="H129" s="133"/>
      <c r="I129" s="134"/>
      <c r="J129" s="131"/>
      <c r="K129" s="135" t="str">
        <f>'Закупка'!T129</f>
        <v/>
      </c>
      <c r="L129" s="136" t="str">
        <f>'Закупка'!U129</f>
        <v/>
      </c>
      <c r="M129" s="137" t="str">
        <f>'Закупка'!V129</f>
        <v/>
      </c>
    </row>
    <row r="130" ht="45.0" customHeight="1">
      <c r="A130" s="126" t="str">
        <f>'Закупка'!A130</f>
        <v/>
      </c>
      <c r="B130" s="127" t="str">
        <f>'Закупка'!B130</f>
        <v/>
      </c>
      <c r="C130" s="128" t="str">
        <f>'Закупка'!R130</f>
        <v/>
      </c>
      <c r="D130" s="129" t="str">
        <f t="array" ref="D130">INDEX('Закупка'!G130:K130, $A$2)</f>
        <v/>
      </c>
      <c r="E130" s="130" t="str">
        <f>'Закупка'!F130</f>
        <v/>
      </c>
      <c r="F130" s="131" t="str">
        <f t="shared" si="1"/>
        <v/>
      </c>
      <c r="G130" s="132"/>
      <c r="H130" s="133"/>
      <c r="I130" s="134"/>
      <c r="J130" s="131"/>
      <c r="K130" s="135" t="str">
        <f>'Закупка'!T130</f>
        <v/>
      </c>
      <c r="L130" s="136" t="str">
        <f>'Закупка'!U130</f>
        <v/>
      </c>
      <c r="M130" s="137" t="str">
        <f>'Закупка'!V130</f>
        <v/>
      </c>
    </row>
    <row r="131" ht="45.0" customHeight="1">
      <c r="A131" s="126" t="str">
        <f>'Закупка'!A131</f>
        <v/>
      </c>
      <c r="B131" s="127" t="str">
        <f>'Закупка'!B131</f>
        <v/>
      </c>
      <c r="C131" s="128" t="str">
        <f>'Закупка'!R131</f>
        <v/>
      </c>
      <c r="D131" s="129" t="str">
        <f t="array" ref="D131">INDEX('Закупка'!G131:K131, $A$2)</f>
        <v/>
      </c>
      <c r="E131" s="130" t="str">
        <f>'Закупка'!F131</f>
        <v/>
      </c>
      <c r="F131" s="131" t="str">
        <f t="shared" si="1"/>
        <v/>
      </c>
      <c r="G131" s="132"/>
      <c r="H131" s="133"/>
      <c r="I131" s="134"/>
      <c r="J131" s="131"/>
      <c r="K131" s="135" t="str">
        <f>'Закупка'!T131</f>
        <v/>
      </c>
      <c r="L131" s="136" t="str">
        <f>'Закупка'!U131</f>
        <v/>
      </c>
      <c r="M131" s="137" t="str">
        <f>'Закупка'!V131</f>
        <v/>
      </c>
    </row>
    <row r="132" ht="45.0" customHeight="1">
      <c r="A132" s="126" t="str">
        <f>'Закупка'!A132</f>
        <v/>
      </c>
      <c r="B132" s="127" t="str">
        <f>'Закупка'!B132</f>
        <v/>
      </c>
      <c r="C132" s="128" t="str">
        <f>'Закупка'!R132</f>
        <v/>
      </c>
      <c r="D132" s="129" t="str">
        <f t="array" ref="D132">INDEX('Закупка'!G132:K132, $A$2)</f>
        <v/>
      </c>
      <c r="E132" s="130" t="str">
        <f>'Закупка'!F132</f>
        <v/>
      </c>
      <c r="F132" s="131" t="str">
        <f t="shared" si="1"/>
        <v/>
      </c>
      <c r="G132" s="132"/>
      <c r="H132" s="133"/>
      <c r="I132" s="134"/>
      <c r="J132" s="131"/>
      <c r="K132" s="135" t="str">
        <f>'Закупка'!T132</f>
        <v/>
      </c>
      <c r="L132" s="136" t="str">
        <f>'Закупка'!U132</f>
        <v/>
      </c>
      <c r="M132" s="137" t="str">
        <f>'Закупка'!V132</f>
        <v/>
      </c>
    </row>
    <row r="133" ht="45.0" customHeight="1">
      <c r="A133" s="126" t="str">
        <f>'Закупка'!A133</f>
        <v/>
      </c>
      <c r="B133" s="127" t="str">
        <f>'Закупка'!B133</f>
        <v/>
      </c>
      <c r="C133" s="128" t="str">
        <f>'Закупка'!R133</f>
        <v/>
      </c>
      <c r="D133" s="129" t="str">
        <f t="array" ref="D133">INDEX('Закупка'!G133:K133, $A$2)</f>
        <v/>
      </c>
      <c r="E133" s="130" t="str">
        <f>'Закупка'!F133</f>
        <v/>
      </c>
      <c r="F133" s="131" t="str">
        <f t="shared" si="1"/>
        <v/>
      </c>
      <c r="G133" s="132"/>
      <c r="H133" s="133"/>
      <c r="I133" s="134"/>
      <c r="J133" s="131"/>
      <c r="K133" s="135" t="str">
        <f>'Закупка'!T133</f>
        <v/>
      </c>
      <c r="L133" s="136" t="str">
        <f>'Закупка'!U133</f>
        <v/>
      </c>
      <c r="M133" s="137" t="str">
        <f>'Закупка'!V133</f>
        <v/>
      </c>
    </row>
    <row r="134" ht="45.0" customHeight="1">
      <c r="A134" s="126" t="str">
        <f>'Закупка'!A134</f>
        <v/>
      </c>
      <c r="B134" s="127" t="str">
        <f>'Закупка'!B134</f>
        <v/>
      </c>
      <c r="C134" s="128" t="str">
        <f>'Закупка'!R134</f>
        <v/>
      </c>
      <c r="D134" s="129" t="str">
        <f t="array" ref="D134">INDEX('Закупка'!G134:K134, $A$2)</f>
        <v/>
      </c>
      <c r="E134" s="130" t="str">
        <f>'Закупка'!F134</f>
        <v/>
      </c>
      <c r="F134" s="131" t="str">
        <f t="shared" si="1"/>
        <v/>
      </c>
      <c r="G134" s="132"/>
      <c r="H134" s="133"/>
      <c r="I134" s="134"/>
      <c r="J134" s="131"/>
      <c r="K134" s="135" t="str">
        <f>'Закупка'!T134</f>
        <v/>
      </c>
      <c r="L134" s="136" t="str">
        <f>'Закупка'!U134</f>
        <v/>
      </c>
      <c r="M134" s="137" t="str">
        <f>'Закупка'!V134</f>
        <v/>
      </c>
    </row>
    <row r="135" ht="45.0" customHeight="1">
      <c r="A135" s="126" t="str">
        <f>'Закупка'!A135</f>
        <v/>
      </c>
      <c r="B135" s="127" t="str">
        <f>'Закупка'!B135</f>
        <v/>
      </c>
      <c r="C135" s="128" t="str">
        <f>'Закупка'!R135</f>
        <v/>
      </c>
      <c r="D135" s="129" t="str">
        <f t="array" ref="D135">INDEX('Закупка'!G135:K135, $A$2)</f>
        <v/>
      </c>
      <c r="E135" s="130" t="str">
        <f>'Закупка'!F135</f>
        <v/>
      </c>
      <c r="F135" s="131" t="str">
        <f t="shared" si="1"/>
        <v/>
      </c>
      <c r="G135" s="132"/>
      <c r="H135" s="133"/>
      <c r="I135" s="134"/>
      <c r="J135" s="131"/>
      <c r="K135" s="135" t="str">
        <f>'Закупка'!T135</f>
        <v/>
      </c>
      <c r="L135" s="136" t="str">
        <f>'Закупка'!U135</f>
        <v/>
      </c>
      <c r="M135" s="137" t="str">
        <f>'Закупка'!V135</f>
        <v/>
      </c>
    </row>
    <row r="136" ht="45.0" customHeight="1">
      <c r="A136" s="126" t="str">
        <f>'Закупка'!A136</f>
        <v/>
      </c>
      <c r="B136" s="127" t="str">
        <f>'Закупка'!B136</f>
        <v/>
      </c>
      <c r="C136" s="128" t="str">
        <f>'Закупка'!R136</f>
        <v/>
      </c>
      <c r="D136" s="129" t="str">
        <f t="array" ref="D136">INDEX('Закупка'!G136:K136, $A$2)</f>
        <v/>
      </c>
      <c r="E136" s="130" t="str">
        <f>'Закупка'!F136</f>
        <v/>
      </c>
      <c r="F136" s="131" t="str">
        <f t="shared" si="1"/>
        <v/>
      </c>
      <c r="G136" s="132"/>
      <c r="H136" s="133"/>
      <c r="I136" s="134"/>
      <c r="J136" s="131"/>
      <c r="K136" s="135" t="str">
        <f>'Закупка'!T136</f>
        <v/>
      </c>
      <c r="L136" s="136" t="str">
        <f>'Закупка'!U136</f>
        <v/>
      </c>
      <c r="M136" s="137" t="str">
        <f>'Закупка'!V136</f>
        <v/>
      </c>
    </row>
    <row r="137" ht="45.0" customHeight="1">
      <c r="A137" s="126" t="str">
        <f>'Закупка'!A137</f>
        <v/>
      </c>
      <c r="B137" s="127" t="str">
        <f>'Закупка'!B137</f>
        <v/>
      </c>
      <c r="C137" s="128" t="str">
        <f>'Закупка'!R137</f>
        <v/>
      </c>
      <c r="D137" s="129" t="str">
        <f t="array" ref="D137">INDEX('Закупка'!G137:K137, $A$2)</f>
        <v/>
      </c>
      <c r="E137" s="130" t="str">
        <f>'Закупка'!F137</f>
        <v/>
      </c>
      <c r="F137" s="131" t="str">
        <f t="shared" si="1"/>
        <v/>
      </c>
      <c r="G137" s="132"/>
      <c r="H137" s="133"/>
      <c r="I137" s="134"/>
      <c r="J137" s="131"/>
      <c r="K137" s="135" t="str">
        <f>'Закупка'!T137</f>
        <v/>
      </c>
      <c r="L137" s="136" t="str">
        <f>'Закупка'!U137</f>
        <v/>
      </c>
      <c r="M137" s="137" t="str">
        <f>'Закупка'!V137</f>
        <v/>
      </c>
    </row>
    <row r="138" ht="45.0" customHeight="1">
      <c r="A138" s="126" t="str">
        <f>'Закупка'!A138</f>
        <v/>
      </c>
      <c r="B138" s="127" t="str">
        <f>'Закупка'!B138</f>
        <v/>
      </c>
      <c r="C138" s="128" t="str">
        <f>'Закупка'!R138</f>
        <v/>
      </c>
      <c r="D138" s="129" t="str">
        <f t="array" ref="D138">INDEX('Закупка'!G138:K138, $A$2)</f>
        <v/>
      </c>
      <c r="E138" s="130" t="str">
        <f>'Закупка'!F138</f>
        <v/>
      </c>
      <c r="F138" s="131" t="str">
        <f t="shared" si="1"/>
        <v/>
      </c>
      <c r="G138" s="132"/>
      <c r="H138" s="133"/>
      <c r="I138" s="134"/>
      <c r="J138" s="131"/>
      <c r="K138" s="135" t="str">
        <f>'Закупка'!T138</f>
        <v/>
      </c>
      <c r="L138" s="136" t="str">
        <f>'Закупка'!U138</f>
        <v/>
      </c>
      <c r="M138" s="137" t="str">
        <f>'Закупка'!V138</f>
        <v/>
      </c>
    </row>
    <row r="139" ht="45.0" customHeight="1">
      <c r="A139" s="126" t="str">
        <f>'Закупка'!A139</f>
        <v/>
      </c>
      <c r="B139" s="127" t="str">
        <f>'Закупка'!B139</f>
        <v/>
      </c>
      <c r="C139" s="128" t="str">
        <f>'Закупка'!R139</f>
        <v/>
      </c>
      <c r="D139" s="129" t="str">
        <f t="array" ref="D139">INDEX('Закупка'!G139:K139, $A$2)</f>
        <v/>
      </c>
      <c r="E139" s="130" t="str">
        <f>'Закупка'!F139</f>
        <v/>
      </c>
      <c r="F139" s="131" t="str">
        <f t="shared" si="1"/>
        <v/>
      </c>
      <c r="G139" s="132"/>
      <c r="H139" s="133"/>
      <c r="I139" s="134"/>
      <c r="J139" s="131"/>
      <c r="K139" s="135" t="str">
        <f>'Закупка'!T139</f>
        <v/>
      </c>
      <c r="L139" s="136" t="str">
        <f>'Закупка'!U139</f>
        <v/>
      </c>
      <c r="M139" s="137" t="str">
        <f>'Закупка'!V139</f>
        <v/>
      </c>
    </row>
    <row r="140" ht="45.0" customHeight="1">
      <c r="A140" s="126" t="str">
        <f>'Закупка'!A140</f>
        <v/>
      </c>
      <c r="B140" s="127" t="str">
        <f>'Закупка'!B140</f>
        <v/>
      </c>
      <c r="C140" s="128" t="str">
        <f>'Закупка'!R140</f>
        <v/>
      </c>
      <c r="D140" s="129" t="str">
        <f t="array" ref="D140">INDEX('Закупка'!G140:K140, $A$2)</f>
        <v/>
      </c>
      <c r="E140" s="130" t="str">
        <f>'Закупка'!F140</f>
        <v/>
      </c>
      <c r="F140" s="131" t="str">
        <f t="shared" si="1"/>
        <v/>
      </c>
      <c r="G140" s="132"/>
      <c r="H140" s="133"/>
      <c r="I140" s="134"/>
      <c r="J140" s="131"/>
      <c r="K140" s="135" t="str">
        <f>'Закупка'!T140</f>
        <v/>
      </c>
      <c r="L140" s="136" t="str">
        <f>'Закупка'!U140</f>
        <v/>
      </c>
      <c r="M140" s="137" t="str">
        <f>'Закупка'!V140</f>
        <v/>
      </c>
    </row>
    <row r="141" ht="45.0" customHeight="1">
      <c r="A141" s="126" t="str">
        <f>'Закупка'!A141</f>
        <v/>
      </c>
      <c r="B141" s="127" t="str">
        <f>'Закупка'!B141</f>
        <v/>
      </c>
      <c r="C141" s="128" t="str">
        <f>'Закупка'!R141</f>
        <v/>
      </c>
      <c r="D141" s="129" t="str">
        <f t="array" ref="D141">INDEX('Закупка'!G141:K141, $A$2)</f>
        <v/>
      </c>
      <c r="E141" s="130" t="str">
        <f>'Закупка'!F141</f>
        <v/>
      </c>
      <c r="F141" s="131" t="str">
        <f t="shared" si="1"/>
        <v/>
      </c>
      <c r="G141" s="132"/>
      <c r="H141" s="133"/>
      <c r="I141" s="134"/>
      <c r="J141" s="131"/>
      <c r="K141" s="135" t="str">
        <f>'Закупка'!T141</f>
        <v/>
      </c>
      <c r="L141" s="136" t="str">
        <f>'Закупка'!U141</f>
        <v/>
      </c>
      <c r="M141" s="137" t="str">
        <f>'Закупка'!V141</f>
        <v/>
      </c>
    </row>
    <row r="142" ht="45.0" customHeight="1">
      <c r="A142" s="126" t="str">
        <f>'Закупка'!A142</f>
        <v/>
      </c>
      <c r="B142" s="127" t="str">
        <f>'Закупка'!B142</f>
        <v/>
      </c>
      <c r="C142" s="128" t="str">
        <f>'Закупка'!R142</f>
        <v/>
      </c>
      <c r="D142" s="129" t="str">
        <f t="array" ref="D142">INDEX('Закупка'!G142:K142, $A$2)</f>
        <v/>
      </c>
      <c r="E142" s="130" t="str">
        <f>'Закупка'!F142</f>
        <v/>
      </c>
      <c r="F142" s="131" t="str">
        <f t="shared" si="1"/>
        <v/>
      </c>
      <c r="G142" s="132"/>
      <c r="H142" s="133"/>
      <c r="I142" s="134"/>
      <c r="J142" s="131"/>
      <c r="K142" s="135" t="str">
        <f>'Закупка'!T142</f>
        <v/>
      </c>
      <c r="L142" s="136" t="str">
        <f>'Закупка'!U142</f>
        <v/>
      </c>
      <c r="M142" s="137" t="str">
        <f>'Закупка'!V142</f>
        <v/>
      </c>
    </row>
    <row r="143" ht="45.0" customHeight="1">
      <c r="A143" s="126" t="str">
        <f>'Закупка'!A143</f>
        <v/>
      </c>
      <c r="B143" s="127" t="str">
        <f>'Закупка'!B143</f>
        <v/>
      </c>
      <c r="C143" s="128" t="str">
        <f>'Закупка'!R143</f>
        <v/>
      </c>
      <c r="D143" s="129" t="str">
        <f t="array" ref="D143">INDEX('Закупка'!G143:K143, $A$2)</f>
        <v/>
      </c>
      <c r="E143" s="130" t="str">
        <f>'Закупка'!F143</f>
        <v/>
      </c>
      <c r="F143" s="131" t="str">
        <f t="shared" si="1"/>
        <v/>
      </c>
      <c r="G143" s="132"/>
      <c r="H143" s="133"/>
      <c r="I143" s="134"/>
      <c r="J143" s="131"/>
      <c r="K143" s="135" t="str">
        <f>'Закупка'!T143</f>
        <v/>
      </c>
      <c r="L143" s="136" t="str">
        <f>'Закупка'!U143</f>
        <v/>
      </c>
      <c r="M143" s="137" t="str">
        <f>'Закупка'!V143</f>
        <v/>
      </c>
    </row>
    <row r="144" ht="45.0" customHeight="1">
      <c r="A144" s="126" t="str">
        <f>'Закупка'!A144</f>
        <v/>
      </c>
      <c r="B144" s="127" t="str">
        <f>'Закупка'!B144</f>
        <v/>
      </c>
      <c r="C144" s="128" t="str">
        <f>'Закупка'!R144</f>
        <v/>
      </c>
      <c r="D144" s="129" t="str">
        <f t="array" ref="D144">INDEX('Закупка'!G144:K144, $A$2)</f>
        <v/>
      </c>
      <c r="E144" s="130" t="str">
        <f>'Закупка'!F144</f>
        <v/>
      </c>
      <c r="F144" s="131" t="str">
        <f t="shared" si="1"/>
        <v/>
      </c>
      <c r="G144" s="132"/>
      <c r="H144" s="133"/>
      <c r="I144" s="134"/>
      <c r="J144" s="131"/>
      <c r="K144" s="135" t="str">
        <f>'Закупка'!T144</f>
        <v/>
      </c>
      <c r="L144" s="136" t="str">
        <f>'Закупка'!U144</f>
        <v/>
      </c>
      <c r="M144" s="137" t="str">
        <f>'Закупка'!V144</f>
        <v/>
      </c>
    </row>
    <row r="145" ht="45.0" customHeight="1">
      <c r="A145" s="126" t="str">
        <f>'Закупка'!A145</f>
        <v/>
      </c>
      <c r="B145" s="127" t="str">
        <f>'Закупка'!B145</f>
        <v/>
      </c>
      <c r="C145" s="128" t="str">
        <f>'Закупка'!R145</f>
        <v/>
      </c>
      <c r="D145" s="129" t="str">
        <f t="array" ref="D145">INDEX('Закупка'!G145:K145, $A$2)</f>
        <v/>
      </c>
      <c r="E145" s="130" t="str">
        <f>'Закупка'!F145</f>
        <v/>
      </c>
      <c r="F145" s="131" t="str">
        <f t="shared" si="1"/>
        <v/>
      </c>
      <c r="G145" s="132"/>
      <c r="H145" s="133"/>
      <c r="I145" s="134"/>
      <c r="J145" s="131"/>
      <c r="K145" s="135" t="str">
        <f>'Закупка'!T145</f>
        <v/>
      </c>
      <c r="L145" s="136" t="str">
        <f>'Закупка'!U145</f>
        <v/>
      </c>
      <c r="M145" s="137" t="str">
        <f>'Закупка'!V145</f>
        <v/>
      </c>
    </row>
    <row r="146" ht="45.0" customHeight="1">
      <c r="A146" s="126" t="str">
        <f>'Закупка'!A146</f>
        <v/>
      </c>
      <c r="B146" s="127" t="str">
        <f>'Закупка'!B146</f>
        <v/>
      </c>
      <c r="C146" s="128" t="str">
        <f>'Закупка'!R146</f>
        <v/>
      </c>
      <c r="D146" s="129" t="str">
        <f t="array" ref="D146">INDEX('Закупка'!G146:K146, $A$2)</f>
        <v/>
      </c>
      <c r="E146" s="130" t="str">
        <f>'Закупка'!F146</f>
        <v/>
      </c>
      <c r="F146" s="131" t="str">
        <f t="shared" si="1"/>
        <v/>
      </c>
      <c r="G146" s="132"/>
      <c r="H146" s="133"/>
      <c r="I146" s="134"/>
      <c r="J146" s="131"/>
      <c r="K146" s="135" t="str">
        <f>'Закупка'!T146</f>
        <v/>
      </c>
      <c r="L146" s="136" t="str">
        <f>'Закупка'!U146</f>
        <v/>
      </c>
      <c r="M146" s="137" t="str">
        <f>'Закупка'!V146</f>
        <v/>
      </c>
    </row>
    <row r="147" ht="45.0" customHeight="1">
      <c r="A147" s="126" t="str">
        <f>'Закупка'!A147</f>
        <v/>
      </c>
      <c r="B147" s="127" t="str">
        <f>'Закупка'!B147</f>
        <v/>
      </c>
      <c r="C147" s="128" t="str">
        <f>'Закупка'!R147</f>
        <v/>
      </c>
      <c r="D147" s="129" t="str">
        <f t="array" ref="D147">INDEX('Закупка'!G147:K147, $A$2)</f>
        <v/>
      </c>
      <c r="E147" s="130" t="str">
        <f>'Закупка'!F147</f>
        <v/>
      </c>
      <c r="F147" s="131" t="str">
        <f t="shared" si="1"/>
        <v/>
      </c>
      <c r="G147" s="132"/>
      <c r="H147" s="133"/>
      <c r="I147" s="134"/>
      <c r="J147" s="131" t="str">
        <f t="shared" ref="J147:J199" si="2">IF(H147&lt;&gt;"", H147-F147,)</f>
        <v/>
      </c>
      <c r="K147" s="135" t="str">
        <f>'Закупка'!T147</f>
        <v/>
      </c>
      <c r="L147" s="136" t="str">
        <f>'Закупка'!U147</f>
        <v/>
      </c>
      <c r="M147" s="137" t="str">
        <f>'Закупка'!V147</f>
        <v/>
      </c>
    </row>
    <row r="148" ht="45.0" customHeight="1">
      <c r="A148" s="126" t="str">
        <f>'Закупка'!A148</f>
        <v/>
      </c>
      <c r="B148" s="127" t="str">
        <f>'Закупка'!B148</f>
        <v/>
      </c>
      <c r="C148" s="128" t="str">
        <f>'Закупка'!R148</f>
        <v/>
      </c>
      <c r="D148" s="129" t="str">
        <f t="array" ref="D148">INDEX('Закупка'!G148:K148, $A$2)</f>
        <v/>
      </c>
      <c r="E148" s="130" t="str">
        <f>'Закупка'!F148</f>
        <v/>
      </c>
      <c r="F148" s="131" t="str">
        <f t="shared" si="1"/>
        <v/>
      </c>
      <c r="G148" s="132"/>
      <c r="H148" s="133"/>
      <c r="I148" s="134"/>
      <c r="J148" s="131" t="str">
        <f t="shared" si="2"/>
        <v/>
      </c>
      <c r="K148" s="135" t="str">
        <f>'Закупка'!T148</f>
        <v/>
      </c>
      <c r="L148" s="136" t="str">
        <f>'Закупка'!U148</f>
        <v/>
      </c>
      <c r="M148" s="137" t="str">
        <f>'Закупка'!V148</f>
        <v/>
      </c>
    </row>
    <row r="149" ht="45.0" customHeight="1">
      <c r="A149" s="126" t="str">
        <f>'Закупка'!A149</f>
        <v/>
      </c>
      <c r="B149" s="127" t="str">
        <f>'Закупка'!B149</f>
        <v/>
      </c>
      <c r="C149" s="128" t="str">
        <f>'Закупка'!R149</f>
        <v/>
      </c>
      <c r="D149" s="129" t="str">
        <f t="array" ref="D149">INDEX('Закупка'!G149:K149, $A$2)</f>
        <v/>
      </c>
      <c r="E149" s="130" t="str">
        <f>'Закупка'!F149</f>
        <v/>
      </c>
      <c r="F149" s="131" t="str">
        <f t="shared" si="1"/>
        <v/>
      </c>
      <c r="G149" s="132"/>
      <c r="H149" s="133"/>
      <c r="I149" s="134"/>
      <c r="J149" s="131" t="str">
        <f t="shared" si="2"/>
        <v/>
      </c>
      <c r="K149" s="135" t="str">
        <f>'Закупка'!T149</f>
        <v/>
      </c>
      <c r="L149" s="136" t="str">
        <f>'Закупка'!U149</f>
        <v/>
      </c>
      <c r="M149" s="137" t="str">
        <f>'Закупка'!V149</f>
        <v/>
      </c>
    </row>
    <row r="150" ht="45.0" customHeight="1">
      <c r="A150" s="126" t="str">
        <f>'Закупка'!A150</f>
        <v/>
      </c>
      <c r="B150" s="127" t="str">
        <f>'Закупка'!B150</f>
        <v/>
      </c>
      <c r="C150" s="128" t="str">
        <f>'Закупка'!R150</f>
        <v/>
      </c>
      <c r="D150" s="129" t="str">
        <f t="array" ref="D150">INDEX('Закупка'!G150:K150, $A$2)</f>
        <v/>
      </c>
      <c r="E150" s="130" t="str">
        <f>'Закупка'!F150</f>
        <v/>
      </c>
      <c r="F150" s="131" t="str">
        <f t="shared" si="1"/>
        <v/>
      </c>
      <c r="G150" s="132"/>
      <c r="H150" s="133"/>
      <c r="I150" s="134"/>
      <c r="J150" s="131" t="str">
        <f t="shared" si="2"/>
        <v/>
      </c>
      <c r="K150" s="135" t="str">
        <f>'Закупка'!T150</f>
        <v/>
      </c>
      <c r="L150" s="136" t="str">
        <f>'Закупка'!U150</f>
        <v/>
      </c>
      <c r="M150" s="137" t="str">
        <f>'Закупка'!V150</f>
        <v/>
      </c>
    </row>
    <row r="151" ht="45.0" customHeight="1">
      <c r="A151" s="126" t="str">
        <f>'Закупка'!A151</f>
        <v/>
      </c>
      <c r="B151" s="127" t="str">
        <f>'Закупка'!B151</f>
        <v/>
      </c>
      <c r="C151" s="128" t="str">
        <f>'Закупка'!R151</f>
        <v/>
      </c>
      <c r="D151" s="129" t="str">
        <f t="array" ref="D151">INDEX('Закупка'!G151:K151, $A$2)</f>
        <v/>
      </c>
      <c r="E151" s="130" t="str">
        <f>'Закупка'!F151</f>
        <v/>
      </c>
      <c r="F151" s="131" t="str">
        <f t="shared" si="1"/>
        <v/>
      </c>
      <c r="G151" s="132"/>
      <c r="H151" s="133"/>
      <c r="I151" s="134"/>
      <c r="J151" s="131" t="str">
        <f t="shared" si="2"/>
        <v/>
      </c>
      <c r="K151" s="135" t="str">
        <f>'Закупка'!T151</f>
        <v/>
      </c>
      <c r="L151" s="136" t="str">
        <f>'Закупка'!U151</f>
        <v/>
      </c>
      <c r="M151" s="137" t="str">
        <f>'Закупка'!V151</f>
        <v/>
      </c>
    </row>
    <row r="152" ht="45.0" customHeight="1">
      <c r="A152" s="126" t="str">
        <f>'Закупка'!A152</f>
        <v/>
      </c>
      <c r="B152" s="127" t="str">
        <f>'Закупка'!B152</f>
        <v/>
      </c>
      <c r="C152" s="128" t="str">
        <f>'Закупка'!R152</f>
        <v/>
      </c>
      <c r="D152" s="129" t="str">
        <f t="array" ref="D152">INDEX('Закупка'!G152:K152, $A$2)</f>
        <v/>
      </c>
      <c r="E152" s="130" t="str">
        <f>'Закупка'!F152</f>
        <v/>
      </c>
      <c r="F152" s="131" t="str">
        <f t="shared" si="1"/>
        <v/>
      </c>
      <c r="G152" s="132"/>
      <c r="H152" s="133"/>
      <c r="I152" s="134"/>
      <c r="J152" s="131" t="str">
        <f t="shared" si="2"/>
        <v/>
      </c>
      <c r="K152" s="135" t="str">
        <f>'Закупка'!T152</f>
        <v/>
      </c>
      <c r="L152" s="136" t="str">
        <f>'Закупка'!U152</f>
        <v/>
      </c>
      <c r="M152" s="137" t="str">
        <f>'Закупка'!V152</f>
        <v/>
      </c>
    </row>
    <row r="153" ht="45.0" customHeight="1">
      <c r="A153" s="126" t="str">
        <f>'Закупка'!A153</f>
        <v/>
      </c>
      <c r="B153" s="127" t="str">
        <f>'Закупка'!B153</f>
        <v/>
      </c>
      <c r="C153" s="128" t="str">
        <f>'Закупка'!R153</f>
        <v/>
      </c>
      <c r="D153" s="129" t="str">
        <f t="array" ref="D153">INDEX('Закупка'!G153:K153, $A$2)</f>
        <v/>
      </c>
      <c r="E153" s="130" t="str">
        <f>'Закупка'!F153</f>
        <v/>
      </c>
      <c r="F153" s="131" t="str">
        <f t="shared" si="1"/>
        <v/>
      </c>
      <c r="G153" s="132"/>
      <c r="H153" s="133"/>
      <c r="I153" s="134"/>
      <c r="J153" s="131" t="str">
        <f t="shared" si="2"/>
        <v/>
      </c>
      <c r="K153" s="135" t="str">
        <f>'Закупка'!T153</f>
        <v/>
      </c>
      <c r="L153" s="136" t="str">
        <f>'Закупка'!U153</f>
        <v/>
      </c>
      <c r="M153" s="137" t="str">
        <f>'Закупка'!V153</f>
        <v/>
      </c>
    </row>
    <row r="154" ht="45.0" customHeight="1">
      <c r="A154" s="126" t="str">
        <f>'Закупка'!A154</f>
        <v/>
      </c>
      <c r="B154" s="127" t="str">
        <f>'Закупка'!B154</f>
        <v/>
      </c>
      <c r="C154" s="128" t="str">
        <f>'Закупка'!R154</f>
        <v/>
      </c>
      <c r="D154" s="129" t="str">
        <f t="array" ref="D154">INDEX('Закупка'!G154:K154, $A$2)</f>
        <v/>
      </c>
      <c r="E154" s="130" t="str">
        <f>'Закупка'!F154</f>
        <v/>
      </c>
      <c r="F154" s="131" t="str">
        <f t="shared" si="1"/>
        <v/>
      </c>
      <c r="G154" s="132"/>
      <c r="H154" s="133"/>
      <c r="I154" s="134"/>
      <c r="J154" s="131" t="str">
        <f t="shared" si="2"/>
        <v/>
      </c>
      <c r="K154" s="135" t="str">
        <f>'Закупка'!T154</f>
        <v/>
      </c>
      <c r="L154" s="136" t="str">
        <f>'Закупка'!U154</f>
        <v/>
      </c>
      <c r="M154" s="137" t="str">
        <f>'Закупка'!V154</f>
        <v/>
      </c>
    </row>
    <row r="155" ht="45.0" customHeight="1">
      <c r="A155" s="126" t="str">
        <f>'Закупка'!A155</f>
        <v/>
      </c>
      <c r="B155" s="127" t="str">
        <f>'Закупка'!B155</f>
        <v/>
      </c>
      <c r="C155" s="128" t="str">
        <f>'Закупка'!R155</f>
        <v/>
      </c>
      <c r="D155" s="129" t="str">
        <f t="array" ref="D155">INDEX('Закупка'!G155:K155, $A$2)</f>
        <v/>
      </c>
      <c r="E155" s="130" t="str">
        <f>'Закупка'!F155</f>
        <v/>
      </c>
      <c r="F155" s="131" t="str">
        <f t="shared" si="1"/>
        <v/>
      </c>
      <c r="G155" s="132"/>
      <c r="H155" s="133"/>
      <c r="I155" s="134"/>
      <c r="J155" s="131" t="str">
        <f t="shared" si="2"/>
        <v/>
      </c>
      <c r="K155" s="135" t="str">
        <f>'Закупка'!T155</f>
        <v/>
      </c>
      <c r="L155" s="136" t="str">
        <f>'Закупка'!U155</f>
        <v/>
      </c>
      <c r="M155" s="137" t="str">
        <f>'Закупка'!V155</f>
        <v/>
      </c>
    </row>
    <row r="156" ht="45.0" customHeight="1">
      <c r="A156" s="126" t="str">
        <f>'Закупка'!A156</f>
        <v/>
      </c>
      <c r="B156" s="127" t="str">
        <f>'Закупка'!B156</f>
        <v/>
      </c>
      <c r="C156" s="128" t="str">
        <f>'Закупка'!R156</f>
        <v/>
      </c>
      <c r="D156" s="129" t="str">
        <f t="array" ref="D156">INDEX('Закупка'!G156:K156, $A$2)</f>
        <v/>
      </c>
      <c r="E156" s="130" t="str">
        <f>'Закупка'!F156</f>
        <v/>
      </c>
      <c r="F156" s="131" t="str">
        <f t="shared" si="1"/>
        <v/>
      </c>
      <c r="G156" s="132"/>
      <c r="H156" s="133"/>
      <c r="I156" s="134"/>
      <c r="J156" s="131" t="str">
        <f t="shared" si="2"/>
        <v/>
      </c>
      <c r="K156" s="135" t="str">
        <f>'Закупка'!T156</f>
        <v/>
      </c>
      <c r="L156" s="136" t="str">
        <f>'Закупка'!U156</f>
        <v/>
      </c>
      <c r="M156" s="137" t="str">
        <f>'Закупка'!V156</f>
        <v/>
      </c>
    </row>
    <row r="157" ht="45.0" customHeight="1">
      <c r="A157" s="126" t="str">
        <f>'Закупка'!A157</f>
        <v/>
      </c>
      <c r="B157" s="127" t="str">
        <f>'Закупка'!B157</f>
        <v/>
      </c>
      <c r="C157" s="128" t="str">
        <f>'Закупка'!R157</f>
        <v/>
      </c>
      <c r="D157" s="129" t="str">
        <f t="array" ref="D157">INDEX('Закупка'!G157:K157, $A$2)</f>
        <v/>
      </c>
      <c r="E157" s="130" t="str">
        <f>'Закупка'!F157</f>
        <v/>
      </c>
      <c r="F157" s="131" t="str">
        <f t="shared" si="1"/>
        <v/>
      </c>
      <c r="G157" s="132"/>
      <c r="H157" s="133"/>
      <c r="I157" s="134"/>
      <c r="J157" s="131" t="str">
        <f t="shared" si="2"/>
        <v/>
      </c>
      <c r="K157" s="135" t="str">
        <f>'Закупка'!T157</f>
        <v/>
      </c>
      <c r="L157" s="136" t="str">
        <f>'Закупка'!U157</f>
        <v/>
      </c>
      <c r="M157" s="137" t="str">
        <f>'Закупка'!V157</f>
        <v/>
      </c>
    </row>
    <row r="158" ht="45.0" customHeight="1">
      <c r="A158" s="126" t="str">
        <f>'Закупка'!A158</f>
        <v/>
      </c>
      <c r="B158" s="127" t="str">
        <f>'Закупка'!B158</f>
        <v/>
      </c>
      <c r="C158" s="128" t="str">
        <f>'Закупка'!R158</f>
        <v/>
      </c>
      <c r="D158" s="129" t="str">
        <f t="array" ref="D158">INDEX('Закупка'!G158:K158, $A$2)</f>
        <v/>
      </c>
      <c r="E158" s="130" t="str">
        <f>'Закупка'!F158</f>
        <v/>
      </c>
      <c r="F158" s="131" t="str">
        <f t="shared" si="1"/>
        <v/>
      </c>
      <c r="G158" s="132"/>
      <c r="H158" s="133"/>
      <c r="I158" s="134"/>
      <c r="J158" s="131" t="str">
        <f t="shared" si="2"/>
        <v/>
      </c>
      <c r="K158" s="135" t="str">
        <f>'Закупка'!T158</f>
        <v/>
      </c>
      <c r="L158" s="136" t="str">
        <f>'Закупка'!U158</f>
        <v/>
      </c>
      <c r="M158" s="137" t="str">
        <f>'Закупка'!V158</f>
        <v/>
      </c>
    </row>
    <row r="159" ht="45.0" customHeight="1">
      <c r="A159" s="126" t="str">
        <f>'Закупка'!A159</f>
        <v/>
      </c>
      <c r="B159" s="127" t="str">
        <f>'Закупка'!B159</f>
        <v/>
      </c>
      <c r="C159" s="128" t="str">
        <f>'Закупка'!R159</f>
        <v/>
      </c>
      <c r="D159" s="129" t="str">
        <f t="array" ref="D159">INDEX('Закупка'!G159:K159, $A$2)</f>
        <v/>
      </c>
      <c r="E159" s="130" t="str">
        <f>'Закупка'!F159</f>
        <v/>
      </c>
      <c r="F159" s="131" t="str">
        <f t="shared" si="1"/>
        <v/>
      </c>
      <c r="G159" s="132"/>
      <c r="H159" s="133"/>
      <c r="I159" s="134"/>
      <c r="J159" s="131" t="str">
        <f t="shared" si="2"/>
        <v/>
      </c>
      <c r="K159" s="135" t="str">
        <f>'Закупка'!T159</f>
        <v/>
      </c>
      <c r="L159" s="136" t="str">
        <f>'Закупка'!U159</f>
        <v/>
      </c>
      <c r="M159" s="137" t="str">
        <f>'Закупка'!V159</f>
        <v/>
      </c>
    </row>
    <row r="160" ht="45.0" customHeight="1">
      <c r="A160" s="126" t="str">
        <f>'Закупка'!A160</f>
        <v/>
      </c>
      <c r="B160" s="127" t="str">
        <f>'Закупка'!B160</f>
        <v/>
      </c>
      <c r="C160" s="128" t="str">
        <f>'Закупка'!R160</f>
        <v/>
      </c>
      <c r="D160" s="129" t="str">
        <f t="array" ref="D160">INDEX('Закупка'!G160:K160, $A$2)</f>
        <v/>
      </c>
      <c r="E160" s="130" t="str">
        <f>'Закупка'!F160</f>
        <v/>
      </c>
      <c r="F160" s="131" t="str">
        <f t="shared" si="1"/>
        <v/>
      </c>
      <c r="G160" s="132"/>
      <c r="H160" s="133"/>
      <c r="I160" s="134"/>
      <c r="J160" s="131" t="str">
        <f t="shared" si="2"/>
        <v/>
      </c>
      <c r="K160" s="135" t="str">
        <f>'Закупка'!T160</f>
        <v/>
      </c>
      <c r="L160" s="136" t="str">
        <f>'Закупка'!U160</f>
        <v/>
      </c>
      <c r="M160" s="137" t="str">
        <f>'Закупка'!V160</f>
        <v/>
      </c>
    </row>
    <row r="161" ht="45.0" customHeight="1">
      <c r="A161" s="126" t="str">
        <f>'Закупка'!A161</f>
        <v/>
      </c>
      <c r="B161" s="127" t="str">
        <f>'Закупка'!B161</f>
        <v/>
      </c>
      <c r="C161" s="128" t="str">
        <f>'Закупка'!R161</f>
        <v/>
      </c>
      <c r="D161" s="129" t="str">
        <f t="array" ref="D161">INDEX('Закупка'!G161:K161, $A$2)</f>
        <v/>
      </c>
      <c r="E161" s="130" t="str">
        <f>'Закупка'!F161</f>
        <v/>
      </c>
      <c r="F161" s="131" t="str">
        <f t="shared" si="1"/>
        <v/>
      </c>
      <c r="G161" s="132"/>
      <c r="H161" s="133"/>
      <c r="I161" s="134"/>
      <c r="J161" s="131" t="str">
        <f t="shared" si="2"/>
        <v/>
      </c>
      <c r="K161" s="135" t="str">
        <f>'Закупка'!T161</f>
        <v/>
      </c>
      <c r="L161" s="136" t="str">
        <f>'Закупка'!U161</f>
        <v/>
      </c>
      <c r="M161" s="137" t="str">
        <f>'Закупка'!V161</f>
        <v/>
      </c>
    </row>
    <row r="162" ht="45.0" customHeight="1">
      <c r="A162" s="126" t="str">
        <f>'Закупка'!A162</f>
        <v/>
      </c>
      <c r="B162" s="127" t="str">
        <f>'Закупка'!B162</f>
        <v/>
      </c>
      <c r="C162" s="128" t="str">
        <f>'Закупка'!R162</f>
        <v/>
      </c>
      <c r="D162" s="129" t="str">
        <f t="array" ref="D162">INDEX('Закупка'!G162:K162, $A$2)</f>
        <v/>
      </c>
      <c r="E162" s="130" t="str">
        <f>'Закупка'!F162</f>
        <v/>
      </c>
      <c r="F162" s="131" t="str">
        <f t="shared" si="1"/>
        <v/>
      </c>
      <c r="G162" s="132"/>
      <c r="H162" s="133"/>
      <c r="I162" s="134"/>
      <c r="J162" s="131" t="str">
        <f t="shared" si="2"/>
        <v/>
      </c>
      <c r="K162" s="135" t="str">
        <f>'Закупка'!T162</f>
        <v/>
      </c>
      <c r="L162" s="136" t="str">
        <f>'Закупка'!U162</f>
        <v/>
      </c>
      <c r="M162" s="137" t="str">
        <f>'Закупка'!V162</f>
        <v/>
      </c>
    </row>
    <row r="163" ht="45.0" customHeight="1">
      <c r="A163" s="126" t="str">
        <f>'Закупка'!A163</f>
        <v/>
      </c>
      <c r="B163" s="127" t="str">
        <f>'Закупка'!B163</f>
        <v/>
      </c>
      <c r="C163" s="128" t="str">
        <f>'Закупка'!R163</f>
        <v/>
      </c>
      <c r="D163" s="129" t="str">
        <f t="array" ref="D163">INDEX('Закупка'!G163:K163, $A$2)</f>
        <v/>
      </c>
      <c r="E163" s="130" t="str">
        <f>'Закупка'!F163</f>
        <v/>
      </c>
      <c r="F163" s="131" t="str">
        <f t="shared" si="1"/>
        <v/>
      </c>
      <c r="G163" s="132"/>
      <c r="H163" s="133"/>
      <c r="I163" s="134"/>
      <c r="J163" s="131" t="str">
        <f t="shared" si="2"/>
        <v/>
      </c>
      <c r="K163" s="135" t="str">
        <f>'Закупка'!T163</f>
        <v/>
      </c>
      <c r="L163" s="136" t="str">
        <f>'Закупка'!U163</f>
        <v/>
      </c>
      <c r="M163" s="137" t="str">
        <f>'Закупка'!V163</f>
        <v/>
      </c>
    </row>
    <row r="164" ht="45.0" customHeight="1">
      <c r="A164" s="126" t="str">
        <f>'Закупка'!A164</f>
        <v/>
      </c>
      <c r="B164" s="127" t="str">
        <f>'Закупка'!B164</f>
        <v/>
      </c>
      <c r="C164" s="128" t="str">
        <f>'Закупка'!R164</f>
        <v/>
      </c>
      <c r="D164" s="129" t="str">
        <f t="array" ref="D164">INDEX('Закупка'!G164:K164, $A$2)</f>
        <v/>
      </c>
      <c r="E164" s="130" t="str">
        <f>'Закупка'!F164</f>
        <v/>
      </c>
      <c r="F164" s="131" t="str">
        <f t="shared" si="1"/>
        <v/>
      </c>
      <c r="G164" s="132"/>
      <c r="H164" s="133"/>
      <c r="I164" s="134"/>
      <c r="J164" s="131" t="str">
        <f t="shared" si="2"/>
        <v/>
      </c>
      <c r="K164" s="135" t="str">
        <f>'Закупка'!T164</f>
        <v/>
      </c>
      <c r="L164" s="136" t="str">
        <f>'Закупка'!U164</f>
        <v/>
      </c>
      <c r="M164" s="137" t="str">
        <f>'Закупка'!V164</f>
        <v/>
      </c>
    </row>
    <row r="165" ht="45.0" customHeight="1">
      <c r="A165" s="126" t="str">
        <f>'Закупка'!A165</f>
        <v/>
      </c>
      <c r="B165" s="127" t="str">
        <f>'Закупка'!B165</f>
        <v/>
      </c>
      <c r="C165" s="128" t="str">
        <f>'Закупка'!R165</f>
        <v/>
      </c>
      <c r="D165" s="129" t="str">
        <f t="array" ref="D165">INDEX('Закупка'!G165:K165, $A$2)</f>
        <v/>
      </c>
      <c r="E165" s="130" t="str">
        <f>'Закупка'!F165</f>
        <v/>
      </c>
      <c r="F165" s="131" t="str">
        <f t="shared" si="1"/>
        <v/>
      </c>
      <c r="G165" s="132"/>
      <c r="H165" s="133"/>
      <c r="I165" s="134"/>
      <c r="J165" s="131" t="str">
        <f t="shared" si="2"/>
        <v/>
      </c>
      <c r="K165" s="135" t="str">
        <f>'Закупка'!T165</f>
        <v/>
      </c>
      <c r="L165" s="136" t="str">
        <f>'Закупка'!U165</f>
        <v/>
      </c>
      <c r="M165" s="137" t="str">
        <f>'Закупка'!V165</f>
        <v/>
      </c>
    </row>
    <row r="166" ht="45.0" customHeight="1">
      <c r="A166" s="126" t="str">
        <f>'Закупка'!A166</f>
        <v/>
      </c>
      <c r="B166" s="127" t="str">
        <f>'Закупка'!B166</f>
        <v/>
      </c>
      <c r="C166" s="128" t="str">
        <f>'Закупка'!R166</f>
        <v/>
      </c>
      <c r="D166" s="129" t="str">
        <f t="array" ref="D166">INDEX('Закупка'!G166:K166, $A$2)</f>
        <v/>
      </c>
      <c r="E166" s="130" t="str">
        <f>'Закупка'!F166</f>
        <v/>
      </c>
      <c r="F166" s="131" t="str">
        <f t="shared" si="1"/>
        <v/>
      </c>
      <c r="G166" s="132"/>
      <c r="H166" s="133"/>
      <c r="I166" s="134"/>
      <c r="J166" s="131" t="str">
        <f t="shared" si="2"/>
        <v/>
      </c>
      <c r="K166" s="135" t="str">
        <f>'Закупка'!T166</f>
        <v/>
      </c>
      <c r="L166" s="136" t="str">
        <f>'Закупка'!U166</f>
        <v/>
      </c>
      <c r="M166" s="137" t="str">
        <f>'Закупка'!V166</f>
        <v/>
      </c>
    </row>
    <row r="167" ht="45.0" customHeight="1">
      <c r="A167" s="126" t="str">
        <f>'Закупка'!A167</f>
        <v/>
      </c>
      <c r="B167" s="127" t="str">
        <f>'Закупка'!B167</f>
        <v/>
      </c>
      <c r="C167" s="128" t="str">
        <f>'Закупка'!R167</f>
        <v/>
      </c>
      <c r="D167" s="129" t="str">
        <f t="array" ref="D167">INDEX('Закупка'!G167:K167, $A$2)</f>
        <v/>
      </c>
      <c r="E167" s="130" t="str">
        <f>'Закупка'!F167</f>
        <v/>
      </c>
      <c r="F167" s="131" t="str">
        <f t="shared" si="1"/>
        <v/>
      </c>
      <c r="G167" s="132"/>
      <c r="H167" s="133"/>
      <c r="I167" s="134"/>
      <c r="J167" s="131" t="str">
        <f t="shared" si="2"/>
        <v/>
      </c>
      <c r="K167" s="135" t="str">
        <f>'Закупка'!T167</f>
        <v/>
      </c>
      <c r="L167" s="136" t="str">
        <f>'Закупка'!U167</f>
        <v/>
      </c>
      <c r="M167" s="137" t="str">
        <f>'Закупка'!V167</f>
        <v/>
      </c>
    </row>
    <row r="168" ht="45.0" customHeight="1">
      <c r="A168" s="126" t="str">
        <f>'Закупка'!A168</f>
        <v/>
      </c>
      <c r="B168" s="127" t="str">
        <f>'Закупка'!B168</f>
        <v/>
      </c>
      <c r="C168" s="128" t="str">
        <f>'Закупка'!R168</f>
        <v/>
      </c>
      <c r="D168" s="129" t="str">
        <f t="array" ref="D168">INDEX('Закупка'!G168:K168, $A$2)</f>
        <v/>
      </c>
      <c r="E168" s="130" t="str">
        <f>'Закупка'!F168</f>
        <v/>
      </c>
      <c r="F168" s="131" t="str">
        <f t="shared" si="1"/>
        <v/>
      </c>
      <c r="G168" s="132"/>
      <c r="H168" s="133"/>
      <c r="I168" s="134"/>
      <c r="J168" s="131" t="str">
        <f t="shared" si="2"/>
        <v/>
      </c>
      <c r="K168" s="135" t="str">
        <f>'Закупка'!T168</f>
        <v/>
      </c>
      <c r="L168" s="136" t="str">
        <f>'Закупка'!U168</f>
        <v/>
      </c>
      <c r="M168" s="137" t="str">
        <f>'Закупка'!V168</f>
        <v/>
      </c>
    </row>
    <row r="169" ht="45.0" customHeight="1">
      <c r="A169" s="126" t="str">
        <f>'Закупка'!A169</f>
        <v/>
      </c>
      <c r="B169" s="127" t="str">
        <f>'Закупка'!B169</f>
        <v/>
      </c>
      <c r="C169" s="128" t="str">
        <f>'Закупка'!R169</f>
        <v/>
      </c>
      <c r="D169" s="129" t="str">
        <f t="array" ref="D169">INDEX('Закупка'!G169:K169, $A$2)</f>
        <v/>
      </c>
      <c r="E169" s="130" t="str">
        <f>'Закупка'!F169</f>
        <v/>
      </c>
      <c r="F169" s="131" t="str">
        <f t="shared" si="1"/>
        <v/>
      </c>
      <c r="G169" s="132"/>
      <c r="H169" s="133"/>
      <c r="I169" s="134"/>
      <c r="J169" s="131" t="str">
        <f t="shared" si="2"/>
        <v/>
      </c>
      <c r="K169" s="135" t="str">
        <f>'Закупка'!T169</f>
        <v/>
      </c>
      <c r="L169" s="136" t="str">
        <f>'Закупка'!U169</f>
        <v/>
      </c>
      <c r="M169" s="137" t="str">
        <f>'Закупка'!V169</f>
        <v/>
      </c>
    </row>
    <row r="170" ht="45.0" customHeight="1">
      <c r="A170" s="126" t="str">
        <f>'Закупка'!A170</f>
        <v/>
      </c>
      <c r="B170" s="127" t="str">
        <f>'Закупка'!B170</f>
        <v/>
      </c>
      <c r="C170" s="128" t="str">
        <f>'Закупка'!R170</f>
        <v/>
      </c>
      <c r="D170" s="129" t="str">
        <f t="array" ref="D170">INDEX('Закупка'!G170:K170, $A$2)</f>
        <v/>
      </c>
      <c r="E170" s="130" t="str">
        <f>'Закупка'!F170</f>
        <v/>
      </c>
      <c r="F170" s="131" t="str">
        <f t="shared" si="1"/>
        <v/>
      </c>
      <c r="G170" s="132"/>
      <c r="H170" s="133"/>
      <c r="I170" s="134"/>
      <c r="J170" s="131" t="str">
        <f t="shared" si="2"/>
        <v/>
      </c>
      <c r="K170" s="135" t="str">
        <f>'Закупка'!T170</f>
        <v/>
      </c>
      <c r="L170" s="136" t="str">
        <f>'Закупка'!U170</f>
        <v/>
      </c>
      <c r="M170" s="137" t="str">
        <f>'Закупка'!V170</f>
        <v/>
      </c>
    </row>
    <row r="171" ht="45.0" customHeight="1">
      <c r="A171" s="126" t="str">
        <f>'Закупка'!A171</f>
        <v/>
      </c>
      <c r="B171" s="127" t="str">
        <f>'Закупка'!B171</f>
        <v/>
      </c>
      <c r="C171" s="128" t="str">
        <f>'Закупка'!R171</f>
        <v/>
      </c>
      <c r="D171" s="129" t="str">
        <f t="array" ref="D171">INDEX('Закупка'!G171:K171, $A$2)</f>
        <v/>
      </c>
      <c r="E171" s="130" t="str">
        <f>'Закупка'!F171</f>
        <v/>
      </c>
      <c r="F171" s="131" t="str">
        <f t="shared" si="1"/>
        <v/>
      </c>
      <c r="G171" s="132"/>
      <c r="H171" s="133"/>
      <c r="I171" s="134"/>
      <c r="J171" s="131" t="str">
        <f t="shared" si="2"/>
        <v/>
      </c>
      <c r="K171" s="135" t="str">
        <f>'Закупка'!T171</f>
        <v/>
      </c>
      <c r="L171" s="136" t="str">
        <f>'Закупка'!U171</f>
        <v/>
      </c>
      <c r="M171" s="137" t="str">
        <f>'Закупка'!V171</f>
        <v/>
      </c>
    </row>
    <row r="172" ht="45.0" customHeight="1">
      <c r="A172" s="126" t="str">
        <f>'Закупка'!A172</f>
        <v/>
      </c>
      <c r="B172" s="127" t="str">
        <f>'Закупка'!B172</f>
        <v/>
      </c>
      <c r="C172" s="128" t="str">
        <f>'Закупка'!R172</f>
        <v/>
      </c>
      <c r="D172" s="129" t="str">
        <f t="array" ref="D172">INDEX('Закупка'!G172:K172, $A$2)</f>
        <v/>
      </c>
      <c r="E172" s="130" t="str">
        <f>'Закупка'!F172</f>
        <v/>
      </c>
      <c r="F172" s="131" t="str">
        <f t="shared" si="1"/>
        <v/>
      </c>
      <c r="G172" s="132"/>
      <c r="H172" s="133"/>
      <c r="I172" s="134"/>
      <c r="J172" s="131" t="str">
        <f t="shared" si="2"/>
        <v/>
      </c>
      <c r="K172" s="135" t="str">
        <f>'Закупка'!T172</f>
        <v/>
      </c>
      <c r="L172" s="136" t="str">
        <f>'Закупка'!U172</f>
        <v/>
      </c>
      <c r="M172" s="137" t="str">
        <f>'Закупка'!V172</f>
        <v/>
      </c>
    </row>
    <row r="173" ht="45.0" customHeight="1">
      <c r="A173" s="126" t="str">
        <f>'Закупка'!A173</f>
        <v/>
      </c>
      <c r="B173" s="127" t="str">
        <f>'Закупка'!B173</f>
        <v/>
      </c>
      <c r="C173" s="128" t="str">
        <f>'Закупка'!R173</f>
        <v/>
      </c>
      <c r="D173" s="129" t="str">
        <f t="array" ref="D173">INDEX('Закупка'!G173:K173, $A$2)</f>
        <v/>
      </c>
      <c r="E173" s="130" t="str">
        <f>'Закупка'!F173</f>
        <v/>
      </c>
      <c r="F173" s="131" t="str">
        <f t="shared" si="1"/>
        <v/>
      </c>
      <c r="G173" s="132"/>
      <c r="H173" s="133"/>
      <c r="I173" s="134"/>
      <c r="J173" s="131" t="str">
        <f t="shared" si="2"/>
        <v/>
      </c>
      <c r="K173" s="135" t="str">
        <f>'Закупка'!T173</f>
        <v/>
      </c>
      <c r="L173" s="136" t="str">
        <f>'Закупка'!U173</f>
        <v/>
      </c>
      <c r="M173" s="137" t="str">
        <f>'Закупка'!V173</f>
        <v/>
      </c>
    </row>
    <row r="174" ht="45.0" customHeight="1">
      <c r="A174" s="126" t="str">
        <f>'Закупка'!A174</f>
        <v/>
      </c>
      <c r="B174" s="127" t="str">
        <f>'Закупка'!B174</f>
        <v/>
      </c>
      <c r="C174" s="128" t="str">
        <f>'Закупка'!R174</f>
        <v/>
      </c>
      <c r="D174" s="129" t="str">
        <f t="array" ref="D174">INDEX('Закупка'!G174:K174, $A$2)</f>
        <v/>
      </c>
      <c r="E174" s="130" t="str">
        <f>'Закупка'!F174</f>
        <v/>
      </c>
      <c r="F174" s="131" t="str">
        <f t="shared" si="1"/>
        <v/>
      </c>
      <c r="G174" s="132"/>
      <c r="H174" s="133"/>
      <c r="I174" s="134"/>
      <c r="J174" s="131" t="str">
        <f t="shared" si="2"/>
        <v/>
      </c>
      <c r="K174" s="135" t="str">
        <f>'Закупка'!T174</f>
        <v/>
      </c>
      <c r="L174" s="136" t="str">
        <f>'Закупка'!U174</f>
        <v/>
      </c>
      <c r="M174" s="137" t="str">
        <f>'Закупка'!V174</f>
        <v/>
      </c>
    </row>
    <row r="175" ht="45.0" customHeight="1">
      <c r="A175" s="126" t="str">
        <f>'Закупка'!A175</f>
        <v/>
      </c>
      <c r="B175" s="127" t="str">
        <f>'Закупка'!B175</f>
        <v/>
      </c>
      <c r="C175" s="128" t="str">
        <f>'Закупка'!R175</f>
        <v/>
      </c>
      <c r="D175" s="129" t="str">
        <f t="array" ref="D175">INDEX('Закупка'!G175:K175, $A$2)</f>
        <v/>
      </c>
      <c r="E175" s="130" t="str">
        <f>'Закупка'!F175</f>
        <v/>
      </c>
      <c r="F175" s="131" t="str">
        <f t="shared" si="1"/>
        <v/>
      </c>
      <c r="G175" s="132"/>
      <c r="H175" s="133"/>
      <c r="I175" s="134"/>
      <c r="J175" s="131" t="str">
        <f t="shared" si="2"/>
        <v/>
      </c>
      <c r="K175" s="135" t="str">
        <f>'Закупка'!T175</f>
        <v/>
      </c>
      <c r="L175" s="136" t="str">
        <f>'Закупка'!U175</f>
        <v/>
      </c>
      <c r="M175" s="137" t="str">
        <f>'Закупка'!V175</f>
        <v/>
      </c>
    </row>
    <row r="176" ht="45.0" customHeight="1">
      <c r="A176" s="126" t="str">
        <f>'Закупка'!A176</f>
        <v/>
      </c>
      <c r="B176" s="127" t="str">
        <f>'Закупка'!B176</f>
        <v/>
      </c>
      <c r="C176" s="128" t="str">
        <f>'Закупка'!R176</f>
        <v/>
      </c>
      <c r="D176" s="129" t="str">
        <f t="array" ref="D176">INDEX('Закупка'!G176:K176, $A$2)</f>
        <v/>
      </c>
      <c r="E176" s="130" t="str">
        <f>'Закупка'!F176</f>
        <v/>
      </c>
      <c r="F176" s="131" t="str">
        <f t="shared" si="1"/>
        <v/>
      </c>
      <c r="G176" s="132"/>
      <c r="H176" s="133"/>
      <c r="I176" s="134"/>
      <c r="J176" s="131" t="str">
        <f t="shared" si="2"/>
        <v/>
      </c>
      <c r="K176" s="135" t="str">
        <f>'Закупка'!T176</f>
        <v/>
      </c>
      <c r="L176" s="136" t="str">
        <f>'Закупка'!U176</f>
        <v/>
      </c>
      <c r="M176" s="137" t="str">
        <f>'Закупка'!V176</f>
        <v/>
      </c>
    </row>
    <row r="177" ht="45.0" customHeight="1">
      <c r="A177" s="126" t="str">
        <f>'Закупка'!A177</f>
        <v/>
      </c>
      <c r="B177" s="127" t="str">
        <f>'Закупка'!B177</f>
        <v/>
      </c>
      <c r="C177" s="128" t="str">
        <f>'Закупка'!R177</f>
        <v/>
      </c>
      <c r="D177" s="129" t="str">
        <f t="array" ref="D177">INDEX('Закупка'!G177:K177, $A$2)</f>
        <v/>
      </c>
      <c r="E177" s="130" t="str">
        <f>'Закупка'!F177</f>
        <v/>
      </c>
      <c r="F177" s="131" t="str">
        <f t="shared" si="1"/>
        <v/>
      </c>
      <c r="G177" s="132"/>
      <c r="H177" s="133"/>
      <c r="I177" s="134"/>
      <c r="J177" s="131" t="str">
        <f t="shared" si="2"/>
        <v/>
      </c>
      <c r="K177" s="135" t="str">
        <f>'Закупка'!T177</f>
        <v/>
      </c>
      <c r="L177" s="136" t="str">
        <f>'Закупка'!U177</f>
        <v/>
      </c>
      <c r="M177" s="137" t="str">
        <f>'Закупка'!V177</f>
        <v/>
      </c>
    </row>
    <row r="178" ht="45.0" customHeight="1">
      <c r="A178" s="126" t="str">
        <f>'Закупка'!A178</f>
        <v/>
      </c>
      <c r="B178" s="127" t="str">
        <f>'Закупка'!B178</f>
        <v/>
      </c>
      <c r="C178" s="128" t="str">
        <f>'Закупка'!R178</f>
        <v/>
      </c>
      <c r="D178" s="129" t="str">
        <f t="array" ref="D178">INDEX('Закупка'!G178:K178, $A$2)</f>
        <v/>
      </c>
      <c r="E178" s="130" t="str">
        <f>'Закупка'!F178</f>
        <v/>
      </c>
      <c r="F178" s="131" t="str">
        <f t="shared" si="1"/>
        <v/>
      </c>
      <c r="G178" s="132"/>
      <c r="H178" s="133"/>
      <c r="I178" s="134"/>
      <c r="J178" s="131" t="str">
        <f t="shared" si="2"/>
        <v/>
      </c>
      <c r="K178" s="135" t="str">
        <f>'Закупка'!T178</f>
        <v/>
      </c>
      <c r="L178" s="136" t="str">
        <f>'Закупка'!U178</f>
        <v/>
      </c>
      <c r="M178" s="137" t="str">
        <f>'Закупка'!V178</f>
        <v/>
      </c>
    </row>
    <row r="179" ht="45.0" customHeight="1">
      <c r="A179" s="126" t="str">
        <f>'Закупка'!A179</f>
        <v/>
      </c>
      <c r="B179" s="127" t="str">
        <f>'Закупка'!B179</f>
        <v/>
      </c>
      <c r="C179" s="128" t="str">
        <f>'Закупка'!R179</f>
        <v/>
      </c>
      <c r="D179" s="129" t="str">
        <f t="array" ref="D179">INDEX('Закупка'!G179:K179, $A$2)</f>
        <v/>
      </c>
      <c r="E179" s="130" t="str">
        <f>'Закупка'!F179</f>
        <v/>
      </c>
      <c r="F179" s="131" t="str">
        <f t="shared" si="1"/>
        <v/>
      </c>
      <c r="G179" s="132"/>
      <c r="H179" s="133"/>
      <c r="I179" s="134"/>
      <c r="J179" s="131" t="str">
        <f t="shared" si="2"/>
        <v/>
      </c>
      <c r="K179" s="135" t="str">
        <f>'Закупка'!T179</f>
        <v/>
      </c>
      <c r="L179" s="136" t="str">
        <f>'Закупка'!U179</f>
        <v/>
      </c>
      <c r="M179" s="137" t="str">
        <f>'Закупка'!V179</f>
        <v/>
      </c>
    </row>
    <row r="180" ht="45.0" customHeight="1">
      <c r="A180" s="126" t="str">
        <f>'Закупка'!A180</f>
        <v/>
      </c>
      <c r="B180" s="127" t="str">
        <f>'Закупка'!B180</f>
        <v/>
      </c>
      <c r="C180" s="128" t="str">
        <f>'Закупка'!R180</f>
        <v/>
      </c>
      <c r="D180" s="129" t="str">
        <f t="array" ref="D180">INDEX('Закупка'!G180:K180, $A$2)</f>
        <v/>
      </c>
      <c r="E180" s="130" t="str">
        <f>'Закупка'!F180</f>
        <v/>
      </c>
      <c r="F180" s="131" t="str">
        <f t="shared" si="1"/>
        <v/>
      </c>
      <c r="G180" s="132"/>
      <c r="H180" s="133"/>
      <c r="I180" s="134"/>
      <c r="J180" s="131" t="str">
        <f t="shared" si="2"/>
        <v/>
      </c>
      <c r="K180" s="135" t="str">
        <f>'Закупка'!T180</f>
        <v/>
      </c>
      <c r="L180" s="136" t="str">
        <f>'Закупка'!U180</f>
        <v/>
      </c>
      <c r="M180" s="137" t="str">
        <f>'Закупка'!V180</f>
        <v/>
      </c>
    </row>
    <row r="181" ht="45.0" customHeight="1">
      <c r="A181" s="126" t="str">
        <f>'Закупка'!A181</f>
        <v/>
      </c>
      <c r="B181" s="127" t="str">
        <f>'Закупка'!B181</f>
        <v/>
      </c>
      <c r="C181" s="128" t="str">
        <f>'Закупка'!R181</f>
        <v/>
      </c>
      <c r="D181" s="129" t="str">
        <f t="array" ref="D181">INDEX('Закупка'!G181:K181, $A$2)</f>
        <v/>
      </c>
      <c r="E181" s="130" t="str">
        <f>'Закупка'!F181</f>
        <v/>
      </c>
      <c r="F181" s="131" t="str">
        <f t="shared" si="1"/>
        <v/>
      </c>
      <c r="G181" s="132"/>
      <c r="H181" s="133"/>
      <c r="I181" s="134"/>
      <c r="J181" s="131" t="str">
        <f t="shared" si="2"/>
        <v/>
      </c>
      <c r="K181" s="135" t="str">
        <f>'Закупка'!T181</f>
        <v/>
      </c>
      <c r="L181" s="136" t="str">
        <f>'Закупка'!U181</f>
        <v/>
      </c>
      <c r="M181" s="137" t="str">
        <f>'Закупка'!V181</f>
        <v/>
      </c>
    </row>
    <row r="182" ht="45.0" customHeight="1">
      <c r="A182" s="126" t="str">
        <f>'Закупка'!A182</f>
        <v/>
      </c>
      <c r="B182" s="127" t="str">
        <f>'Закупка'!B182</f>
        <v/>
      </c>
      <c r="C182" s="128" t="str">
        <f>'Закупка'!R182</f>
        <v/>
      </c>
      <c r="D182" s="129" t="str">
        <f t="array" ref="D182">INDEX('Закупка'!G182:K182, $A$2)</f>
        <v/>
      </c>
      <c r="E182" s="130" t="str">
        <f>'Закупка'!F182</f>
        <v/>
      </c>
      <c r="F182" s="131" t="str">
        <f t="shared" si="1"/>
        <v/>
      </c>
      <c r="G182" s="132"/>
      <c r="H182" s="133"/>
      <c r="I182" s="134"/>
      <c r="J182" s="131" t="str">
        <f t="shared" si="2"/>
        <v/>
      </c>
      <c r="K182" s="135" t="str">
        <f>'Закупка'!T182</f>
        <v/>
      </c>
      <c r="L182" s="136" t="str">
        <f>'Закупка'!U182</f>
        <v/>
      </c>
      <c r="M182" s="137" t="str">
        <f>'Закупка'!V182</f>
        <v/>
      </c>
    </row>
    <row r="183" ht="45.0" customHeight="1">
      <c r="A183" s="126" t="str">
        <f>'Закупка'!A183</f>
        <v/>
      </c>
      <c r="B183" s="127" t="str">
        <f>'Закупка'!B183</f>
        <v/>
      </c>
      <c r="C183" s="128" t="str">
        <f>'Закупка'!R183</f>
        <v/>
      </c>
      <c r="D183" s="129" t="str">
        <f t="array" ref="D183">INDEX('Закупка'!G183:K183, $A$2)</f>
        <v/>
      </c>
      <c r="E183" s="130" t="str">
        <f>'Закупка'!F183</f>
        <v/>
      </c>
      <c r="F183" s="131" t="str">
        <f t="shared" si="1"/>
        <v/>
      </c>
      <c r="G183" s="132"/>
      <c r="H183" s="133"/>
      <c r="I183" s="134"/>
      <c r="J183" s="131" t="str">
        <f t="shared" si="2"/>
        <v/>
      </c>
      <c r="K183" s="135" t="str">
        <f>'Закупка'!T183</f>
        <v/>
      </c>
      <c r="L183" s="136" t="str">
        <f>'Закупка'!U183</f>
        <v/>
      </c>
      <c r="M183" s="137" t="str">
        <f>'Закупка'!V183</f>
        <v/>
      </c>
    </row>
    <row r="184" ht="45.0" customHeight="1">
      <c r="A184" s="126" t="str">
        <f>'Закупка'!A184</f>
        <v/>
      </c>
      <c r="B184" s="127" t="str">
        <f>'Закупка'!B184</f>
        <v/>
      </c>
      <c r="C184" s="128" t="str">
        <f>'Закупка'!R184</f>
        <v/>
      </c>
      <c r="D184" s="129" t="str">
        <f t="array" ref="D184">INDEX('Закупка'!G184:K184, $A$2)</f>
        <v/>
      </c>
      <c r="E184" s="130" t="str">
        <f>'Закупка'!F184</f>
        <v/>
      </c>
      <c r="F184" s="131" t="str">
        <f t="shared" si="1"/>
        <v/>
      </c>
      <c r="G184" s="132"/>
      <c r="H184" s="133"/>
      <c r="I184" s="134"/>
      <c r="J184" s="131" t="str">
        <f t="shared" si="2"/>
        <v/>
      </c>
      <c r="K184" s="135" t="str">
        <f>'Закупка'!T184</f>
        <v/>
      </c>
      <c r="L184" s="136" t="str">
        <f>'Закупка'!U184</f>
        <v/>
      </c>
      <c r="M184" s="137" t="str">
        <f>'Закупка'!V184</f>
        <v/>
      </c>
    </row>
    <row r="185" ht="45.0" customHeight="1">
      <c r="A185" s="126" t="str">
        <f>'Закупка'!A185</f>
        <v/>
      </c>
      <c r="B185" s="127" t="str">
        <f>'Закупка'!B185</f>
        <v/>
      </c>
      <c r="C185" s="128" t="str">
        <f>'Закупка'!R185</f>
        <v/>
      </c>
      <c r="D185" s="129" t="str">
        <f t="array" ref="D185">INDEX('Закупка'!G185:K185, $A$2)</f>
        <v/>
      </c>
      <c r="E185" s="130" t="str">
        <f>'Закупка'!F185</f>
        <v/>
      </c>
      <c r="F185" s="131" t="str">
        <f t="shared" si="1"/>
        <v/>
      </c>
      <c r="G185" s="132"/>
      <c r="H185" s="133"/>
      <c r="I185" s="134"/>
      <c r="J185" s="131" t="str">
        <f t="shared" si="2"/>
        <v/>
      </c>
      <c r="K185" s="135" t="str">
        <f>'Закупка'!T185</f>
        <v/>
      </c>
      <c r="L185" s="136" t="str">
        <f>'Закупка'!U185</f>
        <v/>
      </c>
      <c r="M185" s="137" t="str">
        <f>'Закупка'!V185</f>
        <v/>
      </c>
    </row>
    <row r="186" ht="45.0" customHeight="1">
      <c r="A186" s="126" t="str">
        <f>'Закупка'!A186</f>
        <v/>
      </c>
      <c r="B186" s="127" t="str">
        <f>'Закупка'!B186</f>
        <v/>
      </c>
      <c r="C186" s="128" t="str">
        <f>'Закупка'!R186</f>
        <v/>
      </c>
      <c r="D186" s="129" t="str">
        <f t="array" ref="D186">INDEX('Закупка'!G186:K186, $A$2)</f>
        <v/>
      </c>
      <c r="E186" s="130" t="str">
        <f>'Закупка'!F186</f>
        <v/>
      </c>
      <c r="F186" s="131" t="str">
        <f t="shared" si="1"/>
        <v/>
      </c>
      <c r="G186" s="132"/>
      <c r="H186" s="133"/>
      <c r="I186" s="134"/>
      <c r="J186" s="131" t="str">
        <f t="shared" si="2"/>
        <v/>
      </c>
      <c r="K186" s="135" t="str">
        <f>'Закупка'!T186</f>
        <v/>
      </c>
      <c r="L186" s="136" t="str">
        <f>'Закупка'!U186</f>
        <v/>
      </c>
      <c r="M186" s="137" t="str">
        <f>'Закупка'!V186</f>
        <v/>
      </c>
    </row>
    <row r="187" ht="45.0" customHeight="1">
      <c r="A187" s="126" t="str">
        <f>'Закупка'!A187</f>
        <v/>
      </c>
      <c r="B187" s="127" t="str">
        <f>'Закупка'!B187</f>
        <v/>
      </c>
      <c r="C187" s="128" t="str">
        <f>'Закупка'!R187</f>
        <v/>
      </c>
      <c r="D187" s="129" t="str">
        <f t="array" ref="D187">INDEX('Закупка'!G187:K187, $A$2)</f>
        <v/>
      </c>
      <c r="E187" s="130" t="str">
        <f>'Закупка'!F187</f>
        <v/>
      </c>
      <c r="F187" s="131" t="str">
        <f t="shared" si="1"/>
        <v/>
      </c>
      <c r="G187" s="132"/>
      <c r="H187" s="133"/>
      <c r="I187" s="134"/>
      <c r="J187" s="131" t="str">
        <f t="shared" si="2"/>
        <v/>
      </c>
      <c r="K187" s="135" t="str">
        <f>'Закупка'!T187</f>
        <v/>
      </c>
      <c r="L187" s="136" t="str">
        <f>'Закупка'!U187</f>
        <v/>
      </c>
      <c r="M187" s="137" t="str">
        <f>'Закупка'!V187</f>
        <v/>
      </c>
    </row>
    <row r="188" ht="45.0" customHeight="1">
      <c r="A188" s="126" t="str">
        <f>'Закупка'!A188</f>
        <v/>
      </c>
      <c r="B188" s="127" t="str">
        <f>'Закупка'!B188</f>
        <v/>
      </c>
      <c r="C188" s="128" t="str">
        <f>'Закупка'!R188</f>
        <v/>
      </c>
      <c r="D188" s="129" t="str">
        <f t="array" ref="D188">INDEX('Закупка'!G188:K188, $A$2)</f>
        <v/>
      </c>
      <c r="E188" s="130" t="str">
        <f>'Закупка'!F188</f>
        <v/>
      </c>
      <c r="F188" s="131" t="str">
        <f t="shared" si="1"/>
        <v/>
      </c>
      <c r="G188" s="132"/>
      <c r="H188" s="133"/>
      <c r="I188" s="134"/>
      <c r="J188" s="131" t="str">
        <f t="shared" si="2"/>
        <v/>
      </c>
      <c r="K188" s="135" t="str">
        <f>'Закупка'!T188</f>
        <v/>
      </c>
      <c r="L188" s="136" t="str">
        <f>'Закупка'!U188</f>
        <v/>
      </c>
      <c r="M188" s="137" t="str">
        <f>'Закупка'!V188</f>
        <v/>
      </c>
    </row>
    <row r="189" ht="45.0" customHeight="1">
      <c r="A189" s="126" t="str">
        <f>'Закупка'!A189</f>
        <v/>
      </c>
      <c r="B189" s="127" t="str">
        <f>'Закупка'!B189</f>
        <v/>
      </c>
      <c r="C189" s="128" t="str">
        <f>'Закупка'!R189</f>
        <v/>
      </c>
      <c r="D189" s="129" t="str">
        <f t="array" ref="D189">INDEX('Закупка'!G189:K189, $A$2)</f>
        <v/>
      </c>
      <c r="E189" s="130" t="str">
        <f>'Закупка'!F189</f>
        <v/>
      </c>
      <c r="F189" s="131" t="str">
        <f t="shared" si="1"/>
        <v/>
      </c>
      <c r="G189" s="132"/>
      <c r="H189" s="133"/>
      <c r="I189" s="134"/>
      <c r="J189" s="131" t="str">
        <f t="shared" si="2"/>
        <v/>
      </c>
      <c r="K189" s="135" t="str">
        <f>'Закупка'!T189</f>
        <v/>
      </c>
      <c r="L189" s="136" t="str">
        <f>'Закупка'!U189</f>
        <v/>
      </c>
      <c r="M189" s="137" t="str">
        <f>'Закупка'!V189</f>
        <v/>
      </c>
    </row>
    <row r="190" ht="45.0" customHeight="1">
      <c r="A190" s="126" t="str">
        <f>'Закупка'!A190</f>
        <v/>
      </c>
      <c r="B190" s="127" t="str">
        <f>'Закупка'!B190</f>
        <v/>
      </c>
      <c r="C190" s="128" t="str">
        <f>'Закупка'!R190</f>
        <v/>
      </c>
      <c r="D190" s="129" t="str">
        <f t="array" ref="D190">INDEX('Закупка'!G190:K190, $A$2)</f>
        <v/>
      </c>
      <c r="E190" s="130" t="str">
        <f>'Закупка'!F190</f>
        <v/>
      </c>
      <c r="F190" s="131" t="str">
        <f t="shared" si="1"/>
        <v/>
      </c>
      <c r="G190" s="132"/>
      <c r="H190" s="133"/>
      <c r="I190" s="134"/>
      <c r="J190" s="131" t="str">
        <f t="shared" si="2"/>
        <v/>
      </c>
      <c r="K190" s="135" t="str">
        <f>'Закупка'!T190</f>
        <v/>
      </c>
      <c r="L190" s="136" t="str">
        <f>'Закупка'!U190</f>
        <v/>
      </c>
      <c r="M190" s="137" t="str">
        <f>'Закупка'!V190</f>
        <v/>
      </c>
    </row>
    <row r="191" ht="45.0" customHeight="1">
      <c r="A191" s="126" t="str">
        <f>'Закупка'!A191</f>
        <v/>
      </c>
      <c r="B191" s="127" t="str">
        <f>'Закупка'!B191</f>
        <v/>
      </c>
      <c r="C191" s="128" t="str">
        <f>'Закупка'!R191</f>
        <v/>
      </c>
      <c r="D191" s="129" t="str">
        <f t="array" ref="D191">INDEX('Закупка'!G191:K191, $A$2)</f>
        <v/>
      </c>
      <c r="E191" s="130" t="str">
        <f>'Закупка'!F191</f>
        <v/>
      </c>
      <c r="F191" s="131" t="str">
        <f t="shared" si="1"/>
        <v/>
      </c>
      <c r="G191" s="132"/>
      <c r="H191" s="133"/>
      <c r="I191" s="134"/>
      <c r="J191" s="131" t="str">
        <f t="shared" si="2"/>
        <v/>
      </c>
      <c r="K191" s="135" t="str">
        <f>'Закупка'!T191</f>
        <v/>
      </c>
      <c r="L191" s="136" t="str">
        <f>'Закупка'!U191</f>
        <v/>
      </c>
      <c r="M191" s="137" t="str">
        <f>'Закупка'!V191</f>
        <v/>
      </c>
    </row>
    <row r="192" ht="45.0" customHeight="1">
      <c r="A192" s="126" t="str">
        <f>'Закупка'!A192</f>
        <v/>
      </c>
      <c r="B192" s="127" t="str">
        <f>'Закупка'!B192</f>
        <v/>
      </c>
      <c r="C192" s="128" t="str">
        <f>'Закупка'!R192</f>
        <v/>
      </c>
      <c r="D192" s="129" t="str">
        <f t="array" ref="D192">INDEX('Закупка'!G192:K192, $A$2)</f>
        <v/>
      </c>
      <c r="E192" s="130" t="str">
        <f>'Закупка'!F192</f>
        <v/>
      </c>
      <c r="F192" s="131" t="str">
        <f t="shared" si="1"/>
        <v/>
      </c>
      <c r="G192" s="132"/>
      <c r="H192" s="133"/>
      <c r="I192" s="134"/>
      <c r="J192" s="131" t="str">
        <f t="shared" si="2"/>
        <v/>
      </c>
      <c r="K192" s="135" t="str">
        <f>'Закупка'!T192</f>
        <v/>
      </c>
      <c r="L192" s="136" t="str">
        <f>'Закупка'!U192</f>
        <v/>
      </c>
      <c r="M192" s="137" t="str">
        <f>'Закупка'!V192</f>
        <v/>
      </c>
    </row>
    <row r="193" ht="45.0" customHeight="1">
      <c r="A193" s="126" t="str">
        <f>'Закупка'!A193</f>
        <v/>
      </c>
      <c r="B193" s="127" t="str">
        <f>'Закупка'!B193</f>
        <v/>
      </c>
      <c r="C193" s="128" t="str">
        <f>'Закупка'!R193</f>
        <v/>
      </c>
      <c r="D193" s="129" t="str">
        <f t="array" ref="D193">INDEX('Закупка'!G193:K193, $A$2)</f>
        <v/>
      </c>
      <c r="E193" s="130" t="str">
        <f>'Закупка'!F193</f>
        <v/>
      </c>
      <c r="F193" s="131" t="str">
        <f t="shared" si="1"/>
        <v/>
      </c>
      <c r="G193" s="132"/>
      <c r="H193" s="133"/>
      <c r="I193" s="134"/>
      <c r="J193" s="131" t="str">
        <f t="shared" si="2"/>
        <v/>
      </c>
      <c r="K193" s="135" t="str">
        <f>'Закупка'!T193</f>
        <v/>
      </c>
      <c r="L193" s="136" t="str">
        <f>'Закупка'!U193</f>
        <v/>
      </c>
      <c r="M193" s="137" t="str">
        <f>'Закупка'!V193</f>
        <v/>
      </c>
    </row>
    <row r="194" ht="45.0" customHeight="1">
      <c r="A194" s="126" t="str">
        <f>'Закупка'!A194</f>
        <v/>
      </c>
      <c r="B194" s="127" t="str">
        <f>'Закупка'!B194</f>
        <v/>
      </c>
      <c r="C194" s="128" t="str">
        <f>'Закупка'!R194</f>
        <v/>
      </c>
      <c r="D194" s="129" t="str">
        <f t="array" ref="D194">INDEX('Закупка'!G194:K194, $A$2)</f>
        <v/>
      </c>
      <c r="E194" s="130" t="str">
        <f>'Закупка'!F194</f>
        <v/>
      </c>
      <c r="F194" s="131" t="str">
        <f t="shared" si="1"/>
        <v/>
      </c>
      <c r="G194" s="132"/>
      <c r="H194" s="133"/>
      <c r="I194" s="134"/>
      <c r="J194" s="131" t="str">
        <f t="shared" si="2"/>
        <v/>
      </c>
      <c r="K194" s="135" t="str">
        <f>'Закупка'!T194</f>
        <v/>
      </c>
      <c r="L194" s="136" t="str">
        <f>'Закупка'!U194</f>
        <v/>
      </c>
      <c r="M194" s="137" t="str">
        <f>'Закупка'!V194</f>
        <v/>
      </c>
    </row>
    <row r="195" ht="45.0" customHeight="1">
      <c r="A195" s="126" t="str">
        <f>'Закупка'!A195</f>
        <v/>
      </c>
      <c r="B195" s="127" t="str">
        <f>'Закупка'!B195</f>
        <v/>
      </c>
      <c r="C195" s="128" t="str">
        <f>'Закупка'!R195</f>
        <v/>
      </c>
      <c r="D195" s="129" t="str">
        <f t="array" ref="D195">INDEX('Закупка'!G195:K195, $A$2)</f>
        <v/>
      </c>
      <c r="E195" s="130" t="str">
        <f>'Закупка'!F195</f>
        <v/>
      </c>
      <c r="F195" s="131" t="str">
        <f t="shared" si="1"/>
        <v/>
      </c>
      <c r="G195" s="132"/>
      <c r="H195" s="133"/>
      <c r="I195" s="134"/>
      <c r="J195" s="131" t="str">
        <f t="shared" si="2"/>
        <v/>
      </c>
      <c r="K195" s="135" t="str">
        <f>'Закупка'!T195</f>
        <v/>
      </c>
      <c r="L195" s="136" t="str">
        <f>'Закупка'!U195</f>
        <v/>
      </c>
      <c r="M195" s="137" t="str">
        <f>'Закупка'!V195</f>
        <v/>
      </c>
    </row>
    <row r="196" ht="45.0" customHeight="1">
      <c r="A196" s="126" t="str">
        <f>'Закупка'!A196</f>
        <v/>
      </c>
      <c r="B196" s="127" t="str">
        <f>'Закупка'!B196</f>
        <v/>
      </c>
      <c r="C196" s="128" t="str">
        <f>'Закупка'!R196</f>
        <v/>
      </c>
      <c r="D196" s="129" t="str">
        <f t="array" ref="D196">INDEX('Закупка'!G196:K196, $A$2)</f>
        <v/>
      </c>
      <c r="E196" s="130" t="str">
        <f>'Закупка'!F196</f>
        <v/>
      </c>
      <c r="F196" s="131" t="str">
        <f t="shared" si="1"/>
        <v/>
      </c>
      <c r="G196" s="132"/>
      <c r="H196" s="133"/>
      <c r="I196" s="134"/>
      <c r="J196" s="131" t="str">
        <f t="shared" si="2"/>
        <v/>
      </c>
      <c r="K196" s="135" t="str">
        <f>'Закупка'!T196</f>
        <v/>
      </c>
      <c r="L196" s="136" t="str">
        <f>'Закупка'!U196</f>
        <v/>
      </c>
      <c r="M196" s="137" t="str">
        <f>'Закупка'!V196</f>
        <v/>
      </c>
    </row>
    <row r="197" ht="45.0" customHeight="1">
      <c r="A197" s="138" t="str">
        <f>'Закупка'!A197</f>
        <v/>
      </c>
      <c r="B197" s="127" t="str">
        <f>'Закупка'!B197</f>
        <v/>
      </c>
      <c r="C197" s="128" t="str">
        <f>'Закупка'!R197</f>
        <v/>
      </c>
      <c r="D197" s="129" t="str">
        <f t="array" ref="D197">INDEX('Закупка'!G197:K197, $A$2)</f>
        <v/>
      </c>
      <c r="E197" s="139" t="str">
        <f>'Закупка'!F197</f>
        <v/>
      </c>
      <c r="F197" s="131" t="str">
        <f t="shared" si="1"/>
        <v/>
      </c>
      <c r="G197" s="132"/>
      <c r="H197" s="133"/>
      <c r="I197" s="134"/>
      <c r="J197" s="131" t="str">
        <f t="shared" si="2"/>
        <v/>
      </c>
      <c r="K197" s="135" t="str">
        <f>'Закупка'!T197</f>
        <v/>
      </c>
      <c r="L197" s="136" t="str">
        <f>'Закупка'!U197</f>
        <v/>
      </c>
      <c r="M197" s="137" t="str">
        <f>'Закупка'!V197</f>
        <v/>
      </c>
    </row>
    <row r="198" ht="45.0" customHeight="1">
      <c r="A198" s="138" t="str">
        <f>'Закупка'!A198</f>
        <v/>
      </c>
      <c r="B198" s="127" t="str">
        <f>'Закупка'!B198</f>
        <v/>
      </c>
      <c r="C198" s="128" t="str">
        <f>'Закупка'!R198</f>
        <v/>
      </c>
      <c r="D198" s="129" t="str">
        <f t="array" ref="D198">INDEX('Закупка'!G198:K198, $A$2)</f>
        <v/>
      </c>
      <c r="E198" s="139" t="str">
        <f>'Закупка'!F198</f>
        <v/>
      </c>
      <c r="F198" s="131" t="str">
        <f t="shared" si="1"/>
        <v/>
      </c>
      <c r="G198" s="132"/>
      <c r="H198" s="133"/>
      <c r="I198" s="134"/>
      <c r="J198" s="131" t="str">
        <f t="shared" si="2"/>
        <v/>
      </c>
      <c r="K198" s="135" t="str">
        <f>'Закупка'!T198</f>
        <v/>
      </c>
      <c r="L198" s="136" t="str">
        <f>'Закупка'!U198</f>
        <v/>
      </c>
      <c r="M198" s="137" t="str">
        <f>'Закупка'!V198</f>
        <v/>
      </c>
    </row>
    <row r="199" ht="45.0" customHeight="1">
      <c r="A199" s="138" t="str">
        <f>'Закупка'!A199</f>
        <v/>
      </c>
      <c r="B199" s="127" t="str">
        <f>'Закупка'!B199</f>
        <v/>
      </c>
      <c r="C199" s="128" t="str">
        <f>'Закупка'!R199</f>
        <v/>
      </c>
      <c r="D199" s="129" t="str">
        <f t="array" ref="D199">INDEX('Закупка'!G199:K199, $A$2)</f>
        <v/>
      </c>
      <c r="E199" s="139" t="str">
        <f>'Закупка'!F199</f>
        <v/>
      </c>
      <c r="F199" s="131" t="str">
        <f t="shared" si="1"/>
        <v/>
      </c>
      <c r="G199" s="132"/>
      <c r="H199" s="133"/>
      <c r="I199" s="134"/>
      <c r="J199" s="131" t="str">
        <f t="shared" si="2"/>
        <v/>
      </c>
      <c r="K199" s="135" t="str">
        <f>'Закупка'!T199</f>
        <v/>
      </c>
      <c r="L199" s="136" t="str">
        <f>'Закупка'!U199</f>
        <v/>
      </c>
      <c r="M199" s="137"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46"/>
      <c r="B1" s="147">
        <v>45736.0</v>
      </c>
      <c r="C1" s="148" t="s">
        <v>10</v>
      </c>
      <c r="D1" s="149" t="s">
        <v>5</v>
      </c>
      <c r="G1" s="150" t="s">
        <v>6</v>
      </c>
      <c r="J1" s="149" t="s">
        <v>7</v>
      </c>
      <c r="M1" s="150" t="s">
        <v>8</v>
      </c>
      <c r="P1" s="149" t="s">
        <v>9</v>
      </c>
      <c r="S1" s="150" t="s">
        <v>189</v>
      </c>
      <c r="V1" s="149" t="s">
        <v>190</v>
      </c>
      <c r="X1" s="151" t="s">
        <v>191</v>
      </c>
      <c r="Y1" s="152" t="s">
        <v>192</v>
      </c>
      <c r="AA1" s="153" t="s">
        <v>193</v>
      </c>
      <c r="AE1" s="153"/>
    </row>
    <row r="2" ht="41.25" customHeight="1">
      <c r="A2" s="1"/>
      <c r="B2" s="2" t="s">
        <v>0</v>
      </c>
      <c r="D2" s="154" t="s">
        <v>194</v>
      </c>
      <c r="E2" s="154" t="s">
        <v>195</v>
      </c>
      <c r="F2" s="155" t="s">
        <v>196</v>
      </c>
      <c r="G2" s="156" t="s">
        <v>194</v>
      </c>
      <c r="H2" s="156" t="s">
        <v>195</v>
      </c>
      <c r="I2" s="157" t="s">
        <v>196</v>
      </c>
      <c r="J2" s="154" t="s">
        <v>194</v>
      </c>
      <c r="K2" s="154" t="s">
        <v>195</v>
      </c>
      <c r="L2" s="155" t="s">
        <v>196</v>
      </c>
      <c r="M2" s="156" t="s">
        <v>194</v>
      </c>
      <c r="N2" s="156" t="s">
        <v>195</v>
      </c>
      <c r="O2" s="157" t="s">
        <v>196</v>
      </c>
      <c r="P2" s="154" t="s">
        <v>194</v>
      </c>
      <c r="Q2" s="154" t="s">
        <v>195</v>
      </c>
      <c r="R2" s="155" t="s">
        <v>196</v>
      </c>
      <c r="S2" s="158" t="s">
        <v>197</v>
      </c>
      <c r="T2" s="158" t="s">
        <v>198</v>
      </c>
      <c r="U2" s="159" t="s">
        <v>4</v>
      </c>
      <c r="V2" s="160" t="s">
        <v>199</v>
      </c>
      <c r="W2" s="160" t="s">
        <v>200</v>
      </c>
      <c r="Y2" s="13" t="s">
        <v>13</v>
      </c>
      <c r="Z2" s="14" t="s">
        <v>14</v>
      </c>
      <c r="AA2" s="161" t="s">
        <v>15</v>
      </c>
      <c r="AB2" s="161" t="s">
        <v>17</v>
      </c>
      <c r="AC2" s="161" t="s">
        <v>16</v>
      </c>
      <c r="AD2" s="162" t="s">
        <v>20</v>
      </c>
      <c r="AE2" s="162"/>
    </row>
    <row r="3">
      <c r="A3" s="98" t="str">
        <f>'Закупка'!A3</f>
        <v/>
      </c>
      <c r="B3" s="81" t="str">
        <f>'Закупка'!B3</f>
        <v>Фактура 1</v>
      </c>
      <c r="C3" s="163" t="str">
        <f>'Закупка'!L3</f>
        <v/>
      </c>
      <c r="D3" s="164" t="str">
        <f>'Закупка'!G3</f>
        <v/>
      </c>
      <c r="E3" s="163" t="str">
        <f>Muntaner!G3</f>
        <v/>
      </c>
      <c r="F3" s="165" t="str">
        <f>Muntaner!H3</f>
        <v/>
      </c>
      <c r="G3" s="164" t="str">
        <f>'Закупка'!H3</f>
        <v/>
      </c>
      <c r="H3" s="163" t="str">
        <f>Plaza!G3</f>
        <v/>
      </c>
      <c r="I3" s="165" t="str">
        <f>Plaza!H3</f>
        <v/>
      </c>
      <c r="J3" s="164" t="str">
        <f>'Закупка'!I3</f>
        <v/>
      </c>
      <c r="K3" s="163" t="str">
        <f>Augusta!G3</f>
        <v/>
      </c>
      <c r="L3" s="165" t="str">
        <f>Augusta!H3</f>
        <v/>
      </c>
      <c r="M3" s="164" t="str">
        <f>'Закупка'!J3</f>
        <v/>
      </c>
      <c r="N3" s="163" t="str">
        <f>Gloria!G3</f>
        <v/>
      </c>
      <c r="O3" s="165" t="str">
        <f>Gloria!H3</f>
        <v/>
      </c>
      <c r="P3" s="164" t="str">
        <f>'Закупка'!K3</f>
        <v/>
      </c>
      <c r="Q3" s="163" t="str">
        <f>Blau!G3</f>
        <v/>
      </c>
      <c r="R3" s="165" t="str">
        <f>Blau!H3</f>
        <v/>
      </c>
      <c r="S3" s="166" t="str">
        <f>'Закупка'!E3</f>
        <v/>
      </c>
      <c r="T3" s="166" t="str">
        <f t="shared" ref="T3:T193" si="1">IF(E3+H3+K3+N3+Q3=0, "", E3+H3+K3+N3+Q3)</f>
        <v/>
      </c>
      <c r="U3" s="34" t="str">
        <f>'Закупка'!F3</f>
        <v/>
      </c>
      <c r="V3" s="167" t="str">
        <f>'Закупка'!O3</f>
        <v/>
      </c>
      <c r="W3" s="167" t="str">
        <f t="shared" ref="W3:W193" si="2">IF(F3+I3+L3+O3+R3=0, "", F3+I3+L3+O3+R3)</f>
        <v/>
      </c>
      <c r="X3" s="168"/>
      <c r="Y3" s="169" t="str">
        <f>'Закупка'!P3</f>
        <v/>
      </c>
      <c r="Z3" s="170" t="str">
        <f>'Закупка'!Q3</f>
        <v/>
      </c>
      <c r="AA3" s="171" t="str">
        <f>'Закупка'!R3</f>
        <v/>
      </c>
      <c r="AB3" s="172" t="str">
        <f>'Закупка'!T3</f>
        <v/>
      </c>
      <c r="AC3" s="173" t="str">
        <f>'Закупка'!S3</f>
        <v/>
      </c>
      <c r="AD3" s="174" t="str">
        <f>'Закупка'!W3</f>
        <v/>
      </c>
      <c r="AE3" s="87" t="str">
        <f>'Закупка'!Y3</f>
        <v/>
      </c>
    </row>
    <row r="4">
      <c r="A4" s="98" t="str">
        <f>'Закупка'!A4</f>
        <v>1.1</v>
      </c>
      <c r="B4" s="81" t="str">
        <f>'Закупка'!B4</f>
        <v>RANUNCULUS CLOONEY TUAREQ</v>
      </c>
      <c r="C4" s="163" t="str">
        <f>'Закупка'!L4</f>
        <v/>
      </c>
      <c r="D4" s="164" t="str">
        <f>'Закупка'!G4</f>
        <v/>
      </c>
      <c r="E4" s="163" t="str">
        <f>Muntaner!G4</f>
        <v/>
      </c>
      <c r="F4" s="165" t="str">
        <f>Muntaner!H4</f>
        <v/>
      </c>
      <c r="G4" s="164" t="str">
        <f>'Закупка'!H4</f>
        <v/>
      </c>
      <c r="H4" s="163" t="str">
        <f>Plaza!G4</f>
        <v/>
      </c>
      <c r="I4" s="165" t="str">
        <f>Plaza!H4</f>
        <v/>
      </c>
      <c r="J4" s="164" t="str">
        <f>'Закупка'!I4</f>
        <v/>
      </c>
      <c r="K4" s="163" t="str">
        <f>Augusta!G4</f>
        <v/>
      </c>
      <c r="L4" s="165" t="str">
        <f>Augusta!H4</f>
        <v/>
      </c>
      <c r="M4" s="164">
        <f>'Закупка'!J4</f>
        <v>3</v>
      </c>
      <c r="N4" s="163">
        <f>Gloria!G4</f>
        <v>3</v>
      </c>
      <c r="O4" s="165">
        <f>Gloria!H4</f>
        <v>30</v>
      </c>
      <c r="P4" s="164" t="str">
        <f>'Закупка'!K4</f>
        <v/>
      </c>
      <c r="Q4" s="163" t="str">
        <f>Blau!G4</f>
        <v/>
      </c>
      <c r="R4" s="165" t="str">
        <f>Blau!H4</f>
        <v/>
      </c>
      <c r="S4" s="166">
        <f>'Закупка'!E4</f>
        <v>3</v>
      </c>
      <c r="T4" s="166">
        <f t="shared" si="1"/>
        <v>3</v>
      </c>
      <c r="U4" s="34" t="str">
        <f>'Закупка'!F4</f>
        <v>10</v>
      </c>
      <c r="V4" s="167">
        <f>'Закупка'!O4</f>
        <v>30</v>
      </c>
      <c r="W4" s="167">
        <f t="shared" si="2"/>
        <v>30</v>
      </c>
      <c r="X4" s="168"/>
      <c r="Y4" s="169">
        <f>'Закупка'!P4</f>
        <v>3</v>
      </c>
      <c r="Z4" s="170">
        <f>'Закупка'!Q4</f>
        <v>2.999997</v>
      </c>
      <c r="AA4" s="171" t="str">
        <f>'Закупка'!R4</f>
        <v/>
      </c>
      <c r="AB4" s="172">
        <f>'Закупка'!T4</f>
        <v>8400518</v>
      </c>
      <c r="AC4" s="173" t="str">
        <f>'Закупка'!S4</f>
        <v>8400518 - RANUNCULUS - Butterfly - flor ( RANUBUBL, RANUBUSA, 174946, 147132, 126830)</v>
      </c>
      <c r="AD4" s="175" t="str">
        <f>'Закупка'!W4</f>
        <v>https://drive.google.com/uc?export=view&amp;id=1mbmVjM82bGnM8nxdZnDYmJjSQLnHiol0</v>
      </c>
      <c r="AE4" s="87" t="str">
        <f>'Закупка'!Y4</f>
        <v/>
      </c>
    </row>
    <row r="5">
      <c r="A5" s="98" t="str">
        <f>'Закупка'!A5</f>
        <v>1.2</v>
      </c>
      <c r="B5" s="81" t="str">
        <f>'Закупка'!B5</f>
        <v>RANUNCULUS CLOONEY GRAND PASTEL</v>
      </c>
      <c r="C5" s="163" t="str">
        <f>'Закупка'!L5</f>
        <v/>
      </c>
      <c r="D5" s="164" t="str">
        <f>'Закупка'!G5</f>
        <v/>
      </c>
      <c r="E5" s="163" t="str">
        <f>Muntaner!G5</f>
        <v/>
      </c>
      <c r="F5" s="165" t="str">
        <f>Muntaner!H5</f>
        <v/>
      </c>
      <c r="G5" s="164" t="str">
        <f>'Закупка'!H5</f>
        <v/>
      </c>
      <c r="H5" s="163" t="str">
        <f>Plaza!G5</f>
        <v/>
      </c>
      <c r="I5" s="165" t="str">
        <f>Plaza!H5</f>
        <v/>
      </c>
      <c r="J5" s="164" t="str">
        <f>'Закупка'!I5</f>
        <v/>
      </c>
      <c r="K5" s="163" t="str">
        <f>Augusta!G5</f>
        <v/>
      </c>
      <c r="L5" s="165" t="str">
        <f>Augusta!H5</f>
        <v/>
      </c>
      <c r="M5" s="164" t="str">
        <f>'Закупка'!J5</f>
        <v/>
      </c>
      <c r="N5" s="163" t="str">
        <f>Gloria!G5</f>
        <v/>
      </c>
      <c r="O5" s="165" t="str">
        <f>Gloria!H5</f>
        <v/>
      </c>
      <c r="P5" s="164">
        <f>'Закупка'!K5</f>
        <v>6</v>
      </c>
      <c r="Q5" s="163">
        <f>Blau!G5</f>
        <v>6</v>
      </c>
      <c r="R5" s="165">
        <f>Blau!H5</f>
        <v>48</v>
      </c>
      <c r="S5" s="166">
        <f>'Закупка'!E5</f>
        <v>6</v>
      </c>
      <c r="T5" s="166">
        <f t="shared" si="1"/>
        <v>6</v>
      </c>
      <c r="U5" s="34" t="str">
        <f>'Закупка'!F5</f>
        <v>10</v>
      </c>
      <c r="V5" s="167">
        <f>'Закупка'!O5</f>
        <v>60</v>
      </c>
      <c r="W5" s="167">
        <f t="shared" si="2"/>
        <v>48</v>
      </c>
      <c r="X5" s="168"/>
      <c r="Y5" s="169">
        <f>'Закупка'!P5</f>
        <v>3</v>
      </c>
      <c r="Z5" s="170">
        <f>'Закупка'!Q5</f>
        <v>2.999997</v>
      </c>
      <c r="AA5" s="171" t="str">
        <f>'Закупка'!R5</f>
        <v/>
      </c>
      <c r="AB5" s="172">
        <f>'Закупка'!T5</f>
        <v>8400518</v>
      </c>
      <c r="AC5" s="173" t="str">
        <f>'Закупка'!S5</f>
        <v>8400518 - RANUNCULUS - Butterfly - flor ( RANUBUBL, RANUBUSA, 174946, 147132, 126830)</v>
      </c>
      <c r="AD5" s="175" t="str">
        <f>'Закупка'!W5</f>
        <v>https://drive.google.com/uc?export=view&amp;id=1mbmVjM82bGnM8nxdZnDYmJjSQLnHiol0</v>
      </c>
      <c r="AE5" s="87" t="str">
        <f>'Закупка'!Y5</f>
        <v/>
      </c>
    </row>
    <row r="6">
      <c r="A6" s="98" t="str">
        <f>'Закупка'!A6</f>
        <v>1.3</v>
      </c>
      <c r="B6" s="81" t="str">
        <f>'Закупка'!B6</f>
        <v>ALSTROEMERIA SI SOFIENA</v>
      </c>
      <c r="C6" s="163" t="str">
        <f>'Закупка'!L6</f>
        <v/>
      </c>
      <c r="D6" s="164" t="str">
        <f>'Закупка'!G6</f>
        <v/>
      </c>
      <c r="E6" s="163" t="str">
        <f>Muntaner!G6</f>
        <v/>
      </c>
      <c r="F6" s="165" t="str">
        <f>Muntaner!H6</f>
        <v/>
      </c>
      <c r="G6" s="164">
        <f>'Закупка'!H6</f>
        <v>2</v>
      </c>
      <c r="H6" s="163">
        <f>Plaza!G6</f>
        <v>2</v>
      </c>
      <c r="I6" s="165">
        <f>Plaza!H6</f>
        <v>20</v>
      </c>
      <c r="J6" s="164" t="str">
        <f>'Закупка'!I6</f>
        <v/>
      </c>
      <c r="K6" s="163" t="str">
        <f>Augusta!G6</f>
        <v/>
      </c>
      <c r="L6" s="165" t="str">
        <f>Augusta!H6</f>
        <v/>
      </c>
      <c r="M6" s="164">
        <f>'Закупка'!J6</f>
        <v>2</v>
      </c>
      <c r="N6" s="163">
        <f>Gloria!G6</f>
        <v>2</v>
      </c>
      <c r="O6" s="165">
        <f>Gloria!H6</f>
        <v>20</v>
      </c>
      <c r="P6" s="164">
        <f>'Закупка'!K6</f>
        <v>2</v>
      </c>
      <c r="Q6" s="163">
        <f>Blau!G6</f>
        <v>2</v>
      </c>
      <c r="R6" s="165">
        <f>Blau!H6</f>
        <v>18</v>
      </c>
      <c r="S6" s="166">
        <f>'Закупка'!E6</f>
        <v>6</v>
      </c>
      <c r="T6" s="166">
        <f t="shared" si="1"/>
        <v>6</v>
      </c>
      <c r="U6" s="34" t="str">
        <f>'Закупка'!F6</f>
        <v>10</v>
      </c>
      <c r="V6" s="167">
        <f>'Закупка'!O6</f>
        <v>60</v>
      </c>
      <c r="W6" s="167">
        <f t="shared" si="2"/>
        <v>58</v>
      </c>
      <c r="X6" s="168"/>
      <c r="Y6" s="169" t="str">
        <f>'Закупка'!P6</f>
        <v/>
      </c>
      <c r="Z6" s="170">
        <f>'Закупка'!Q6</f>
        <v>2.999997</v>
      </c>
      <c r="AA6" s="171" t="str">
        <f>'Закупка'!R6</f>
        <v/>
      </c>
      <c r="AB6" s="172">
        <f>'Закупка'!T6</f>
        <v>8400154</v>
      </c>
      <c r="AC6" s="173" t="str">
        <f>'Закупка'!S6</f>
        <v>8400154 - ALSTROEMERIA - flor (00027, 11920, 146548, 148465, ALS VA, 148462, 148466, 11920, ALS-P, 137896, 137077, 137894, 148289, 148469, ALSTROEMERIES ALSTROEMERIA, ALSP, 11920)</v>
      </c>
      <c r="AD6" s="175" t="str">
        <f>'Закупка'!W6</f>
        <v>https://drive.google.com/uc?export=view&amp;id=1hD_EIkM8w5p_WtnrcMdhYX6szEYoVelf</v>
      </c>
      <c r="AE6" s="87" t="str">
        <f>'Закупка'!Y6</f>
        <v/>
      </c>
    </row>
    <row r="7">
      <c r="A7" s="98" t="str">
        <f>'Закупка'!A7</f>
        <v>1.4</v>
      </c>
      <c r="B7" s="81" t="str">
        <f>'Закупка'!B7</f>
        <v>ROSA LARGE BELLE ROSE</v>
      </c>
      <c r="C7" s="163" t="str">
        <f>'Закупка'!L7</f>
        <v/>
      </c>
      <c r="D7" s="164" t="str">
        <f>'Закупка'!G7</f>
        <v/>
      </c>
      <c r="E7" s="163" t="str">
        <f>Muntaner!G7</f>
        <v/>
      </c>
      <c r="F7" s="165" t="str">
        <f>Muntaner!H7</f>
        <v/>
      </c>
      <c r="G7" s="164" t="str">
        <f>'Закупка'!H7</f>
        <v/>
      </c>
      <c r="H7" s="163" t="str">
        <f>Plaza!G7</f>
        <v/>
      </c>
      <c r="I7" s="165" t="str">
        <f>Plaza!H7</f>
        <v/>
      </c>
      <c r="J7" s="164" t="str">
        <f>'Закупка'!I7</f>
        <v/>
      </c>
      <c r="K7" s="163" t="str">
        <f>Augusta!G7</f>
        <v/>
      </c>
      <c r="L7" s="165" t="str">
        <f>Augusta!H7</f>
        <v/>
      </c>
      <c r="M7" s="164" t="str">
        <f>'Закупка'!J7</f>
        <v/>
      </c>
      <c r="N7" s="163" t="str">
        <f>Gloria!G7</f>
        <v/>
      </c>
      <c r="O7" s="165" t="str">
        <f>Gloria!H7</f>
        <v/>
      </c>
      <c r="P7" s="164">
        <f>'Закупка'!K7</f>
        <v>6</v>
      </c>
      <c r="Q7" s="163">
        <f>Blau!G7</f>
        <v>6</v>
      </c>
      <c r="R7" s="165">
        <f>Blau!H7</f>
        <v>60</v>
      </c>
      <c r="S7" s="166">
        <f>'Закупка'!E7</f>
        <v>6</v>
      </c>
      <c r="T7" s="166">
        <f t="shared" si="1"/>
        <v>6</v>
      </c>
      <c r="U7" s="34" t="str">
        <f>'Закупка'!F7</f>
        <v>10</v>
      </c>
      <c r="V7" s="167">
        <f>'Закупка'!O7</f>
        <v>60</v>
      </c>
      <c r="W7" s="167">
        <f t="shared" si="2"/>
        <v>60</v>
      </c>
      <c r="X7" s="168"/>
      <c r="Y7" s="169">
        <f>'Закупка'!P7</f>
        <v>2</v>
      </c>
      <c r="Z7" s="170">
        <f>'Закупка'!Q7</f>
        <v>1.999998</v>
      </c>
      <c r="AA7" s="171" t="str">
        <f>'Закупка'!R7</f>
        <v/>
      </c>
      <c r="AB7" s="172">
        <f>'Закупка'!T7</f>
        <v>8400731</v>
      </c>
      <c r="AC7" s="173" t="str">
        <f>'Закупка'!S7</f>
        <v>8400731 - RS ROSA LA BELLE LOLOMARIK - flor (181496)</v>
      </c>
      <c r="AD7" s="175" t="str">
        <f>'Закупка'!W7</f>
        <v>https://drive.google.com/uc?export=view&amp;id=1fUhUDsiSHWrleyP7h5w_2pEpagbWza0G</v>
      </c>
      <c r="AE7" s="87" t="str">
        <f>'Закупка'!Y7</f>
        <v/>
      </c>
    </row>
    <row r="8">
      <c r="A8" s="98" t="str">
        <f>'Закупка'!A8</f>
        <v>1.5</v>
      </c>
      <c r="B8" s="81" t="str">
        <f>'Закупка'!B8</f>
        <v>ROSA GARDEN PRISCILLA!</v>
      </c>
      <c r="C8" s="163" t="str">
        <f>'Закупка'!L8</f>
        <v/>
      </c>
      <c r="D8" s="164" t="str">
        <f>'Закупка'!G8</f>
        <v/>
      </c>
      <c r="E8" s="163" t="str">
        <f>Muntaner!G8</f>
        <v/>
      </c>
      <c r="F8" s="165" t="str">
        <f>Muntaner!H8</f>
        <v/>
      </c>
      <c r="G8" s="164" t="str">
        <f>'Закупка'!H8</f>
        <v/>
      </c>
      <c r="H8" s="163" t="str">
        <f>Plaza!G8</f>
        <v/>
      </c>
      <c r="I8" s="165" t="str">
        <f>Plaza!H8</f>
        <v/>
      </c>
      <c r="J8" s="164" t="str">
        <f>'Закупка'!I8</f>
        <v/>
      </c>
      <c r="K8" s="163" t="str">
        <f>Augusta!G8</f>
        <v/>
      </c>
      <c r="L8" s="165" t="str">
        <f>Augusta!H8</f>
        <v/>
      </c>
      <c r="M8" s="164">
        <f>'Закупка'!J8</f>
        <v>2</v>
      </c>
      <c r="N8" s="163">
        <f>Gloria!G8</f>
        <v>2</v>
      </c>
      <c r="O8" s="165">
        <f>Gloria!H8</f>
        <v>10</v>
      </c>
      <c r="P8" s="164">
        <f>'Закупка'!K8</f>
        <v>4</v>
      </c>
      <c r="Q8" s="163">
        <f>Blau!G8</f>
        <v>4</v>
      </c>
      <c r="R8" s="165">
        <f>Blau!H8</f>
        <v>20</v>
      </c>
      <c r="S8" s="166">
        <f>'Закупка'!E8</f>
        <v>6</v>
      </c>
      <c r="T8" s="166">
        <f t="shared" si="1"/>
        <v>6</v>
      </c>
      <c r="U8" s="34" t="str">
        <f>'Закупка'!F8</f>
        <v>5</v>
      </c>
      <c r="V8" s="167">
        <f>'Закупка'!O8</f>
        <v>30</v>
      </c>
      <c r="W8" s="167">
        <f t="shared" si="2"/>
        <v>30</v>
      </c>
      <c r="X8" s="168"/>
      <c r="Y8" s="169" t="str">
        <f>'Закупка'!P8</f>
        <v/>
      </c>
      <c r="Z8" s="170">
        <f>'Закупка'!Q8</f>
        <v>2.999997</v>
      </c>
      <c r="AA8" s="171" t="str">
        <f>'Закупка'!R8</f>
        <v/>
      </c>
      <c r="AB8" s="172">
        <f>'Закупка'!T8</f>
        <v>84001081</v>
      </c>
      <c r="AC8" s="173" t="str">
        <f>'Закупка'!S8</f>
        <v>84001081 - ROSA PRISCILLA - flor ()</v>
      </c>
      <c r="AD8" s="175" t="str">
        <f>'Закупка'!W8</f>
        <v>https://drive.google.com/uc?export=view&amp;id=1dI4YSHY8sPn-AzvYOdjKrrjGMV26hEE0</v>
      </c>
      <c r="AE8" s="87" t="str">
        <f>'Закупка'!Y8</f>
        <v/>
      </c>
    </row>
    <row r="9">
      <c r="A9" s="98" t="str">
        <f>'Закупка'!A9</f>
        <v>1.6</v>
      </c>
      <c r="B9" s="81" t="str">
        <f>'Закупка'!B9</f>
        <v>ROSA GARDEN MIX UHURU</v>
      </c>
      <c r="C9" s="163" t="str">
        <f>'Закупка'!L9</f>
        <v/>
      </c>
      <c r="D9" s="164" t="str">
        <f>'Закупка'!G9</f>
        <v/>
      </c>
      <c r="E9" s="163" t="str">
        <f>Muntaner!G9</f>
        <v/>
      </c>
      <c r="F9" s="165" t="str">
        <f>Muntaner!H9</f>
        <v/>
      </c>
      <c r="G9" s="164" t="str">
        <f>'Закупка'!H9</f>
        <v/>
      </c>
      <c r="H9" s="163" t="str">
        <f>Plaza!G9</f>
        <v/>
      </c>
      <c r="I9" s="165" t="str">
        <f>Plaza!H9</f>
        <v/>
      </c>
      <c r="J9" s="164" t="str">
        <f>'Закупка'!I9</f>
        <v/>
      </c>
      <c r="K9" s="163" t="str">
        <f>Augusta!G9</f>
        <v/>
      </c>
      <c r="L9" s="165" t="str">
        <f>Augusta!H9</f>
        <v/>
      </c>
      <c r="M9" s="164" t="str">
        <f>'Закупка'!J9</f>
        <v/>
      </c>
      <c r="N9" s="163" t="str">
        <f>Gloria!G9</f>
        <v/>
      </c>
      <c r="O9" s="165" t="str">
        <f>Gloria!H9</f>
        <v/>
      </c>
      <c r="P9" s="164">
        <f>'Закупка'!K9</f>
        <v>8</v>
      </c>
      <c r="Q9" s="163">
        <f>Blau!G9</f>
        <v>8</v>
      </c>
      <c r="R9" s="165">
        <f>Blau!H9</f>
        <v>46</v>
      </c>
      <c r="S9" s="166">
        <f>'Закупка'!E9</f>
        <v>8</v>
      </c>
      <c r="T9" s="166">
        <f t="shared" si="1"/>
        <v>8</v>
      </c>
      <c r="U9" s="34" t="str">
        <f>'Закупка'!F9</f>
        <v>6</v>
      </c>
      <c r="V9" s="167">
        <f>'Закупка'!O9</f>
        <v>48</v>
      </c>
      <c r="W9" s="167">
        <f t="shared" si="2"/>
        <v>46</v>
      </c>
      <c r="X9" s="168"/>
      <c r="Y9" s="169">
        <f>'Закупка'!P9</f>
        <v>3</v>
      </c>
      <c r="Z9" s="170" t="str">
        <f>'Закупка'!Q9</f>
        <v/>
      </c>
      <c r="AA9" s="171" t="str">
        <f>'Закупка'!R9</f>
        <v/>
      </c>
      <c r="AB9" s="172">
        <f>'Закупка'!T9</f>
        <v>84001157</v>
      </c>
      <c r="AC9" s="173" t="str">
        <f>'Закупка'!S9</f>
        <v>84001157 - RISA GARDAN MIX - flor/3 ()</v>
      </c>
      <c r="AD9" s="174" t="str">
        <f>'Закупка'!W9</f>
        <v>❗Ошибка: application/json</v>
      </c>
      <c r="AE9" s="87" t="str">
        <f>'Закупка'!Y9</f>
        <v/>
      </c>
    </row>
    <row r="10">
      <c r="A10" s="98" t="str">
        <f>'Закупка'!A10</f>
        <v>1.7</v>
      </c>
      <c r="B10" s="81" t="str">
        <f>'Закупка'!B10</f>
        <v>ROSA SPRAY CHIMO</v>
      </c>
      <c r="C10" s="163" t="str">
        <f>'Закупка'!L10</f>
        <v/>
      </c>
      <c r="D10" s="164" t="str">
        <f>'Закупка'!G10</f>
        <v/>
      </c>
      <c r="E10" s="163" t="str">
        <f>Muntaner!G10</f>
        <v/>
      </c>
      <c r="F10" s="165" t="str">
        <f>Muntaner!H10</f>
        <v/>
      </c>
      <c r="G10" s="164">
        <f>'Закупка'!H10</f>
        <v>2</v>
      </c>
      <c r="H10" s="163">
        <f>Plaza!G10</f>
        <v>2</v>
      </c>
      <c r="I10" s="165">
        <f>Plaza!H10</f>
        <v>20</v>
      </c>
      <c r="J10" s="164" t="str">
        <f>'Закупка'!I10</f>
        <v/>
      </c>
      <c r="K10" s="163" t="str">
        <f>Augusta!G10</f>
        <v/>
      </c>
      <c r="L10" s="165" t="str">
        <f>Augusta!H10</f>
        <v/>
      </c>
      <c r="M10" s="164">
        <f>'Закупка'!J10</f>
        <v>3</v>
      </c>
      <c r="N10" s="163">
        <f>Gloria!G10</f>
        <v>3</v>
      </c>
      <c r="O10" s="165">
        <f>Gloria!H10</f>
        <v>30</v>
      </c>
      <c r="P10" s="164">
        <f>'Закупка'!K10</f>
        <v>3</v>
      </c>
      <c r="Q10" s="163">
        <f>Blau!G10</f>
        <v>3</v>
      </c>
      <c r="R10" s="165">
        <f>Blau!H10</f>
        <v>30</v>
      </c>
      <c r="S10" s="166">
        <f>'Закупка'!E10</f>
        <v>8</v>
      </c>
      <c r="T10" s="166">
        <f t="shared" si="1"/>
        <v>8</v>
      </c>
      <c r="U10" s="34" t="str">
        <f>'Закупка'!F10</f>
        <v>10</v>
      </c>
      <c r="V10" s="167">
        <f>'Закупка'!O10</f>
        <v>80</v>
      </c>
      <c r="W10" s="167">
        <f t="shared" si="2"/>
        <v>80</v>
      </c>
      <c r="X10" s="168"/>
      <c r="Y10" s="169" t="str">
        <f>'Закупка'!P10</f>
        <v/>
      </c>
      <c r="Z10" s="170">
        <f>'Закупка'!Q10</f>
        <v>2.999997</v>
      </c>
      <c r="AA10" s="171" t="str">
        <f>'Закупка'!R10</f>
        <v/>
      </c>
      <c r="AB10" s="172">
        <f>'Закупка'!T10</f>
        <v>8400828</v>
      </c>
      <c r="AC10" s="173" t="str">
        <f>'Закупка'!S10</f>
        <v>8400828 - ROSA CHIMO - flor (135409)</v>
      </c>
      <c r="AD10" s="175" t="str">
        <f>'Закупка'!W10</f>
        <v>https://drive.google.com/uc?export=view&amp;id=14lKbr1IZa_y54C-n_irMTGAXEPdZJoIn</v>
      </c>
      <c r="AE10" s="87" t="str">
        <f>'Закупка'!Y10</f>
        <v/>
      </c>
    </row>
    <row r="11">
      <c r="A11" s="98" t="str">
        <f>'Закупка'!A11</f>
        <v>1.8</v>
      </c>
      <c r="B11" s="81" t="str">
        <f>'Закупка'!B11</f>
        <v>ROSA SPRAY BIRDS NEST+</v>
      </c>
      <c r="C11" s="163" t="str">
        <f>'Закупка'!L11</f>
        <v/>
      </c>
      <c r="D11" s="164" t="str">
        <f>'Закупка'!G11</f>
        <v/>
      </c>
      <c r="E11" s="163" t="str">
        <f>Muntaner!G11</f>
        <v/>
      </c>
      <c r="F11" s="165" t="str">
        <f>Muntaner!H11</f>
        <v/>
      </c>
      <c r="G11" s="164" t="str">
        <f>'Закупка'!H11</f>
        <v/>
      </c>
      <c r="H11" s="163" t="str">
        <f>Plaza!G11</f>
        <v/>
      </c>
      <c r="I11" s="165" t="str">
        <f>Plaza!H11</f>
        <v/>
      </c>
      <c r="J11" s="164" t="str">
        <f>'Закупка'!I11</f>
        <v/>
      </c>
      <c r="K11" s="163" t="str">
        <f>Augusta!G11</f>
        <v/>
      </c>
      <c r="L11" s="165" t="str">
        <f>Augusta!H11</f>
        <v/>
      </c>
      <c r="M11" s="164">
        <f>'Закупка'!J11</f>
        <v>1</v>
      </c>
      <c r="N11" s="163">
        <f>Gloria!G11</f>
        <v>1</v>
      </c>
      <c r="O11" s="165">
        <f>Gloria!H11</f>
        <v>10</v>
      </c>
      <c r="P11" s="164">
        <f>'Закупка'!K11</f>
        <v>3</v>
      </c>
      <c r="Q11" s="163">
        <f>Blau!G11</f>
        <v>3</v>
      </c>
      <c r="R11" s="165">
        <f>Blau!H11</f>
        <v>30</v>
      </c>
      <c r="S11" s="166">
        <f>'Закупка'!E11</f>
        <v>4</v>
      </c>
      <c r="T11" s="166">
        <f t="shared" si="1"/>
        <v>4</v>
      </c>
      <c r="U11" s="34" t="str">
        <f>'Закупка'!F11</f>
        <v>10</v>
      </c>
      <c r="V11" s="167">
        <f>'Закупка'!O11</f>
        <v>40</v>
      </c>
      <c r="W11" s="167">
        <f t="shared" si="2"/>
        <v>40</v>
      </c>
      <c r="X11" s="168"/>
      <c r="Y11" s="169">
        <f>'Закупка'!P11</f>
        <v>4</v>
      </c>
      <c r="Z11" s="170">
        <f>'Закупка'!Q11</f>
        <v>3.999996</v>
      </c>
      <c r="AA11" s="171" t="str">
        <f>'Закупка'!R11</f>
        <v/>
      </c>
      <c r="AB11" s="172">
        <f>'Закупка'!T11</f>
        <v>84001078</v>
      </c>
      <c r="AC11" s="173" t="str">
        <f>'Закупка'!S11</f>
        <v>84001078 - ROSA BIRDS NEST - flor ()</v>
      </c>
      <c r="AD11" s="175" t="str">
        <f>'Закупка'!W11</f>
        <v>https://drive.google.com/uc?export=view&amp;id=1cMWmYq9Ijr9CTBLT1xhfRb5ZQ_GrN7hE</v>
      </c>
      <c r="AE11" s="87" t="str">
        <f>'Закупка'!Y11</f>
        <v/>
      </c>
    </row>
    <row r="12">
      <c r="A12" s="98" t="str">
        <f>'Закупка'!A12</f>
        <v>1.9</v>
      </c>
      <c r="B12" s="81" t="str">
        <f>'Закупка'!B12</f>
        <v>ROSA LARGE CELEB</v>
      </c>
      <c r="C12" s="163" t="str">
        <f>'Закупка'!L12</f>
        <v/>
      </c>
      <c r="D12" s="164" t="str">
        <f>'Закупка'!G12</f>
        <v/>
      </c>
      <c r="E12" s="163" t="str">
        <f>Muntaner!G12</f>
        <v/>
      </c>
      <c r="F12" s="165" t="str">
        <f>Muntaner!H12</f>
        <v/>
      </c>
      <c r="G12" s="164">
        <f>'Закупка'!H12</f>
        <v>3</v>
      </c>
      <c r="H12" s="163">
        <f>Plaza!G12</f>
        <v>3</v>
      </c>
      <c r="I12" s="165">
        <f>Plaza!H12</f>
        <v>30</v>
      </c>
      <c r="J12" s="164" t="str">
        <f>'Закупка'!I12</f>
        <v/>
      </c>
      <c r="K12" s="163" t="str">
        <f>Augusta!G12</f>
        <v/>
      </c>
      <c r="L12" s="165" t="str">
        <f>Augusta!H12</f>
        <v/>
      </c>
      <c r="M12" s="164">
        <f>'Закупка'!J12</f>
        <v>3</v>
      </c>
      <c r="N12" s="163">
        <f>Gloria!G12</f>
        <v>3</v>
      </c>
      <c r="O12" s="165">
        <f>Gloria!H12</f>
        <v>28</v>
      </c>
      <c r="P12" s="164" t="str">
        <f>'Закупка'!K12</f>
        <v/>
      </c>
      <c r="Q12" s="163" t="str">
        <f>Blau!G12</f>
        <v/>
      </c>
      <c r="R12" s="165" t="str">
        <f>Blau!H12</f>
        <v/>
      </c>
      <c r="S12" s="166">
        <f>'Закупка'!E12</f>
        <v>6</v>
      </c>
      <c r="T12" s="166">
        <f t="shared" si="1"/>
        <v>6</v>
      </c>
      <c r="U12" s="34" t="str">
        <f>'Закупка'!F12</f>
        <v>10</v>
      </c>
      <c r="V12" s="167">
        <f>'Закупка'!O12</f>
        <v>60</v>
      </c>
      <c r="W12" s="167">
        <f t="shared" si="2"/>
        <v>58</v>
      </c>
      <c r="X12" s="168"/>
      <c r="Y12" s="169">
        <f>'Закупка'!P12</f>
        <v>3</v>
      </c>
      <c r="Z12" s="170">
        <f>'Закупка'!Q12</f>
        <v>2.999997</v>
      </c>
      <c r="AA12" s="171" t="str">
        <f>'Закупка'!R12</f>
        <v/>
      </c>
      <c r="AB12" s="172">
        <f>'Закупка'!T12</f>
        <v>84001044</v>
      </c>
      <c r="AC12" s="173" t="str">
        <f>'Закупка'!S12</f>
        <v>84001044 - ROSA CELEBRATING HEATHER - flor ()</v>
      </c>
      <c r="AD12" s="175" t="str">
        <f>'Закупка'!W12</f>
        <v>https://drive.google.com/uc?export=view&amp;id=14z6focMNsmhbYM377L2M-B88nBfvXnJJ</v>
      </c>
      <c r="AE12" s="87" t="str">
        <f>'Закупка'!Y12</f>
        <v/>
      </c>
    </row>
    <row r="13">
      <c r="A13" s="98" t="str">
        <f>'Закупка'!A13</f>
        <v>1.10</v>
      </c>
      <c r="B13" s="81" t="str">
        <f>'Закупка'!B13</f>
        <v>ARR CACTUS</v>
      </c>
      <c r="C13" s="163" t="str">
        <f>'Закупка'!L13</f>
        <v/>
      </c>
      <c r="D13" s="164" t="str">
        <f>'Закупка'!G13</f>
        <v/>
      </c>
      <c r="E13" s="163" t="str">
        <f>Muntaner!G13</f>
        <v/>
      </c>
      <c r="F13" s="165" t="str">
        <f>Muntaner!H13</f>
        <v/>
      </c>
      <c r="G13" s="164" t="str">
        <f>'Закупка'!H13</f>
        <v/>
      </c>
      <c r="H13" s="163" t="str">
        <f>Plaza!G13</f>
        <v/>
      </c>
      <c r="I13" s="165" t="str">
        <f>Plaza!H13</f>
        <v/>
      </c>
      <c r="J13" s="164" t="str">
        <f>'Закупка'!I13</f>
        <v/>
      </c>
      <c r="K13" s="163" t="str">
        <f>Augusta!G13</f>
        <v/>
      </c>
      <c r="L13" s="165" t="str">
        <f>Augusta!H13</f>
        <v/>
      </c>
      <c r="M13" s="164">
        <f>'Закупка'!J13</f>
        <v>9</v>
      </c>
      <c r="N13" s="163">
        <f>Gloria!G13</f>
        <v>1</v>
      </c>
      <c r="O13" s="165">
        <f>Gloria!H13</f>
        <v>9</v>
      </c>
      <c r="P13" s="164">
        <f>'Закупка'!K13</f>
        <v>9</v>
      </c>
      <c r="Q13" s="163">
        <f>Blau!G13</f>
        <v>9</v>
      </c>
      <c r="R13" s="165">
        <f>Blau!H13</f>
        <v>9</v>
      </c>
      <c r="S13" s="166">
        <f>'Закупка'!E13</f>
        <v>18</v>
      </c>
      <c r="T13" s="166">
        <f t="shared" si="1"/>
        <v>10</v>
      </c>
      <c r="U13" s="34" t="str">
        <f>'Закупка'!F13</f>
        <v>1</v>
      </c>
      <c r="V13" s="167">
        <f>'Закупка'!O13</f>
        <v>18</v>
      </c>
      <c r="W13" s="167">
        <f t="shared" si="2"/>
        <v>18</v>
      </c>
      <c r="X13" s="168"/>
      <c r="Y13" s="169">
        <f>'Закупка'!P13</f>
        <v>22</v>
      </c>
      <c r="Z13" s="170">
        <f>'Закупка'!Q13</f>
        <v>22</v>
      </c>
      <c r="AA13" s="171" t="str">
        <f>'Закупка'!R13</f>
        <v/>
      </c>
      <c r="AB13" s="172">
        <f>'Закупка'!T13</f>
        <v>8400594</v>
      </c>
      <c r="AC13" s="173" t="str">
        <f>'Закупка'!S13</f>
        <v>8400594 - CACTUS - planta/22 (TEST 13 cactus)</v>
      </c>
      <c r="AD13" s="175" t="str">
        <f>'Закупка'!W13</f>
        <v>https://drive.google.com/uc?export=view&amp;id=1Q-AyZHgyh6uUyL-RDutGOkXSIkuILjHz</v>
      </c>
      <c r="AE13" s="87" t="str">
        <f>'Закупка'!Y13</f>
        <v/>
      </c>
    </row>
    <row r="14">
      <c r="A14" s="98" t="str">
        <f>'Закупка'!A14</f>
        <v>1.11</v>
      </c>
      <c r="B14" s="81" t="str">
        <f>'Закупка'!B14</f>
        <v>ALOE ARBO</v>
      </c>
      <c r="C14" s="163" t="str">
        <f>'Закупка'!L14</f>
        <v/>
      </c>
      <c r="D14" s="164" t="str">
        <f>'Закупка'!G14</f>
        <v/>
      </c>
      <c r="E14" s="163" t="str">
        <f>Muntaner!G14</f>
        <v/>
      </c>
      <c r="F14" s="165" t="str">
        <f>Muntaner!H14</f>
        <v/>
      </c>
      <c r="G14" s="164" t="str">
        <f>'Закупка'!H14</f>
        <v/>
      </c>
      <c r="H14" s="163" t="str">
        <f>Plaza!G14</f>
        <v/>
      </c>
      <c r="I14" s="165" t="str">
        <f>Plaza!H14</f>
        <v/>
      </c>
      <c r="J14" s="164" t="str">
        <f>'Закупка'!I14</f>
        <v/>
      </c>
      <c r="K14" s="163" t="str">
        <f>Augusta!G14</f>
        <v/>
      </c>
      <c r="L14" s="165" t="str">
        <f>Augusta!H14</f>
        <v/>
      </c>
      <c r="M14" s="164">
        <f>'Закупка'!J14</f>
        <v>1</v>
      </c>
      <c r="N14" s="163">
        <f>Gloria!G14</f>
        <v>1</v>
      </c>
      <c r="O14" s="165">
        <f>Gloria!H14</f>
        <v>1</v>
      </c>
      <c r="P14" s="164" t="str">
        <f>'Закупка'!K14</f>
        <v/>
      </c>
      <c r="Q14" s="163" t="str">
        <f>Blau!G14</f>
        <v/>
      </c>
      <c r="R14" s="165" t="str">
        <f>Blau!H14</f>
        <v/>
      </c>
      <c r="S14" s="166">
        <f>'Закупка'!E14</f>
        <v>1</v>
      </c>
      <c r="T14" s="166">
        <f t="shared" si="1"/>
        <v>1</v>
      </c>
      <c r="U14" s="34" t="str">
        <f>'Закупка'!F14</f>
        <v>1</v>
      </c>
      <c r="V14" s="167">
        <f>'Закупка'!O14</f>
        <v>1</v>
      </c>
      <c r="W14" s="167">
        <f t="shared" si="2"/>
        <v>1</v>
      </c>
      <c r="X14" s="168"/>
      <c r="Y14" s="169">
        <f>'Закупка'!P14</f>
        <v>67</v>
      </c>
      <c r="Z14" s="170">
        <f>'Закупка'!Q14</f>
        <v>66.999999</v>
      </c>
      <c r="AA14" s="171" t="str">
        <f>'Закупка'!R14</f>
        <v/>
      </c>
      <c r="AB14" s="172">
        <f>'Закупка'!T14</f>
        <v>84001156</v>
      </c>
      <c r="AC14" s="173" t="str">
        <f>'Закупка'!S14</f>
        <v>84001156 - ALOE ARBO - planta/67 ()</v>
      </c>
      <c r="AD14" s="175" t="str">
        <f>'Закупка'!W14</f>
        <v>https://drive.google.com/uc?export=view&amp;id=1nhRiZiSymvZqgrwdzMgNfzK5d8VGqcGQ</v>
      </c>
      <c r="AE14" s="87" t="str">
        <f>'Закупка'!Y14</f>
        <v/>
      </c>
    </row>
    <row r="15">
      <c r="A15" s="98" t="str">
        <f>'Закупка'!A15</f>
        <v>1.12</v>
      </c>
      <c r="B15" s="81" t="str">
        <f>'Закупка'!B15</f>
        <v>ALOE ARBO</v>
      </c>
      <c r="C15" s="163" t="str">
        <f>'Закупка'!L15</f>
        <v/>
      </c>
      <c r="D15" s="164" t="str">
        <f>'Закупка'!G15</f>
        <v/>
      </c>
      <c r="E15" s="163" t="str">
        <f>Muntaner!G15</f>
        <v/>
      </c>
      <c r="F15" s="165" t="str">
        <f>Muntaner!H15</f>
        <v/>
      </c>
      <c r="G15" s="164" t="str">
        <f>'Закупка'!H15</f>
        <v/>
      </c>
      <c r="H15" s="163" t="str">
        <f>Plaza!G15</f>
        <v/>
      </c>
      <c r="I15" s="165" t="str">
        <f>Plaza!H15</f>
        <v/>
      </c>
      <c r="J15" s="164" t="str">
        <f>'Закупка'!I15</f>
        <v/>
      </c>
      <c r="K15" s="163" t="str">
        <f>Augusta!G15</f>
        <v/>
      </c>
      <c r="L15" s="165" t="str">
        <f>Augusta!H15</f>
        <v/>
      </c>
      <c r="M15" s="164">
        <f>'Закупка'!J15</f>
        <v>4</v>
      </c>
      <c r="N15" s="163">
        <f>Gloria!G15</f>
        <v>1</v>
      </c>
      <c r="O15" s="165">
        <f>Gloria!H15</f>
        <v>4</v>
      </c>
      <c r="P15" s="164">
        <f>'Закупка'!K15</f>
        <v>4</v>
      </c>
      <c r="Q15" s="163">
        <f>Blau!G15</f>
        <v>4</v>
      </c>
      <c r="R15" s="165">
        <f>Blau!H15</f>
        <v>4</v>
      </c>
      <c r="S15" s="166">
        <f>'Закупка'!E15</f>
        <v>8</v>
      </c>
      <c r="T15" s="166">
        <f t="shared" si="1"/>
        <v>5</v>
      </c>
      <c r="U15" s="34" t="str">
        <f>'Закупка'!F15</f>
        <v>1</v>
      </c>
      <c r="V15" s="167">
        <f>'Закупка'!O15</f>
        <v>8</v>
      </c>
      <c r="W15" s="167">
        <f t="shared" si="2"/>
        <v>8</v>
      </c>
      <c r="X15" s="168"/>
      <c r="Y15" s="169">
        <f>'Закупка'!P15</f>
        <v>47</v>
      </c>
      <c r="Z15" s="170">
        <f>'Закупка'!Q15</f>
        <v>46.999997</v>
      </c>
      <c r="AA15" s="171" t="str">
        <f>'Закупка'!R15</f>
        <v/>
      </c>
      <c r="AB15" s="172">
        <f>'Закупка'!T15</f>
        <v>84001155</v>
      </c>
      <c r="AC15" s="173" t="str">
        <f>'Закупка'!S15</f>
        <v>84001155 - ALOE ARBO - planta/47 ()</v>
      </c>
      <c r="AD15" s="175" t="str">
        <f>'Закупка'!W15</f>
        <v>https://drive.google.com/uc?export=view&amp;id=1jKGrPrhB6pvkBpjJKJWeb0LNLwFLMWiM</v>
      </c>
      <c r="AE15" s="87" t="str">
        <f>'Закупка'!Y15</f>
        <v/>
      </c>
    </row>
    <row r="16">
      <c r="A16" s="98" t="str">
        <f>'Закупка'!A16</f>
        <v>1.13</v>
      </c>
      <c r="B16" s="81" t="str">
        <f>'Закупка'!B16</f>
        <v>ARR2 MB GROEN IJZER REK 1 BOL</v>
      </c>
      <c r="C16" s="163" t="str">
        <f>'Закупка'!L16</f>
        <v/>
      </c>
      <c r="D16" s="164" t="str">
        <f>'Закупка'!G16</f>
        <v/>
      </c>
      <c r="E16" s="163" t="str">
        <f>Muntaner!G16</f>
        <v/>
      </c>
      <c r="F16" s="165" t="str">
        <f>Muntaner!H16</f>
        <v/>
      </c>
      <c r="G16" s="164" t="str">
        <f>'Закупка'!H16</f>
        <v/>
      </c>
      <c r="H16" s="163" t="str">
        <f>Plaza!G16</f>
        <v/>
      </c>
      <c r="I16" s="165" t="str">
        <f>Plaza!H16</f>
        <v/>
      </c>
      <c r="J16" s="164" t="str">
        <f>'Закупка'!I16</f>
        <v/>
      </c>
      <c r="K16" s="163" t="str">
        <f>Augusta!G16</f>
        <v/>
      </c>
      <c r="L16" s="165" t="str">
        <f>Augusta!H16</f>
        <v/>
      </c>
      <c r="M16" s="164">
        <f>'Закупка'!J16</f>
        <v>4</v>
      </c>
      <c r="N16" s="163">
        <f>Gloria!G16</f>
        <v>1</v>
      </c>
      <c r="O16" s="165">
        <f>Gloria!H16</f>
        <v>4</v>
      </c>
      <c r="P16" s="164">
        <f>'Закупка'!K16</f>
        <v>4</v>
      </c>
      <c r="Q16" s="163">
        <f>Blau!G16</f>
        <v>4</v>
      </c>
      <c r="R16" s="165">
        <f>Blau!H16</f>
        <v>4</v>
      </c>
      <c r="S16" s="166">
        <f>'Закупка'!E16</f>
        <v>8</v>
      </c>
      <c r="T16" s="166">
        <f t="shared" si="1"/>
        <v>5</v>
      </c>
      <c r="U16" s="34" t="str">
        <f>'Закупка'!F16</f>
        <v>1</v>
      </c>
      <c r="V16" s="167">
        <f>'Закупка'!O16</f>
        <v>8</v>
      </c>
      <c r="W16" s="167">
        <f t="shared" si="2"/>
        <v>8</v>
      </c>
      <c r="X16" s="168"/>
      <c r="Y16" s="169">
        <f>'Закупка'!P16</f>
        <v>22</v>
      </c>
      <c r="Z16" s="170">
        <f>'Закупка'!Q16</f>
        <v>22</v>
      </c>
      <c r="AA16" s="171" t="str">
        <f>'Закупка'!R16</f>
        <v/>
      </c>
      <c r="AB16" s="172">
        <f>'Закупка'!T16</f>
        <v>8400410</v>
      </c>
      <c r="AC16" s="173" t="str">
        <f>'Закупка'!S16</f>
        <v>8400410 - SUCCULENTUS T16, T22 - MIX - planta/22 (6CRASA22, 54, CRASS16 )</v>
      </c>
      <c r="AD16" s="175" t="str">
        <f>'Закупка'!W16</f>
        <v>https://drive.google.com/uc?export=view&amp;id=1NfWhvI4iOJyVFjUEUpFej-EfjH2FiZmQ</v>
      </c>
      <c r="AE16" s="87" t="str">
        <f>'Закупка'!Y16</f>
        <v/>
      </c>
    </row>
    <row r="17">
      <c r="A17" s="98" t="str">
        <f>'Закупка'!A17</f>
        <v>1.14</v>
      </c>
      <c r="B17" s="81" t="str">
        <f>'Закупка'!B17</f>
        <v>ARR NARCISSUS TETE-A-TETE</v>
      </c>
      <c r="C17" s="163" t="str">
        <f>'Закупка'!L17</f>
        <v/>
      </c>
      <c r="D17" s="164" t="str">
        <f>'Закупка'!G17</f>
        <v/>
      </c>
      <c r="E17" s="163" t="str">
        <f>Muntaner!G17</f>
        <v/>
      </c>
      <c r="F17" s="165" t="str">
        <f>Muntaner!H17</f>
        <v/>
      </c>
      <c r="G17" s="164" t="str">
        <f>'Закупка'!H17</f>
        <v/>
      </c>
      <c r="H17" s="163" t="str">
        <f>Plaza!G17</f>
        <v/>
      </c>
      <c r="I17" s="165" t="str">
        <f>Plaza!H17</f>
        <v/>
      </c>
      <c r="J17" s="164" t="str">
        <f>'Закупка'!I17</f>
        <v/>
      </c>
      <c r="K17" s="163" t="str">
        <f>Augusta!G17</f>
        <v/>
      </c>
      <c r="L17" s="165" t="str">
        <f>Augusta!H17</f>
        <v/>
      </c>
      <c r="M17" s="164">
        <f>'Закупка'!J17</f>
        <v>6</v>
      </c>
      <c r="N17" s="163">
        <f>Gloria!G17</f>
        <v>1</v>
      </c>
      <c r="O17" s="165">
        <f>Gloria!H17</f>
        <v>6</v>
      </c>
      <c r="P17" s="164">
        <f>'Закупка'!K17</f>
        <v>6</v>
      </c>
      <c r="Q17" s="163">
        <f>Blau!G17</f>
        <v>6</v>
      </c>
      <c r="R17" s="165">
        <f>Blau!H17</f>
        <v>6</v>
      </c>
      <c r="S17" s="166">
        <f>'Закупка'!E17</f>
        <v>12</v>
      </c>
      <c r="T17" s="166">
        <f t="shared" si="1"/>
        <v>7</v>
      </c>
      <c r="U17" s="34" t="str">
        <f>'Закупка'!F17</f>
        <v>1</v>
      </c>
      <c r="V17" s="167">
        <f>'Закупка'!O17</f>
        <v>12</v>
      </c>
      <c r="W17" s="167">
        <f t="shared" si="2"/>
        <v>12</v>
      </c>
      <c r="X17" s="168"/>
      <c r="Y17" s="169">
        <f>'Закупка'!P17</f>
        <v>14</v>
      </c>
      <c r="Z17" s="170">
        <f>'Закупка'!Q17</f>
        <v>13.999997</v>
      </c>
      <c r="AA17" s="171" t="str">
        <f>'Закупка'!R17</f>
        <v/>
      </c>
      <c r="AB17" s="172">
        <f>'Закупка'!T17</f>
        <v>84001152</v>
      </c>
      <c r="AC17" s="173" t="str">
        <f>'Закупка'!S17</f>
        <v>84001152 - NARCISO TETE-A-TETE - composición/14 ()</v>
      </c>
      <c r="AD17" s="175" t="str">
        <f>'Закупка'!W17</f>
        <v>https://drive.google.com/uc?export=view&amp;id=1jCZc_-4baAz784L3_VmKEcFHD_O4bGxB</v>
      </c>
      <c r="AE17" s="87" t="str">
        <f>'Закупка'!Y17</f>
        <v/>
      </c>
    </row>
    <row r="18">
      <c r="A18" s="98" t="str">
        <f>'Закупка'!A18</f>
        <v>1.15</v>
      </c>
      <c r="B18" s="81" t="str">
        <f>'Закупка'!B18</f>
        <v>ARR NARCISSUS</v>
      </c>
      <c r="C18" s="163" t="str">
        <f>'Закупка'!L18</f>
        <v/>
      </c>
      <c r="D18" s="164" t="str">
        <f>'Закупка'!G18</f>
        <v/>
      </c>
      <c r="E18" s="163" t="str">
        <f>Muntaner!G18</f>
        <v/>
      </c>
      <c r="F18" s="165" t="str">
        <f>Muntaner!H18</f>
        <v/>
      </c>
      <c r="G18" s="164" t="str">
        <f>'Закупка'!H18</f>
        <v/>
      </c>
      <c r="H18" s="163" t="str">
        <f>Plaza!G18</f>
        <v/>
      </c>
      <c r="I18" s="165" t="str">
        <f>Plaza!H18</f>
        <v/>
      </c>
      <c r="J18" s="164" t="str">
        <f>'Закупка'!I18</f>
        <v/>
      </c>
      <c r="K18" s="163" t="str">
        <f>Augusta!G18</f>
        <v/>
      </c>
      <c r="L18" s="165" t="str">
        <f>Augusta!H18</f>
        <v/>
      </c>
      <c r="M18" s="164">
        <f>'Закупка'!J18</f>
        <v>4</v>
      </c>
      <c r="N18" s="163">
        <f>Gloria!G18</f>
        <v>1</v>
      </c>
      <c r="O18" s="165">
        <f>Gloria!H18</f>
        <v>4</v>
      </c>
      <c r="P18" s="164">
        <f>'Закупка'!K18</f>
        <v>4</v>
      </c>
      <c r="Q18" s="163">
        <f>Blau!G18</f>
        <v>4</v>
      </c>
      <c r="R18" s="165">
        <f>Blau!H18</f>
        <v>4</v>
      </c>
      <c r="S18" s="166">
        <f>'Закупка'!E18</f>
        <v>8</v>
      </c>
      <c r="T18" s="166">
        <f t="shared" si="1"/>
        <v>5</v>
      </c>
      <c r="U18" s="34" t="str">
        <f>'Закупка'!F18</f>
        <v>1</v>
      </c>
      <c r="V18" s="167">
        <f>'Закупка'!O18</f>
        <v>8</v>
      </c>
      <c r="W18" s="167">
        <f t="shared" si="2"/>
        <v>8</v>
      </c>
      <c r="X18" s="168"/>
      <c r="Y18" s="169" t="str">
        <f>'Закупка'!P18</f>
        <v/>
      </c>
      <c r="Z18" s="170">
        <f>'Закупка'!Q18</f>
        <v>17.000005</v>
      </c>
      <c r="AA18" s="171" t="str">
        <f>'Закупка'!R18</f>
        <v/>
      </c>
      <c r="AB18" s="172">
        <f>'Закупка'!T18</f>
        <v>84001038</v>
      </c>
      <c r="AC18" s="173" t="str">
        <f>'Закупка'!S18</f>
        <v>84001038 - NARCIS MASCOTA - planta  /17 ()</v>
      </c>
      <c r="AD18" s="175" t="str">
        <f>'Закупка'!W18</f>
        <v>https://drive.google.com/uc?export=view&amp;id=1ANQILzJ7Mt0PRTsFNY6NHq3nJ6aUQJyJ</v>
      </c>
      <c r="AE18" s="87" t="str">
        <f>'Закупка'!Y18</f>
        <v/>
      </c>
    </row>
    <row r="19">
      <c r="A19" s="98" t="str">
        <f>'Закупка'!A19</f>
        <v>1.16</v>
      </c>
      <c r="B19" s="81" t="str">
        <f>'Закупка'!B19</f>
        <v>ARR2 PL KER BAROK DRACENA</v>
      </c>
      <c r="C19" s="163" t="str">
        <f>'Закупка'!L19</f>
        <v/>
      </c>
      <c r="D19" s="164" t="str">
        <f>'Закупка'!G19</f>
        <v/>
      </c>
      <c r="E19" s="163" t="str">
        <f>Muntaner!G19</f>
        <v/>
      </c>
      <c r="F19" s="165" t="str">
        <f>Muntaner!H19</f>
        <v/>
      </c>
      <c r="G19" s="164" t="str">
        <f>'Закупка'!H19</f>
        <v/>
      </c>
      <c r="H19" s="163" t="str">
        <f>Plaza!G19</f>
        <v/>
      </c>
      <c r="I19" s="165" t="str">
        <f>Plaza!H19</f>
        <v/>
      </c>
      <c r="J19" s="164" t="str">
        <f>'Закупка'!I19</f>
        <v/>
      </c>
      <c r="K19" s="163" t="str">
        <f>Augusta!G19</f>
        <v/>
      </c>
      <c r="L19" s="165" t="str">
        <f>Augusta!H19</f>
        <v/>
      </c>
      <c r="M19" s="164">
        <f>'Закупка'!J19</f>
        <v>4</v>
      </c>
      <c r="N19" s="163">
        <f>Gloria!G19</f>
        <v>1</v>
      </c>
      <c r="O19" s="165">
        <f>Gloria!H19</f>
        <v>4</v>
      </c>
      <c r="P19" s="164" t="str">
        <f>'Закупка'!K19</f>
        <v/>
      </c>
      <c r="Q19" s="163" t="str">
        <f>Blau!G19</f>
        <v/>
      </c>
      <c r="R19" s="165" t="str">
        <f>Blau!H19</f>
        <v/>
      </c>
      <c r="S19" s="166">
        <f>'Закупка'!E19</f>
        <v>4</v>
      </c>
      <c r="T19" s="166">
        <f t="shared" si="1"/>
        <v>1</v>
      </c>
      <c r="U19" s="34" t="str">
        <f>'Закупка'!F19</f>
        <v>1</v>
      </c>
      <c r="V19" s="167">
        <f>'Закупка'!O19</f>
        <v>4</v>
      </c>
      <c r="W19" s="167">
        <f t="shared" si="2"/>
        <v>4</v>
      </c>
      <c r="X19" s="168"/>
      <c r="Y19" s="169">
        <f>'Закупка'!P19</f>
        <v>38</v>
      </c>
      <c r="Z19" s="170">
        <f>'Закупка'!Q19</f>
        <v>37.999995</v>
      </c>
      <c r="AA19" s="171" t="str">
        <f>'Закупка'!R19</f>
        <v/>
      </c>
      <c r="AB19" s="172">
        <f>'Закупка'!T19</f>
        <v>84001154</v>
      </c>
      <c r="AC19" s="173" t="str">
        <f>'Закупка'!S19</f>
        <v>84001154 - COMPOSITION DE DRECENA - planta/38 ()</v>
      </c>
      <c r="AD19" s="175" t="str">
        <f>'Закупка'!W19</f>
        <v>https://drive.google.com/uc?export=view&amp;id=1Wq_Uard5MdVY8XSrul4hRMbglxiw4tPZ</v>
      </c>
      <c r="AE19" s="87" t="str">
        <f>'Закупка'!Y19</f>
        <v/>
      </c>
    </row>
    <row r="20">
      <c r="A20" s="98" t="str">
        <f>'Закупка'!A20</f>
        <v>1.17</v>
      </c>
      <c r="B20" s="81" t="str">
        <f>'Закупка'!B20</f>
        <v>ARR2 PL KER BAROK DRACENA</v>
      </c>
      <c r="C20" s="163" t="str">
        <f>'Закупка'!L20</f>
        <v/>
      </c>
      <c r="D20" s="164" t="str">
        <f>'Закупка'!G20</f>
        <v/>
      </c>
      <c r="E20" s="163" t="str">
        <f>Muntaner!G20</f>
        <v/>
      </c>
      <c r="F20" s="165" t="str">
        <f>Muntaner!H20</f>
        <v/>
      </c>
      <c r="G20" s="164" t="str">
        <f>'Закупка'!H20</f>
        <v/>
      </c>
      <c r="H20" s="163" t="str">
        <f>Plaza!G20</f>
        <v/>
      </c>
      <c r="I20" s="165" t="str">
        <f>Plaza!H20</f>
        <v/>
      </c>
      <c r="J20" s="164" t="str">
        <f>'Закупка'!I20</f>
        <v/>
      </c>
      <c r="K20" s="163" t="str">
        <f>Augusta!G20</f>
        <v/>
      </c>
      <c r="L20" s="165" t="str">
        <f>Augusta!H20</f>
        <v/>
      </c>
      <c r="M20" s="164" t="str">
        <f>'Закупка'!J20</f>
        <v/>
      </c>
      <c r="N20" s="163" t="str">
        <f>Gloria!G20</f>
        <v/>
      </c>
      <c r="O20" s="165" t="str">
        <f>Gloria!H20</f>
        <v/>
      </c>
      <c r="P20" s="164">
        <f>'Закупка'!K20</f>
        <v>4</v>
      </c>
      <c r="Q20" s="163">
        <f>Blau!G20</f>
        <v>4</v>
      </c>
      <c r="R20" s="165">
        <f>Blau!H20</f>
        <v>4</v>
      </c>
      <c r="S20" s="166">
        <f>'Закупка'!E20</f>
        <v>4</v>
      </c>
      <c r="T20" s="166">
        <f t="shared" si="1"/>
        <v>4</v>
      </c>
      <c r="U20" s="34" t="str">
        <f>'Закупка'!F20</f>
        <v>1</v>
      </c>
      <c r="V20" s="167">
        <f>'Закупка'!O20</f>
        <v>4</v>
      </c>
      <c r="W20" s="167">
        <f t="shared" si="2"/>
        <v>4</v>
      </c>
      <c r="X20" s="168"/>
      <c r="Y20" s="169">
        <f>'Закупка'!P20</f>
        <v>38</v>
      </c>
      <c r="Z20" s="170">
        <f>'Закупка'!Q20</f>
        <v>37.999995</v>
      </c>
      <c r="AA20" s="171" t="str">
        <f>'Закупка'!R20</f>
        <v/>
      </c>
      <c r="AB20" s="172">
        <f>'Закупка'!T20</f>
        <v>84001154</v>
      </c>
      <c r="AC20" s="173" t="str">
        <f>'Закупка'!S20</f>
        <v>84001154 - COMPOSITION DE DRECENA - planta/38 ()</v>
      </c>
      <c r="AD20" s="175" t="str">
        <f>'Закупка'!W20</f>
        <v>https://drive.google.com/uc?export=view&amp;id=1rQlNeojmuigxCKDDyLyE9853PtyPfBIF</v>
      </c>
      <c r="AE20" s="87" t="str">
        <f>'Закупка'!Y20</f>
        <v/>
      </c>
    </row>
    <row r="21">
      <c r="A21" s="98" t="str">
        <f>'Закупка'!A21</f>
        <v>1.18</v>
      </c>
      <c r="B21" s="81" t="str">
        <f>'Закупка'!B21</f>
        <v>ARR2 PL GLAS CILINDER PHAL PAARS</v>
      </c>
      <c r="C21" s="163" t="str">
        <f>'Закупка'!L21</f>
        <v/>
      </c>
      <c r="D21" s="164" t="str">
        <f>'Закупка'!G21</f>
        <v/>
      </c>
      <c r="E21" s="163" t="str">
        <f>Muntaner!G21</f>
        <v/>
      </c>
      <c r="F21" s="165" t="str">
        <f>Muntaner!H21</f>
        <v/>
      </c>
      <c r="G21" s="164" t="str">
        <f>'Закупка'!H21</f>
        <v/>
      </c>
      <c r="H21" s="163" t="str">
        <f>Plaza!G21</f>
        <v/>
      </c>
      <c r="I21" s="165" t="str">
        <f>Plaza!H21</f>
        <v/>
      </c>
      <c r="J21" s="164" t="str">
        <f>'Закупка'!I21</f>
        <v/>
      </c>
      <c r="K21" s="163" t="str">
        <f>Augusta!G21</f>
        <v/>
      </c>
      <c r="L21" s="165" t="str">
        <f>Augusta!H21</f>
        <v/>
      </c>
      <c r="M21" s="164">
        <f>'Закупка'!J21</f>
        <v>2</v>
      </c>
      <c r="N21" s="163">
        <f>Gloria!G21</f>
        <v>2</v>
      </c>
      <c r="O21" s="165">
        <f>Gloria!H21</f>
        <v>2</v>
      </c>
      <c r="P21" s="164">
        <f>'Закупка'!K21</f>
        <v>2</v>
      </c>
      <c r="Q21" s="163">
        <f>Blau!G21</f>
        <v>2</v>
      </c>
      <c r="R21" s="165">
        <f>Blau!H21</f>
        <v>2</v>
      </c>
      <c r="S21" s="166">
        <f>'Закупка'!E21</f>
        <v>4</v>
      </c>
      <c r="T21" s="166">
        <f t="shared" si="1"/>
        <v>4</v>
      </c>
      <c r="U21" s="34" t="str">
        <f>'Закупка'!F21</f>
        <v>1</v>
      </c>
      <c r="V21" s="167">
        <f>'Закупка'!O21</f>
        <v>4</v>
      </c>
      <c r="W21" s="167">
        <f t="shared" si="2"/>
        <v>4</v>
      </c>
      <c r="X21" s="168"/>
      <c r="Y21" s="169">
        <f>'Закупка'!P21</f>
        <v>65</v>
      </c>
      <c r="Z21" s="170">
        <f>'Закупка'!Q21</f>
        <v>65.000001</v>
      </c>
      <c r="AA21" s="171" t="str">
        <f>'Закупка'!R21</f>
        <v/>
      </c>
      <c r="AB21" s="172">
        <f>'Закупка'!T21</f>
        <v>84001153</v>
      </c>
      <c r="AC21" s="173" t="str">
        <f>'Закупка'!S21</f>
        <v>84001153 - ARRANGEMENT DE PHALAENOPSIS - composición/56 ()</v>
      </c>
      <c r="AD21" s="175" t="str">
        <f>'Закупка'!W21</f>
        <v>https://drive.google.com/uc?export=view&amp;id=1SK1jetqpkHm4wysAal2kTf97P1BEWhpF</v>
      </c>
      <c r="AE21" s="87" t="str">
        <f>'Закупка'!Y21</f>
        <v/>
      </c>
    </row>
    <row r="22">
      <c r="A22" s="98" t="str">
        <f>'Закупка'!A22</f>
        <v>1.19</v>
      </c>
      <c r="B22" s="81" t="str">
        <f>'Закупка'!B22</f>
        <v>CRASSULA OVATA</v>
      </c>
      <c r="C22" s="163" t="str">
        <f>'Закупка'!L22</f>
        <v/>
      </c>
      <c r="D22" s="164" t="str">
        <f>'Закупка'!G22</f>
        <v/>
      </c>
      <c r="E22" s="163" t="str">
        <f>Muntaner!G22</f>
        <v/>
      </c>
      <c r="F22" s="165" t="str">
        <f>Muntaner!H22</f>
        <v/>
      </c>
      <c r="G22" s="164" t="str">
        <f>'Закупка'!H22</f>
        <v/>
      </c>
      <c r="H22" s="163" t="str">
        <f>Plaza!G22</f>
        <v/>
      </c>
      <c r="I22" s="165" t="str">
        <f>Plaza!H22</f>
        <v/>
      </c>
      <c r="J22" s="164" t="str">
        <f>'Закупка'!I22</f>
        <v/>
      </c>
      <c r="K22" s="163" t="str">
        <f>Augusta!G22</f>
        <v/>
      </c>
      <c r="L22" s="165" t="str">
        <f>Augusta!H22</f>
        <v/>
      </c>
      <c r="M22" s="164">
        <f>'Закупка'!J22</f>
        <v>1</v>
      </c>
      <c r="N22" s="163">
        <f>Gloria!G22</f>
        <v>1</v>
      </c>
      <c r="O22" s="165">
        <f>Gloria!H22</f>
        <v>1</v>
      </c>
      <c r="P22" s="164" t="str">
        <f>'Закупка'!K22</f>
        <v/>
      </c>
      <c r="Q22" s="163" t="str">
        <f>Blau!G22</f>
        <v/>
      </c>
      <c r="R22" s="165" t="str">
        <f>Blau!H22</f>
        <v/>
      </c>
      <c r="S22" s="166">
        <f>'Закупка'!E22</f>
        <v>1</v>
      </c>
      <c r="T22" s="166">
        <f t="shared" si="1"/>
        <v>1</v>
      </c>
      <c r="U22" s="34" t="str">
        <f>'Закупка'!F22</f>
        <v>1</v>
      </c>
      <c r="V22" s="167">
        <f>'Закупка'!O22</f>
        <v>1</v>
      </c>
      <c r="W22" s="167">
        <f t="shared" si="2"/>
        <v>1</v>
      </c>
      <c r="X22" s="168"/>
      <c r="Y22" s="169">
        <f>'Закупка'!P22</f>
        <v>188</v>
      </c>
      <c r="Z22" s="170">
        <f>'Закупка'!Q22</f>
        <v>187.999999</v>
      </c>
      <c r="AA22" s="171" t="str">
        <f>'Закупка'!R22</f>
        <v/>
      </c>
      <c r="AB22" s="172">
        <f>'Закупка'!T22</f>
        <v>8400365</v>
      </c>
      <c r="AC22" s="173" t="str">
        <f>'Закупка'!S22</f>
        <v>8400365 - ARBOL DE JADE T25 -planta/120 ( ARBOL DE JADE GRANDE  (Crassula Ovata) T-25)</v>
      </c>
      <c r="AD22" s="175" t="str">
        <f>'Закупка'!W22</f>
        <v>https://drive.google.com/uc?export=view&amp;id=1lx61k_U5Kp0yFS3ThzMZxvaYOsDd3GCE</v>
      </c>
      <c r="AE22" s="87" t="str">
        <f>'Закупка'!Y22</f>
        <v/>
      </c>
    </row>
    <row r="23">
      <c r="A23" s="98" t="str">
        <f>'Закупка'!A23</f>
        <v>1.20</v>
      </c>
      <c r="B23" s="81" t="str">
        <f>'Закупка'!B23</f>
        <v>CRASSULA OVATA</v>
      </c>
      <c r="C23" s="163" t="str">
        <f>'Закупка'!L23</f>
        <v/>
      </c>
      <c r="D23" s="164" t="str">
        <f>'Закупка'!G23</f>
        <v/>
      </c>
      <c r="E23" s="163" t="str">
        <f>Muntaner!G23</f>
        <v/>
      </c>
      <c r="F23" s="165" t="str">
        <f>Muntaner!H23</f>
        <v/>
      </c>
      <c r="G23" s="164" t="str">
        <f>'Закупка'!H23</f>
        <v/>
      </c>
      <c r="H23" s="163" t="str">
        <f>Plaza!G23</f>
        <v/>
      </c>
      <c r="I23" s="165" t="str">
        <f>Plaza!H23</f>
        <v/>
      </c>
      <c r="J23" s="164" t="str">
        <f>'Закупка'!I23</f>
        <v/>
      </c>
      <c r="K23" s="163" t="str">
        <f>Augusta!G23</f>
        <v/>
      </c>
      <c r="L23" s="165" t="str">
        <f>Augusta!H23</f>
        <v/>
      </c>
      <c r="M23" s="164" t="str">
        <f>'Закупка'!J23</f>
        <v/>
      </c>
      <c r="N23" s="163" t="str">
        <f>Gloria!G23</f>
        <v/>
      </c>
      <c r="O23" s="165" t="str">
        <f>Gloria!H23</f>
        <v/>
      </c>
      <c r="P23" s="164">
        <f>'Закупка'!K23</f>
        <v>1</v>
      </c>
      <c r="Q23" s="163">
        <f>Blau!G23</f>
        <v>1</v>
      </c>
      <c r="R23" s="165">
        <f>Blau!H23</f>
        <v>1</v>
      </c>
      <c r="S23" s="166">
        <f>'Закупка'!E23</f>
        <v>1</v>
      </c>
      <c r="T23" s="166">
        <f t="shared" si="1"/>
        <v>1</v>
      </c>
      <c r="U23" s="34" t="str">
        <f>'Закупка'!F23</f>
        <v>1</v>
      </c>
      <c r="V23" s="167">
        <f>'Закупка'!O23</f>
        <v>1</v>
      </c>
      <c r="W23" s="167">
        <f t="shared" si="2"/>
        <v>1</v>
      </c>
      <c r="X23" s="168"/>
      <c r="Y23" s="169">
        <f>'Закупка'!P23</f>
        <v>188</v>
      </c>
      <c r="Z23" s="170">
        <f>'Закупка'!Q23</f>
        <v>187.999999</v>
      </c>
      <c r="AA23" s="171" t="str">
        <f>'Закупка'!R23</f>
        <v/>
      </c>
      <c r="AB23" s="172">
        <f>'Закупка'!T23</f>
        <v>8400365</v>
      </c>
      <c r="AC23" s="173" t="str">
        <f>'Закупка'!S23</f>
        <v>8400365 - ARBOL DE JADE T25 -planta/188 ( ARBOL DE JADE GRANDE  (Crassula Ovata) T-25)</v>
      </c>
      <c r="AD23" s="175" t="str">
        <f>'Закупка'!W23</f>
        <v>https://drive.google.com/uc?export=view&amp;id=1lx61k_U5Kp0yFS3ThzMZxvaYOsDd3GCE</v>
      </c>
      <c r="AE23" s="87" t="str">
        <f>'Закупка'!Y23</f>
        <v/>
      </c>
    </row>
    <row r="24">
      <c r="A24" s="98" t="str">
        <f>'Закупка'!A24</f>
        <v>1.21</v>
      </c>
      <c r="B24" s="81" t="str">
        <f>'Закупка'!B24</f>
        <v>CODIAEUM VARI MRS ICETON</v>
      </c>
      <c r="C24" s="163" t="str">
        <f>'Закупка'!L24</f>
        <v/>
      </c>
      <c r="D24" s="164" t="str">
        <f>'Закупка'!G24</f>
        <v/>
      </c>
      <c r="E24" s="163" t="str">
        <f>Muntaner!G24</f>
        <v/>
      </c>
      <c r="F24" s="165" t="str">
        <f>Muntaner!H24</f>
        <v/>
      </c>
      <c r="G24" s="164" t="str">
        <f>'Закупка'!H24</f>
        <v/>
      </c>
      <c r="H24" s="163" t="str">
        <f>Plaza!G24</f>
        <v/>
      </c>
      <c r="I24" s="165" t="str">
        <f>Plaza!H24</f>
        <v/>
      </c>
      <c r="J24" s="164" t="str">
        <f>'Закупка'!I24</f>
        <v/>
      </c>
      <c r="K24" s="163" t="str">
        <f>Augusta!G24</f>
        <v/>
      </c>
      <c r="L24" s="165" t="str">
        <f>Augusta!H24</f>
        <v/>
      </c>
      <c r="M24" s="164">
        <f>'Закупка'!J24</f>
        <v>3</v>
      </c>
      <c r="N24" s="163">
        <f>Gloria!G24</f>
        <v>3</v>
      </c>
      <c r="O24" s="165">
        <f>Gloria!H24</f>
        <v>3</v>
      </c>
      <c r="P24" s="164" t="str">
        <f>'Закупка'!K24</f>
        <v/>
      </c>
      <c r="Q24" s="163" t="str">
        <f>Blau!G24</f>
        <v/>
      </c>
      <c r="R24" s="165" t="str">
        <f>Blau!H24</f>
        <v/>
      </c>
      <c r="S24" s="166">
        <f>'Закупка'!E24</f>
        <v>3</v>
      </c>
      <c r="T24" s="166">
        <f t="shared" si="1"/>
        <v>3</v>
      </c>
      <c r="U24" s="34" t="str">
        <f>'Закупка'!F24</f>
        <v>1</v>
      </c>
      <c r="V24" s="167">
        <f>'Закупка'!O24</f>
        <v>3</v>
      </c>
      <c r="W24" s="167">
        <f t="shared" si="2"/>
        <v>3</v>
      </c>
      <c r="X24" s="168"/>
      <c r="Y24" s="169">
        <f>'Закупка'!P24</f>
        <v>36</v>
      </c>
      <c r="Z24" s="170">
        <f>'Закупка'!Q24</f>
        <v>35.999997</v>
      </c>
      <c r="AA24" s="171" t="str">
        <f>'Закупка'!R24</f>
        <v/>
      </c>
      <c r="AB24" s="172">
        <f>'Закупка'!T24</f>
        <v>8400558</v>
      </c>
      <c r="AC24" s="173" t="str">
        <f>'Закупка'!S24</f>
        <v>8400558 - CROTON 50cm - Petra - planta/36 (81945, CROMA20)</v>
      </c>
      <c r="AD24" s="175" t="str">
        <f>'Закупка'!W24</f>
        <v>https://drive.google.com/uc?export=view&amp;id=1bQ_DhntG2uRO8Okt4v1vWc7zG6mHvaCV</v>
      </c>
      <c r="AE24" s="87" t="str">
        <f>'Закупка'!Y24</f>
        <v/>
      </c>
    </row>
    <row r="25">
      <c r="A25" s="98" t="str">
        <f>'Закупка'!A25</f>
        <v>1.22</v>
      </c>
      <c r="B25" s="81" t="str">
        <f>'Закупка'!B25</f>
        <v>LAVANDULA STOE ANOUK</v>
      </c>
      <c r="C25" s="163" t="str">
        <f>'Закупка'!L25</f>
        <v/>
      </c>
      <c r="D25" s="164" t="str">
        <f>'Закупка'!G25</f>
        <v/>
      </c>
      <c r="E25" s="163" t="str">
        <f>Muntaner!G25</f>
        <v/>
      </c>
      <c r="F25" s="165" t="str">
        <f>Muntaner!H25</f>
        <v/>
      </c>
      <c r="G25" s="164" t="str">
        <f>'Закупка'!H25</f>
        <v/>
      </c>
      <c r="H25" s="163" t="str">
        <f>Plaza!G25</f>
        <v/>
      </c>
      <c r="I25" s="165" t="str">
        <f>Plaza!H25</f>
        <v/>
      </c>
      <c r="J25" s="164" t="str">
        <f>'Закупка'!I25</f>
        <v/>
      </c>
      <c r="K25" s="163" t="str">
        <f>Augusta!G25</f>
        <v/>
      </c>
      <c r="L25" s="165" t="str">
        <f>Augusta!H25</f>
        <v/>
      </c>
      <c r="M25" s="164" t="str">
        <f>'Закупка'!J25</f>
        <v/>
      </c>
      <c r="N25" s="163" t="str">
        <f>Gloria!G25</f>
        <v/>
      </c>
      <c r="O25" s="165" t="str">
        <f>Gloria!H25</f>
        <v/>
      </c>
      <c r="P25" s="164">
        <f>'Закупка'!K25</f>
        <v>6</v>
      </c>
      <c r="Q25" s="163">
        <f>Blau!G25</f>
        <v>6</v>
      </c>
      <c r="R25" s="165">
        <f>Blau!H25</f>
        <v>6</v>
      </c>
      <c r="S25" s="166">
        <f>'Закупка'!E25</f>
        <v>6</v>
      </c>
      <c r="T25" s="166">
        <f t="shared" si="1"/>
        <v>6</v>
      </c>
      <c r="U25" s="34" t="str">
        <f>'Закупка'!F25</f>
        <v>1</v>
      </c>
      <c r="V25" s="167">
        <f>'Закупка'!O25</f>
        <v>6</v>
      </c>
      <c r="W25" s="167">
        <f t="shared" si="2"/>
        <v>6</v>
      </c>
      <c r="X25" s="168"/>
      <c r="Y25" s="169" t="str">
        <f>'Закупка'!P25</f>
        <v/>
      </c>
      <c r="Z25" s="170">
        <f>'Закупка'!Q25</f>
        <v>14.999996</v>
      </c>
      <c r="AA25" s="171" t="str">
        <f>'Закупка'!R25</f>
        <v/>
      </c>
      <c r="AB25" s="172">
        <f>'Закупка'!T25</f>
        <v>8400357</v>
      </c>
      <c r="AC25" s="173" t="str">
        <f>'Закупка'!S25</f>
        <v>8400357 - LAVANDULA T13 - planta (LAV13 LAVANDULA T-13, 42454)</v>
      </c>
      <c r="AD25" s="175" t="str">
        <f>'Закупка'!W25</f>
        <v>https://drive.google.com/uc?export=view&amp;id=1b7R1A9LoTC34-OMZMrvcLKwKIECUi_Os</v>
      </c>
      <c r="AE25" s="87" t="str">
        <f>'Закупка'!Y25</f>
        <v/>
      </c>
    </row>
    <row r="26">
      <c r="A26" s="98" t="str">
        <f>'Закупка'!A26</f>
        <v>1.23</v>
      </c>
      <c r="B26" s="81" t="str">
        <f>'Закупка'!B26</f>
        <v>KALANCHOE LUCKY BELLS</v>
      </c>
      <c r="C26" s="163" t="str">
        <f>'Закупка'!L26</f>
        <v/>
      </c>
      <c r="D26" s="164" t="str">
        <f>'Закупка'!G26</f>
        <v/>
      </c>
      <c r="E26" s="163" t="str">
        <f>Muntaner!G26</f>
        <v/>
      </c>
      <c r="F26" s="165" t="str">
        <f>Muntaner!H26</f>
        <v/>
      </c>
      <c r="G26" s="164" t="str">
        <f>'Закупка'!H26</f>
        <v/>
      </c>
      <c r="H26" s="163" t="str">
        <f>Plaza!G26</f>
        <v/>
      </c>
      <c r="I26" s="165" t="str">
        <f>Plaza!H26</f>
        <v/>
      </c>
      <c r="J26" s="164" t="str">
        <f>'Закупка'!I26</f>
        <v/>
      </c>
      <c r="K26" s="163" t="str">
        <f>Augusta!G26</f>
        <v/>
      </c>
      <c r="L26" s="165" t="str">
        <f>Augusta!H26</f>
        <v/>
      </c>
      <c r="M26" s="164">
        <f>'Закупка'!J26</f>
        <v>6</v>
      </c>
      <c r="N26" s="163">
        <f>Gloria!G26</f>
        <v>1</v>
      </c>
      <c r="O26" s="165">
        <f>Gloria!H26</f>
        <v>6</v>
      </c>
      <c r="P26" s="164" t="str">
        <f>'Закупка'!K26</f>
        <v/>
      </c>
      <c r="Q26" s="163" t="str">
        <f>Blau!G26</f>
        <v/>
      </c>
      <c r="R26" s="165" t="str">
        <f>Blau!H26</f>
        <v/>
      </c>
      <c r="S26" s="166">
        <f>'Закупка'!E26</f>
        <v>6</v>
      </c>
      <c r="T26" s="166">
        <f t="shared" si="1"/>
        <v>1</v>
      </c>
      <c r="U26" s="34" t="str">
        <f>'Закупка'!F26</f>
        <v>1</v>
      </c>
      <c r="V26" s="167">
        <f>'Закупка'!O26</f>
        <v>6</v>
      </c>
      <c r="W26" s="167">
        <f t="shared" si="2"/>
        <v>6</v>
      </c>
      <c r="X26" s="168"/>
      <c r="Y26" s="169">
        <f>'Закупка'!P26</f>
        <v>18</v>
      </c>
      <c r="Z26" s="170">
        <f>'Закупка'!Q26</f>
        <v>18.000004</v>
      </c>
      <c r="AA26" s="171" t="str">
        <f>'Закупка'!R26</f>
        <v/>
      </c>
      <c r="AB26" s="172">
        <f>'Закупка'!T26</f>
        <v>8400448</v>
      </c>
      <c r="AC26" s="173" t="str">
        <f>'Закупка'!S26</f>
        <v>8400448 - KALANCHOE T25 - Pumila - planta/18 (KAL-P  KALANCHOE PUMILA T-25 planta, KCALT)</v>
      </c>
      <c r="AD26" s="175" t="str">
        <f>'Закупка'!W26</f>
        <v>https://drive.google.com/uc?export=view&amp;id=1OsLbWUraJBcbC_4ErrdcoBAP-oM2MkBa</v>
      </c>
      <c r="AE26" s="87" t="str">
        <f>'Закупка'!Y26</f>
        <v/>
      </c>
    </row>
    <row r="27">
      <c r="A27" s="98" t="str">
        <f>'Закупка'!A27</f>
        <v>1.24</v>
      </c>
      <c r="B27" s="81" t="str">
        <f>'Закупка'!B27</f>
        <v>EUPHORBIA TRIGONA</v>
      </c>
      <c r="C27" s="163" t="str">
        <f>'Закупка'!L27</f>
        <v/>
      </c>
      <c r="D27" s="164" t="str">
        <f>'Закупка'!G27</f>
        <v/>
      </c>
      <c r="E27" s="163" t="str">
        <f>Muntaner!G27</f>
        <v/>
      </c>
      <c r="F27" s="165" t="str">
        <f>Muntaner!H27</f>
        <v/>
      </c>
      <c r="G27" s="164" t="str">
        <f>'Закупка'!H27</f>
        <v/>
      </c>
      <c r="H27" s="163" t="str">
        <f>Plaza!G27</f>
        <v/>
      </c>
      <c r="I27" s="165" t="str">
        <f>Plaza!H27</f>
        <v/>
      </c>
      <c r="J27" s="164" t="str">
        <f>'Закупка'!I27</f>
        <v/>
      </c>
      <c r="K27" s="163" t="str">
        <f>Augusta!G27</f>
        <v/>
      </c>
      <c r="L27" s="165" t="str">
        <f>Augusta!H27</f>
        <v/>
      </c>
      <c r="M27" s="164" t="str">
        <f>'Закупка'!J27</f>
        <v/>
      </c>
      <c r="N27" s="163" t="str">
        <f>Gloria!G27</f>
        <v/>
      </c>
      <c r="O27" s="165" t="str">
        <f>Gloria!H27</f>
        <v/>
      </c>
      <c r="P27" s="164">
        <f>'Закупка'!K27</f>
        <v>10</v>
      </c>
      <c r="Q27" s="163">
        <f>Blau!G27</f>
        <v>10</v>
      </c>
      <c r="R27" s="165">
        <f>Blau!H27</f>
        <v>10</v>
      </c>
      <c r="S27" s="166">
        <f>'Закупка'!E27</f>
        <v>10</v>
      </c>
      <c r="T27" s="166">
        <f t="shared" si="1"/>
        <v>10</v>
      </c>
      <c r="U27" s="34" t="str">
        <f>'Закупка'!F27</f>
        <v>1</v>
      </c>
      <c r="V27" s="167">
        <f>'Закупка'!O27</f>
        <v>10</v>
      </c>
      <c r="W27" s="167">
        <f t="shared" si="2"/>
        <v>10</v>
      </c>
      <c r="X27" s="168"/>
      <c r="Y27" s="169" t="str">
        <f>'Закупка'!P27</f>
        <v/>
      </c>
      <c r="Z27" s="170">
        <f>'Закупка'!Q27</f>
        <v>22</v>
      </c>
      <c r="AA27" s="171" t="str">
        <f>'Закупка'!R27</f>
        <v/>
      </c>
      <c r="AB27" s="172">
        <f>'Закупка'!T27</f>
        <v>8400556</v>
      </c>
      <c r="AC27" s="173" t="str">
        <f>'Закупка'!S27</f>
        <v>8400556 - EUPHORBIA 30cm -Milii - planta/22 (174581, EUV)</v>
      </c>
      <c r="AD27" s="175" t="str">
        <f>'Закупка'!W27</f>
        <v>https://drive.google.com/uc?export=view&amp;id=12K7rSNmKuUyPiVea-hixINhAgk9pFzEX</v>
      </c>
      <c r="AE27" s="87" t="str">
        <f>'Закупка'!Y27</f>
        <v/>
      </c>
    </row>
    <row r="28">
      <c r="A28" s="98" t="str">
        <f>'Закупка'!A28</f>
        <v>1.25</v>
      </c>
      <c r="B28" s="81" t="str">
        <f>'Закупка'!B28</f>
        <v>PTPB6537 ARRANGEMENTEN PASEN</v>
      </c>
      <c r="C28" s="163" t="str">
        <f>'Закупка'!L28</f>
        <v/>
      </c>
      <c r="D28" s="164" t="str">
        <f>'Закупка'!G28</f>
        <v/>
      </c>
      <c r="E28" s="163" t="str">
        <f>Muntaner!G28</f>
        <v/>
      </c>
      <c r="F28" s="165" t="str">
        <f>Muntaner!H28</f>
        <v/>
      </c>
      <c r="G28" s="164" t="str">
        <f>'Закупка'!H28</f>
        <v/>
      </c>
      <c r="H28" s="163" t="str">
        <f>Plaza!G28</f>
        <v/>
      </c>
      <c r="I28" s="165" t="str">
        <f>Plaza!H28</f>
        <v/>
      </c>
      <c r="J28" s="164" t="str">
        <f>'Закупка'!I28</f>
        <v/>
      </c>
      <c r="K28" s="163" t="str">
        <f>Augusta!G28</f>
        <v/>
      </c>
      <c r="L28" s="165" t="str">
        <f>Augusta!H28</f>
        <v/>
      </c>
      <c r="M28" s="164">
        <f>'Закупка'!J28</f>
        <v>1</v>
      </c>
      <c r="N28" s="163">
        <f>Gloria!G28</f>
        <v>1</v>
      </c>
      <c r="O28" s="165">
        <f>Gloria!H28</f>
        <v>1</v>
      </c>
      <c r="P28" s="164">
        <f>'Закупка'!K28</f>
        <v>1</v>
      </c>
      <c r="Q28" s="163">
        <f>Blau!G28</f>
        <v>1</v>
      </c>
      <c r="R28" s="165">
        <f>Blau!H28</f>
        <v>1</v>
      </c>
      <c r="S28" s="166">
        <f>'Закупка'!E28</f>
        <v>2</v>
      </c>
      <c r="T28" s="166">
        <f t="shared" si="1"/>
        <v>2</v>
      </c>
      <c r="U28" s="34" t="str">
        <f>'Закупка'!F28</f>
        <v>1</v>
      </c>
      <c r="V28" s="167">
        <f>'Закупка'!O28</f>
        <v>2</v>
      </c>
      <c r="W28" s="167">
        <f t="shared" si="2"/>
        <v>2</v>
      </c>
      <c r="X28" s="168"/>
      <c r="Y28" s="169">
        <f>'Закупка'!P28</f>
        <v>65</v>
      </c>
      <c r="Z28" s="170">
        <f>'Закупка'!Q28</f>
        <v>65.000001</v>
      </c>
      <c r="AA28" s="171" t="str">
        <f>'Закупка'!R28</f>
        <v/>
      </c>
      <c r="AB28" s="172">
        <f>'Закупка'!T28</f>
        <v>84001153</v>
      </c>
      <c r="AC28" s="173" t="str">
        <f>'Закупка'!S28</f>
        <v>84001153 - ARRANGEMENT DE PHALAENOPSIS - composición/56 ()</v>
      </c>
      <c r="AD28" s="175" t="str">
        <f>'Закупка'!W28</f>
        <v>https://drive.google.com/uc?export=view&amp;id=1SK1jetqpkHm4wysAal2kTf97P1BEWhpF</v>
      </c>
      <c r="AE28" s="87" t="str">
        <f>'Закупка'!Y28</f>
        <v/>
      </c>
    </row>
    <row r="29">
      <c r="A29" s="98" t="str">
        <f>'Закупка'!A29</f>
        <v>1.26</v>
      </c>
      <c r="B29" s="81" t="str">
        <f>'Закупка'!B29</f>
        <v>PTPB6525 ARRANGEMENTEN PASEN</v>
      </c>
      <c r="C29" s="163" t="str">
        <f>'Закупка'!L29</f>
        <v/>
      </c>
      <c r="D29" s="164" t="str">
        <f>'Закупка'!G29</f>
        <v/>
      </c>
      <c r="E29" s="163" t="str">
        <f>Muntaner!G29</f>
        <v/>
      </c>
      <c r="F29" s="165" t="str">
        <f>Muntaner!H29</f>
        <v/>
      </c>
      <c r="G29" s="164" t="str">
        <f>'Закупка'!H29</f>
        <v/>
      </c>
      <c r="H29" s="163" t="str">
        <f>Plaza!G29</f>
        <v/>
      </c>
      <c r="I29" s="165" t="str">
        <f>Plaza!H29</f>
        <v/>
      </c>
      <c r="J29" s="164" t="str">
        <f>'Закупка'!I29</f>
        <v/>
      </c>
      <c r="K29" s="163" t="str">
        <f>Augusta!G29</f>
        <v/>
      </c>
      <c r="L29" s="165" t="str">
        <f>Augusta!H29</f>
        <v/>
      </c>
      <c r="M29" s="164">
        <f>'Закупка'!J29</f>
        <v>1</v>
      </c>
      <c r="N29" s="163">
        <f>Gloria!G29</f>
        <v>1</v>
      </c>
      <c r="O29" s="165">
        <f>Gloria!H29</f>
        <v>1</v>
      </c>
      <c r="P29" s="164">
        <f>'Закупка'!K29</f>
        <v>1</v>
      </c>
      <c r="Q29" s="163">
        <f>Blau!G29</f>
        <v>1</v>
      </c>
      <c r="R29" s="165">
        <f>Blau!H29</f>
        <v>1</v>
      </c>
      <c r="S29" s="166">
        <f>'Закупка'!E29</f>
        <v>2</v>
      </c>
      <c r="T29" s="166">
        <f t="shared" si="1"/>
        <v>2</v>
      </c>
      <c r="U29" s="34" t="str">
        <f>'Закупка'!F29</f>
        <v>1</v>
      </c>
      <c r="V29" s="167">
        <f>'Закупка'!O29</f>
        <v>2</v>
      </c>
      <c r="W29" s="167">
        <f t="shared" si="2"/>
        <v>2</v>
      </c>
      <c r="X29" s="168"/>
      <c r="Y29" s="169">
        <f>'Закупка'!P29</f>
        <v>65</v>
      </c>
      <c r="Z29" s="170">
        <f>'Закупка'!Q29</f>
        <v>65.000001</v>
      </c>
      <c r="AA29" s="171" t="str">
        <f>'Закупка'!R29</f>
        <v/>
      </c>
      <c r="AB29" s="172">
        <f>'Закупка'!T29</f>
        <v>84001153</v>
      </c>
      <c r="AC29" s="173" t="str">
        <f>'Закупка'!S29</f>
        <v>84001153 - ARRANGEMENT DE PHALAENOPSIS - composición/56 ()</v>
      </c>
      <c r="AD29" s="175" t="str">
        <f>'Закупка'!W29</f>
        <v>https://drive.google.com/uc?export=view&amp;id=1SK1jetqpkHm4wysAal2kTf97P1BEWhpF</v>
      </c>
      <c r="AE29" s="87" t="str">
        <f>'Закупка'!Y29</f>
        <v/>
      </c>
    </row>
    <row r="30">
      <c r="A30" s="98" t="str">
        <f>'Закупка'!A30</f>
        <v>1.27</v>
      </c>
      <c r="B30" s="81" t="str">
        <f>'Закупка'!B30</f>
        <v>PHALAENOPSIS OTHER YELLOW</v>
      </c>
      <c r="C30" s="163" t="str">
        <f>'Закупка'!L30</f>
        <v/>
      </c>
      <c r="D30" s="164" t="str">
        <f>'Закупка'!G30</f>
        <v/>
      </c>
      <c r="E30" s="163" t="str">
        <f>Muntaner!G30</f>
        <v/>
      </c>
      <c r="F30" s="165" t="str">
        <f>Muntaner!H30</f>
        <v/>
      </c>
      <c r="G30" s="164" t="str">
        <f>'Закупка'!H30</f>
        <v/>
      </c>
      <c r="H30" s="163" t="str">
        <f>Plaza!G30</f>
        <v/>
      </c>
      <c r="I30" s="165" t="str">
        <f>Plaza!H30</f>
        <v/>
      </c>
      <c r="J30" s="164" t="str">
        <f>'Закупка'!I30</f>
        <v/>
      </c>
      <c r="K30" s="163" t="str">
        <f>Augusta!G30</f>
        <v/>
      </c>
      <c r="L30" s="165" t="str">
        <f>Augusta!H30</f>
        <v/>
      </c>
      <c r="M30" s="164">
        <f>'Закупка'!J30</f>
        <v>6</v>
      </c>
      <c r="N30" s="163">
        <f>Gloria!G30</f>
        <v>6</v>
      </c>
      <c r="O30" s="165">
        <f>Gloria!H30</f>
        <v>6</v>
      </c>
      <c r="P30" s="164" t="str">
        <f>'Закупка'!K30</f>
        <v/>
      </c>
      <c r="Q30" s="163" t="str">
        <f>Blau!G30</f>
        <v/>
      </c>
      <c r="R30" s="165" t="str">
        <f>Blau!H30</f>
        <v/>
      </c>
      <c r="S30" s="166">
        <f>'Закупка'!E30</f>
        <v>6</v>
      </c>
      <c r="T30" s="166">
        <f t="shared" si="1"/>
        <v>6</v>
      </c>
      <c r="U30" s="34" t="str">
        <f>'Закупка'!F30</f>
        <v>1</v>
      </c>
      <c r="V30" s="167">
        <f>'Закупка'!O30</f>
        <v>6</v>
      </c>
      <c r="W30" s="167">
        <f t="shared" si="2"/>
        <v>6</v>
      </c>
      <c r="X30" s="168"/>
      <c r="Y30" s="169">
        <f>'Закупка'!P30</f>
        <v>28</v>
      </c>
      <c r="Z30" s="170">
        <f>'Закупка'!Q30</f>
        <v>28.000005</v>
      </c>
      <c r="AA30" s="171" t="str">
        <f>'Закупка'!R30</f>
        <v/>
      </c>
      <c r="AB30" s="172">
        <f>'Закупка'!T30</f>
        <v>8400391</v>
      </c>
      <c r="AC30" s="173" t="str">
        <f>'Закупка'!S30</f>
        <v>8400391 - PHALAENOPSIS MIX - planta/28 (161202, 179376, 144102, 179304, 191963, 135419, 182797, 127000, 191284)</v>
      </c>
      <c r="AD30" s="175" t="str">
        <f>'Закупка'!W30</f>
        <v>https://drive.google.com/uc?export=view&amp;id=1r3AGRebywrGIf9rgKm41rhLoFBf_VJYs</v>
      </c>
      <c r="AE30" s="87" t="str">
        <f>'Закупка'!Y30</f>
        <v/>
      </c>
    </row>
    <row r="31">
      <c r="A31" s="98" t="str">
        <f>'Закупка'!A31</f>
        <v>1.28</v>
      </c>
      <c r="B31" s="81" t="str">
        <f>'Закупка'!B31</f>
        <v>SUCCULENTEN OTHER</v>
      </c>
      <c r="C31" s="163" t="str">
        <f>'Закупка'!L31</f>
        <v/>
      </c>
      <c r="D31" s="164" t="str">
        <f>'Закупка'!G31</f>
        <v/>
      </c>
      <c r="E31" s="163" t="str">
        <f>Muntaner!G31</f>
        <v/>
      </c>
      <c r="F31" s="165" t="str">
        <f>Muntaner!H31</f>
        <v/>
      </c>
      <c r="G31" s="164" t="str">
        <f>'Закупка'!H31</f>
        <v/>
      </c>
      <c r="H31" s="163" t="str">
        <f>Plaza!G31</f>
        <v/>
      </c>
      <c r="I31" s="165" t="str">
        <f>Plaza!H31</f>
        <v/>
      </c>
      <c r="J31" s="164" t="str">
        <f>'Закупка'!I31</f>
        <v/>
      </c>
      <c r="K31" s="163" t="str">
        <f>Augusta!G31</f>
        <v/>
      </c>
      <c r="L31" s="165" t="str">
        <f>Augusta!H31</f>
        <v/>
      </c>
      <c r="M31" s="164" t="str">
        <f>'Закупка'!J31</f>
        <v/>
      </c>
      <c r="N31" s="163" t="str">
        <f>Gloria!G31</f>
        <v/>
      </c>
      <c r="O31" s="165" t="str">
        <f>Gloria!H31</f>
        <v/>
      </c>
      <c r="P31" s="164">
        <f>'Закупка'!K31</f>
        <v>3</v>
      </c>
      <c r="Q31" s="163">
        <f>Blau!G31</f>
        <v>3</v>
      </c>
      <c r="R31" s="165">
        <f>Blau!H31</f>
        <v>3</v>
      </c>
      <c r="S31" s="166">
        <f>'Закупка'!E31</f>
        <v>3</v>
      </c>
      <c r="T31" s="166">
        <f t="shared" si="1"/>
        <v>3</v>
      </c>
      <c r="U31" s="34" t="str">
        <f>'Закупка'!F31</f>
        <v>1</v>
      </c>
      <c r="V31" s="167">
        <f>'Закупка'!O31</f>
        <v>3</v>
      </c>
      <c r="W31" s="167">
        <f t="shared" si="2"/>
        <v>3</v>
      </c>
      <c r="X31" s="168"/>
      <c r="Y31" s="169">
        <f>'Закупка'!P31</f>
        <v>28</v>
      </c>
      <c r="Z31" s="170">
        <f>'Закупка'!Q31</f>
        <v>28.000005</v>
      </c>
      <c r="AA31" s="171" t="str">
        <f>'Закупка'!R31</f>
        <v/>
      </c>
      <c r="AB31" s="172">
        <f>'Закупка'!T31</f>
        <v>8400591</v>
      </c>
      <c r="AC31" s="173" t="str">
        <f>'Закупка'!S31</f>
        <v>8400591 - SUCCULENTUS OTHER - planta/28 (CRASSCI-9, AEON.012)</v>
      </c>
      <c r="AD31" s="175" t="str">
        <f>'Закупка'!W31</f>
        <v>https://drive.google.com/uc?export=view&amp;id=1sZGDN8zhyq19KpYdDu_85JCqZfDsrTCK</v>
      </c>
      <c r="AE31" s="87" t="str">
        <f>'Закупка'!Y31</f>
        <v/>
      </c>
    </row>
    <row r="32">
      <c r="A32" s="98" t="str">
        <f>'Закупка'!A32</f>
        <v>1.29</v>
      </c>
      <c r="B32" s="81" t="str">
        <f>'Закупка'!B32</f>
        <v>RHIPSALIS MIX</v>
      </c>
      <c r="C32" s="163" t="str">
        <f>'Закупка'!L32</f>
        <v/>
      </c>
      <c r="D32" s="164" t="str">
        <f>'Закупка'!G32</f>
        <v/>
      </c>
      <c r="E32" s="163" t="str">
        <f>Muntaner!G32</f>
        <v/>
      </c>
      <c r="F32" s="165" t="str">
        <f>Muntaner!H32</f>
        <v/>
      </c>
      <c r="G32" s="164" t="str">
        <f>'Закупка'!H32</f>
        <v/>
      </c>
      <c r="H32" s="163" t="str">
        <f>Plaza!G32</f>
        <v/>
      </c>
      <c r="I32" s="165" t="str">
        <f>Plaza!H32</f>
        <v/>
      </c>
      <c r="J32" s="164" t="str">
        <f>'Закупка'!I32</f>
        <v/>
      </c>
      <c r="K32" s="163" t="str">
        <f>Augusta!G32</f>
        <v/>
      </c>
      <c r="L32" s="165" t="str">
        <f>Augusta!H32</f>
        <v/>
      </c>
      <c r="M32" s="164">
        <f>'Закупка'!J32</f>
        <v>12</v>
      </c>
      <c r="N32" s="163">
        <f>Gloria!G32</f>
        <v>1</v>
      </c>
      <c r="O32" s="165">
        <f>Gloria!H32</f>
        <v>12</v>
      </c>
      <c r="P32" s="164">
        <f>'Закупка'!K32</f>
        <v>12</v>
      </c>
      <c r="Q32" s="163">
        <f>Blau!G32</f>
        <v>12</v>
      </c>
      <c r="R32" s="165">
        <f>Blau!H32</f>
        <v>12</v>
      </c>
      <c r="S32" s="166">
        <f>'Закупка'!E32</f>
        <v>24</v>
      </c>
      <c r="T32" s="166">
        <f t="shared" si="1"/>
        <v>13</v>
      </c>
      <c r="U32" s="34" t="str">
        <f>'Закупка'!F32</f>
        <v>1</v>
      </c>
      <c r="V32" s="167">
        <f>'Закупка'!O32</f>
        <v>24</v>
      </c>
      <c r="W32" s="167">
        <f t="shared" si="2"/>
        <v>24</v>
      </c>
      <c r="X32" s="168"/>
      <c r="Y32" s="169">
        <f>'Закупка'!P32</f>
        <v>12</v>
      </c>
      <c r="Z32" s="170">
        <f>'Закупка'!Q32</f>
        <v>11.999999</v>
      </c>
      <c r="AA32" s="171" t="str">
        <f>'Закупка'!R32</f>
        <v/>
      </c>
      <c r="AB32" s="172">
        <f>'Закупка'!T32</f>
        <v>8400895</v>
      </c>
      <c r="AC32" s="173" t="str">
        <f>'Закупка'!S32</f>
        <v>8400895 - RHIPSALIS MIX - T17 planta colganta (83612)</v>
      </c>
      <c r="AD32" s="175" t="str">
        <f>'Закупка'!W32</f>
        <v>https://drive.google.com/uc?export=view&amp;id=1HMPt7u6wRyq_7yXxw94RmWmhwr-9paUV</v>
      </c>
      <c r="AE32" s="87" t="str">
        <f>'Закупка'!Y32</f>
        <v/>
      </c>
    </row>
    <row r="33">
      <c r="A33" s="98" t="str">
        <f>'Закупка'!A33</f>
        <v/>
      </c>
      <c r="B33" s="81" t="str">
        <f>'Закупка'!B33</f>
        <v/>
      </c>
      <c r="C33" s="163" t="str">
        <f>'Закупка'!L33</f>
        <v/>
      </c>
      <c r="D33" s="164" t="str">
        <f>'Закупка'!G33</f>
        <v/>
      </c>
      <c r="E33" s="163" t="str">
        <f>Muntaner!G33</f>
        <v/>
      </c>
      <c r="F33" s="165" t="str">
        <f>Muntaner!H33</f>
        <v/>
      </c>
      <c r="G33" s="164" t="str">
        <f>'Закупка'!H33</f>
        <v/>
      </c>
      <c r="H33" s="163" t="str">
        <f>Plaza!G33</f>
        <v/>
      </c>
      <c r="I33" s="165" t="str">
        <f>Plaza!H33</f>
        <v/>
      </c>
      <c r="J33" s="164" t="str">
        <f>'Закупка'!I33</f>
        <v/>
      </c>
      <c r="K33" s="163" t="str">
        <f>Augusta!G33</f>
        <v/>
      </c>
      <c r="L33" s="165" t="str">
        <f>Augusta!H33</f>
        <v/>
      </c>
      <c r="M33" s="164" t="str">
        <f>'Закупка'!J33</f>
        <v/>
      </c>
      <c r="N33" s="163" t="str">
        <f>Gloria!G33</f>
        <v/>
      </c>
      <c r="O33" s="165" t="str">
        <f>Gloria!H33</f>
        <v/>
      </c>
      <c r="P33" s="164" t="str">
        <f>'Закупка'!K33</f>
        <v/>
      </c>
      <c r="Q33" s="163" t="str">
        <f>Blau!G33</f>
        <v/>
      </c>
      <c r="R33" s="165" t="str">
        <f>Blau!H33</f>
        <v/>
      </c>
      <c r="S33" s="166" t="str">
        <f>'Закупка'!E33</f>
        <v/>
      </c>
      <c r="T33" s="166" t="str">
        <f t="shared" si="1"/>
        <v/>
      </c>
      <c r="U33" s="34" t="str">
        <f>'Закупка'!F33</f>
        <v/>
      </c>
      <c r="V33" s="167" t="str">
        <f>'Закупка'!O33</f>
        <v/>
      </c>
      <c r="W33" s="167" t="str">
        <f t="shared" si="2"/>
        <v/>
      </c>
      <c r="X33" s="168"/>
      <c r="Y33" s="169" t="str">
        <f>'Закупка'!P33</f>
        <v/>
      </c>
      <c r="Z33" s="170" t="str">
        <f>'Закупка'!Q33</f>
        <v/>
      </c>
      <c r="AA33" s="171" t="str">
        <f>'Закупка'!R33</f>
        <v/>
      </c>
      <c r="AB33" s="172" t="str">
        <f>'Закупка'!T33</f>
        <v/>
      </c>
      <c r="AC33" s="173" t="str">
        <f>'Закупка'!S33</f>
        <v/>
      </c>
      <c r="AD33" s="174" t="str">
        <f>'Закупка'!W33</f>
        <v/>
      </c>
      <c r="AE33" s="87" t="str">
        <f>'Закупка'!Y33</f>
        <v/>
      </c>
    </row>
    <row r="34">
      <c r="A34" s="98" t="str">
        <f>'Закупка'!A34</f>
        <v/>
      </c>
      <c r="B34" s="81" t="str">
        <f>'Закупка'!B34</f>
        <v/>
      </c>
      <c r="C34" s="163" t="str">
        <f>'Закупка'!L34</f>
        <v/>
      </c>
      <c r="D34" s="164" t="str">
        <f>'Закупка'!G34</f>
        <v/>
      </c>
      <c r="E34" s="163" t="str">
        <f>Muntaner!G34</f>
        <v/>
      </c>
      <c r="F34" s="165" t="str">
        <f>Muntaner!H34</f>
        <v/>
      </c>
      <c r="G34" s="164" t="str">
        <f>'Закупка'!H34</f>
        <v/>
      </c>
      <c r="H34" s="163" t="str">
        <f>Plaza!G34</f>
        <v/>
      </c>
      <c r="I34" s="165" t="str">
        <f>Plaza!H34</f>
        <v/>
      </c>
      <c r="J34" s="164" t="str">
        <f>'Закупка'!I34</f>
        <v/>
      </c>
      <c r="K34" s="163" t="str">
        <f>Augusta!G34</f>
        <v/>
      </c>
      <c r="L34" s="165" t="str">
        <f>Augusta!H34</f>
        <v/>
      </c>
      <c r="M34" s="164" t="str">
        <f>'Закупка'!J34</f>
        <v/>
      </c>
      <c r="N34" s="163" t="str">
        <f>Gloria!G34</f>
        <v/>
      </c>
      <c r="O34" s="165" t="str">
        <f>Gloria!H34</f>
        <v/>
      </c>
      <c r="P34" s="164" t="str">
        <f>'Закупка'!K34</f>
        <v/>
      </c>
      <c r="Q34" s="163" t="str">
        <f>Blau!G34</f>
        <v/>
      </c>
      <c r="R34" s="165" t="str">
        <f>Blau!H34</f>
        <v/>
      </c>
      <c r="S34" s="166" t="str">
        <f>'Закупка'!E34</f>
        <v/>
      </c>
      <c r="T34" s="166" t="str">
        <f t="shared" si="1"/>
        <v/>
      </c>
      <c r="U34" s="34" t="str">
        <f>'Закупка'!F34</f>
        <v/>
      </c>
      <c r="V34" s="167" t="str">
        <f>'Закупка'!O34</f>
        <v/>
      </c>
      <c r="W34" s="167" t="str">
        <f t="shared" si="2"/>
        <v/>
      </c>
      <c r="X34" s="168"/>
      <c r="Y34" s="169" t="str">
        <f>'Закупка'!P34</f>
        <v/>
      </c>
      <c r="Z34" s="170" t="str">
        <f>'Закупка'!Q34</f>
        <v/>
      </c>
      <c r="AA34" s="171" t="str">
        <f>'Закупка'!R34</f>
        <v/>
      </c>
      <c r="AB34" s="172" t="str">
        <f>'Закупка'!T34</f>
        <v/>
      </c>
      <c r="AC34" s="173" t="str">
        <f>'Закупка'!S34</f>
        <v/>
      </c>
      <c r="AD34" s="174" t="str">
        <f>'Закупка'!W34</f>
        <v/>
      </c>
      <c r="AE34" s="87" t="str">
        <f>'Закупка'!Y34</f>
        <v/>
      </c>
    </row>
    <row r="35">
      <c r="A35" s="98" t="str">
        <f>'Закупка'!A35</f>
        <v/>
      </c>
      <c r="B35" s="81" t="str">
        <f>'Закупка'!B35</f>
        <v/>
      </c>
      <c r="C35" s="163" t="str">
        <f>'Закупка'!L35</f>
        <v/>
      </c>
      <c r="D35" s="164" t="str">
        <f>'Закупка'!G35</f>
        <v/>
      </c>
      <c r="E35" s="163" t="str">
        <f>Muntaner!G35</f>
        <v/>
      </c>
      <c r="F35" s="165" t="str">
        <f>Muntaner!H35</f>
        <v/>
      </c>
      <c r="G35" s="164" t="str">
        <f>'Закупка'!H35</f>
        <v/>
      </c>
      <c r="H35" s="163" t="str">
        <f>Plaza!G35</f>
        <v/>
      </c>
      <c r="I35" s="165" t="str">
        <f>Plaza!H35</f>
        <v/>
      </c>
      <c r="J35" s="164" t="str">
        <f>'Закупка'!I35</f>
        <v/>
      </c>
      <c r="K35" s="163" t="str">
        <f>Augusta!G35</f>
        <v/>
      </c>
      <c r="L35" s="165" t="str">
        <f>Augusta!H35</f>
        <v/>
      </c>
      <c r="M35" s="164" t="str">
        <f>'Закупка'!J35</f>
        <v/>
      </c>
      <c r="N35" s="163" t="str">
        <f>Gloria!G35</f>
        <v/>
      </c>
      <c r="O35" s="165" t="str">
        <f>Gloria!H35</f>
        <v/>
      </c>
      <c r="P35" s="164" t="str">
        <f>'Закупка'!K35</f>
        <v/>
      </c>
      <c r="Q35" s="163" t="str">
        <f>Blau!G35</f>
        <v/>
      </c>
      <c r="R35" s="165" t="str">
        <f>Blau!H35</f>
        <v/>
      </c>
      <c r="S35" s="166" t="str">
        <f>'Закупка'!E35</f>
        <v/>
      </c>
      <c r="T35" s="166" t="str">
        <f t="shared" si="1"/>
        <v/>
      </c>
      <c r="U35" s="34" t="str">
        <f>'Закупка'!F35</f>
        <v/>
      </c>
      <c r="V35" s="167" t="str">
        <f>'Закупка'!O35</f>
        <v/>
      </c>
      <c r="W35" s="167" t="str">
        <f t="shared" si="2"/>
        <v/>
      </c>
      <c r="X35" s="168"/>
      <c r="Y35" s="169" t="str">
        <f>'Закупка'!P35</f>
        <v/>
      </c>
      <c r="Z35" s="170" t="str">
        <f>'Закупка'!Q35</f>
        <v/>
      </c>
      <c r="AA35" s="171" t="str">
        <f>'Закупка'!R35</f>
        <v/>
      </c>
      <c r="AB35" s="172" t="str">
        <f>'Закупка'!T35</f>
        <v/>
      </c>
      <c r="AC35" s="173" t="str">
        <f>'Закупка'!S35</f>
        <v/>
      </c>
      <c r="AD35" s="174" t="str">
        <f>'Закупка'!W35</f>
        <v/>
      </c>
      <c r="AE35" s="87" t="str">
        <f>'Закупка'!Y35</f>
        <v/>
      </c>
    </row>
    <row r="36">
      <c r="A36" s="98" t="str">
        <f>'Закупка'!A36</f>
        <v/>
      </c>
      <c r="B36" s="81" t="str">
        <f>'Закупка'!B36</f>
        <v/>
      </c>
      <c r="C36" s="163" t="str">
        <f>'Закупка'!L36</f>
        <v/>
      </c>
      <c r="D36" s="164" t="str">
        <f>'Закупка'!G36</f>
        <v/>
      </c>
      <c r="E36" s="163" t="str">
        <f>Muntaner!G36</f>
        <v/>
      </c>
      <c r="F36" s="165" t="str">
        <f>Muntaner!H36</f>
        <v/>
      </c>
      <c r="G36" s="164" t="str">
        <f>'Закупка'!H36</f>
        <v/>
      </c>
      <c r="H36" s="163" t="str">
        <f>Plaza!G36</f>
        <v/>
      </c>
      <c r="I36" s="165" t="str">
        <f>Plaza!H36</f>
        <v/>
      </c>
      <c r="J36" s="164" t="str">
        <f>'Закупка'!I36</f>
        <v/>
      </c>
      <c r="K36" s="163" t="str">
        <f>Augusta!G36</f>
        <v/>
      </c>
      <c r="L36" s="165" t="str">
        <f>Augusta!H36</f>
        <v/>
      </c>
      <c r="M36" s="164" t="str">
        <f>'Закупка'!J36</f>
        <v/>
      </c>
      <c r="N36" s="163" t="str">
        <f>Gloria!G36</f>
        <v/>
      </c>
      <c r="O36" s="165" t="str">
        <f>Gloria!H36</f>
        <v/>
      </c>
      <c r="P36" s="164" t="str">
        <f>'Закупка'!K36</f>
        <v/>
      </c>
      <c r="Q36" s="163" t="str">
        <f>Blau!G36</f>
        <v/>
      </c>
      <c r="R36" s="165" t="str">
        <f>Blau!H36</f>
        <v/>
      </c>
      <c r="S36" s="166" t="str">
        <f>'Закупка'!E36</f>
        <v/>
      </c>
      <c r="T36" s="166" t="str">
        <f t="shared" si="1"/>
        <v/>
      </c>
      <c r="U36" s="34" t="str">
        <f>'Закупка'!F36</f>
        <v/>
      </c>
      <c r="V36" s="167" t="str">
        <f>'Закупка'!O36</f>
        <v/>
      </c>
      <c r="W36" s="167" t="str">
        <f t="shared" si="2"/>
        <v/>
      </c>
      <c r="X36" s="168"/>
      <c r="Y36" s="169" t="str">
        <f>'Закупка'!P36</f>
        <v/>
      </c>
      <c r="Z36" s="170" t="str">
        <f>'Закупка'!Q36</f>
        <v/>
      </c>
      <c r="AA36" s="171" t="str">
        <f>'Закупка'!R36</f>
        <v/>
      </c>
      <c r="AB36" s="172" t="str">
        <f>'Закупка'!T36</f>
        <v/>
      </c>
      <c r="AC36" s="173" t="str">
        <f>'Закупка'!S36</f>
        <v/>
      </c>
      <c r="AD36" s="174" t="str">
        <f>'Закупка'!W36</f>
        <v/>
      </c>
      <c r="AE36" s="87" t="str">
        <f>'Закупка'!Y36</f>
        <v/>
      </c>
    </row>
    <row r="37">
      <c r="A37" s="98" t="str">
        <f>'Закупка'!A37</f>
        <v/>
      </c>
      <c r="B37" s="81" t="str">
        <f>'Закупка'!B37</f>
        <v/>
      </c>
      <c r="C37" s="163" t="str">
        <f>'Закупка'!L37</f>
        <v/>
      </c>
      <c r="D37" s="164" t="str">
        <f>'Закупка'!G37</f>
        <v/>
      </c>
      <c r="E37" s="163" t="str">
        <f>Muntaner!G37</f>
        <v/>
      </c>
      <c r="F37" s="165" t="str">
        <f>Muntaner!H37</f>
        <v/>
      </c>
      <c r="G37" s="164" t="str">
        <f>'Закупка'!H37</f>
        <v/>
      </c>
      <c r="H37" s="163" t="str">
        <f>Plaza!G37</f>
        <v/>
      </c>
      <c r="I37" s="165" t="str">
        <f>Plaza!H37</f>
        <v/>
      </c>
      <c r="J37" s="164" t="str">
        <f>'Закупка'!I37</f>
        <v/>
      </c>
      <c r="K37" s="163" t="str">
        <f>Augusta!G37</f>
        <v/>
      </c>
      <c r="L37" s="165" t="str">
        <f>Augusta!H37</f>
        <v/>
      </c>
      <c r="M37" s="164" t="str">
        <f>'Закупка'!J37</f>
        <v/>
      </c>
      <c r="N37" s="163" t="str">
        <f>Gloria!G37</f>
        <v/>
      </c>
      <c r="O37" s="165" t="str">
        <f>Gloria!H37</f>
        <v/>
      </c>
      <c r="P37" s="164" t="str">
        <f>'Закупка'!K37</f>
        <v/>
      </c>
      <c r="Q37" s="163" t="str">
        <f>Blau!G37</f>
        <v/>
      </c>
      <c r="R37" s="165" t="str">
        <f>Blau!H37</f>
        <v/>
      </c>
      <c r="S37" s="166" t="str">
        <f>'Закупка'!E37</f>
        <v/>
      </c>
      <c r="T37" s="166" t="str">
        <f t="shared" si="1"/>
        <v/>
      </c>
      <c r="U37" s="34" t="str">
        <f>'Закупка'!F37</f>
        <v/>
      </c>
      <c r="V37" s="167" t="str">
        <f>'Закупка'!O37</f>
        <v/>
      </c>
      <c r="W37" s="167" t="str">
        <f t="shared" si="2"/>
        <v/>
      </c>
      <c r="X37" s="168"/>
      <c r="Y37" s="169" t="str">
        <f>'Закупка'!P37</f>
        <v/>
      </c>
      <c r="Z37" s="170" t="str">
        <f>'Закупка'!Q37</f>
        <v/>
      </c>
      <c r="AA37" s="171" t="str">
        <f>'Закупка'!R37</f>
        <v/>
      </c>
      <c r="AB37" s="172" t="str">
        <f>'Закупка'!T37</f>
        <v/>
      </c>
      <c r="AC37" s="173" t="str">
        <f>'Закупка'!S37</f>
        <v/>
      </c>
      <c r="AD37" s="174" t="str">
        <f>'Закупка'!W37</f>
        <v/>
      </c>
      <c r="AE37" s="87" t="str">
        <f>'Закупка'!Y37</f>
        <v/>
      </c>
    </row>
    <row r="38">
      <c r="A38" s="98" t="str">
        <f>'Закупка'!A38</f>
        <v/>
      </c>
      <c r="B38" s="81" t="str">
        <f>'Закупка'!B38</f>
        <v/>
      </c>
      <c r="C38" s="163" t="str">
        <f>'Закупка'!L38</f>
        <v/>
      </c>
      <c r="D38" s="164" t="str">
        <f>'Закупка'!G38</f>
        <v/>
      </c>
      <c r="E38" s="163" t="str">
        <f>Muntaner!G38</f>
        <v/>
      </c>
      <c r="F38" s="165" t="str">
        <f>Muntaner!H38</f>
        <v/>
      </c>
      <c r="G38" s="164" t="str">
        <f>'Закупка'!H38</f>
        <v/>
      </c>
      <c r="H38" s="163" t="str">
        <f>Plaza!G38</f>
        <v/>
      </c>
      <c r="I38" s="165" t="str">
        <f>Plaza!H38</f>
        <v/>
      </c>
      <c r="J38" s="164" t="str">
        <f>'Закупка'!I38</f>
        <v/>
      </c>
      <c r="K38" s="163" t="str">
        <f>Augusta!G38</f>
        <v/>
      </c>
      <c r="L38" s="165" t="str">
        <f>Augusta!H38</f>
        <v/>
      </c>
      <c r="M38" s="164" t="str">
        <f>'Закупка'!J38</f>
        <v/>
      </c>
      <c r="N38" s="163" t="str">
        <f>Gloria!G38</f>
        <v/>
      </c>
      <c r="O38" s="165" t="str">
        <f>Gloria!H38</f>
        <v/>
      </c>
      <c r="P38" s="164" t="str">
        <f>'Закупка'!K38</f>
        <v/>
      </c>
      <c r="Q38" s="163" t="str">
        <f>Blau!G38</f>
        <v/>
      </c>
      <c r="R38" s="165" t="str">
        <f>Blau!H38</f>
        <v/>
      </c>
      <c r="S38" s="166" t="str">
        <f>'Закупка'!E38</f>
        <v/>
      </c>
      <c r="T38" s="166" t="str">
        <f t="shared" si="1"/>
        <v/>
      </c>
      <c r="U38" s="34" t="str">
        <f>'Закупка'!F38</f>
        <v/>
      </c>
      <c r="V38" s="167" t="str">
        <f>'Закупка'!O38</f>
        <v/>
      </c>
      <c r="W38" s="167" t="str">
        <f t="shared" si="2"/>
        <v/>
      </c>
      <c r="X38" s="168"/>
      <c r="Y38" s="169" t="str">
        <f>'Закупка'!P38</f>
        <v/>
      </c>
      <c r="Z38" s="170" t="str">
        <f>'Закупка'!Q38</f>
        <v/>
      </c>
      <c r="AA38" s="171" t="str">
        <f>'Закупка'!R38</f>
        <v/>
      </c>
      <c r="AB38" s="172" t="str">
        <f>'Закупка'!T38</f>
        <v/>
      </c>
      <c r="AC38" s="173" t="str">
        <f>'Закупка'!S38</f>
        <v/>
      </c>
      <c r="AD38" s="174" t="str">
        <f>'Закупка'!W38</f>
        <v/>
      </c>
      <c r="AE38" s="87" t="str">
        <f>'Закупка'!Y38</f>
        <v/>
      </c>
    </row>
    <row r="39">
      <c r="A39" s="98" t="str">
        <f>'Закупка'!A39</f>
        <v/>
      </c>
      <c r="B39" s="81" t="str">
        <f>'Закупка'!B39</f>
        <v/>
      </c>
      <c r="C39" s="163" t="str">
        <f>'Закупка'!L39</f>
        <v/>
      </c>
      <c r="D39" s="164" t="str">
        <f>'Закупка'!G39</f>
        <v/>
      </c>
      <c r="E39" s="163" t="str">
        <f>Muntaner!G39</f>
        <v/>
      </c>
      <c r="F39" s="165" t="str">
        <f>Muntaner!H39</f>
        <v/>
      </c>
      <c r="G39" s="164" t="str">
        <f>'Закупка'!H39</f>
        <v/>
      </c>
      <c r="H39" s="163" t="str">
        <f>Plaza!G39</f>
        <v/>
      </c>
      <c r="I39" s="165" t="str">
        <f>Plaza!H39</f>
        <v/>
      </c>
      <c r="J39" s="164" t="str">
        <f>'Закупка'!I39</f>
        <v/>
      </c>
      <c r="K39" s="163" t="str">
        <f>Augusta!G39</f>
        <v/>
      </c>
      <c r="L39" s="165" t="str">
        <f>Augusta!H39</f>
        <v/>
      </c>
      <c r="M39" s="164" t="str">
        <f>'Закупка'!J39</f>
        <v/>
      </c>
      <c r="N39" s="163" t="str">
        <f>Gloria!G39</f>
        <v/>
      </c>
      <c r="O39" s="165" t="str">
        <f>Gloria!H39</f>
        <v/>
      </c>
      <c r="P39" s="164" t="str">
        <f>'Закупка'!K39</f>
        <v/>
      </c>
      <c r="Q39" s="163" t="str">
        <f>Blau!G39</f>
        <v/>
      </c>
      <c r="R39" s="165" t="str">
        <f>Blau!H39</f>
        <v/>
      </c>
      <c r="S39" s="166" t="str">
        <f>'Закупка'!E39</f>
        <v/>
      </c>
      <c r="T39" s="166" t="str">
        <f t="shared" si="1"/>
        <v/>
      </c>
      <c r="U39" s="34" t="str">
        <f>'Закупка'!F39</f>
        <v/>
      </c>
      <c r="V39" s="167" t="str">
        <f>'Закупка'!O39</f>
        <v/>
      </c>
      <c r="W39" s="167" t="str">
        <f t="shared" si="2"/>
        <v/>
      </c>
      <c r="X39" s="168"/>
      <c r="Y39" s="169" t="str">
        <f>'Закупка'!P39</f>
        <v/>
      </c>
      <c r="Z39" s="170" t="str">
        <f>'Закупка'!Q39</f>
        <v/>
      </c>
      <c r="AA39" s="171" t="str">
        <f>'Закупка'!R39</f>
        <v/>
      </c>
      <c r="AB39" s="172" t="str">
        <f>'Закупка'!T39</f>
        <v/>
      </c>
      <c r="AC39" s="173" t="str">
        <f>'Закупка'!S39</f>
        <v/>
      </c>
      <c r="AD39" s="174" t="str">
        <f>'Закупка'!W39</f>
        <v/>
      </c>
      <c r="AE39" s="87" t="str">
        <f>'Закупка'!Y39</f>
        <v/>
      </c>
    </row>
    <row r="40">
      <c r="A40" s="98" t="str">
        <f>'Закупка'!A40</f>
        <v/>
      </c>
      <c r="B40" s="81" t="str">
        <f>'Закупка'!B40</f>
        <v/>
      </c>
      <c r="C40" s="163" t="str">
        <f>'Закупка'!L40</f>
        <v/>
      </c>
      <c r="D40" s="164" t="str">
        <f>'Закупка'!G40</f>
        <v/>
      </c>
      <c r="E40" s="163" t="str">
        <f>Muntaner!G40</f>
        <v/>
      </c>
      <c r="F40" s="165" t="str">
        <f>Muntaner!H40</f>
        <v/>
      </c>
      <c r="G40" s="164" t="str">
        <f>'Закупка'!H40</f>
        <v/>
      </c>
      <c r="H40" s="163" t="str">
        <f>Plaza!G40</f>
        <v/>
      </c>
      <c r="I40" s="165" t="str">
        <f>Plaza!H40</f>
        <v/>
      </c>
      <c r="J40" s="164" t="str">
        <f>'Закупка'!I40</f>
        <v/>
      </c>
      <c r="K40" s="163" t="str">
        <f>Augusta!G40</f>
        <v/>
      </c>
      <c r="L40" s="165" t="str">
        <f>Augusta!H40</f>
        <v/>
      </c>
      <c r="M40" s="164" t="str">
        <f>'Закупка'!J40</f>
        <v/>
      </c>
      <c r="N40" s="163" t="str">
        <f>Gloria!G40</f>
        <v/>
      </c>
      <c r="O40" s="165" t="str">
        <f>Gloria!H40</f>
        <v/>
      </c>
      <c r="P40" s="164" t="str">
        <f>'Закупка'!K40</f>
        <v/>
      </c>
      <c r="Q40" s="163" t="str">
        <f>Blau!G40</f>
        <v/>
      </c>
      <c r="R40" s="165" t="str">
        <f>Blau!H40</f>
        <v/>
      </c>
      <c r="S40" s="166" t="str">
        <f>'Закупка'!E40</f>
        <v/>
      </c>
      <c r="T40" s="166" t="str">
        <f t="shared" si="1"/>
        <v/>
      </c>
      <c r="U40" s="34" t="str">
        <f>'Закупка'!F40</f>
        <v/>
      </c>
      <c r="V40" s="167" t="str">
        <f>'Закупка'!O40</f>
        <v/>
      </c>
      <c r="W40" s="167" t="str">
        <f t="shared" si="2"/>
        <v/>
      </c>
      <c r="X40" s="168"/>
      <c r="Y40" s="169" t="str">
        <f>'Закупка'!P40</f>
        <v/>
      </c>
      <c r="Z40" s="170" t="str">
        <f>'Закупка'!Q40</f>
        <v/>
      </c>
      <c r="AA40" s="171" t="str">
        <f>'Закупка'!R40</f>
        <v/>
      </c>
      <c r="AB40" s="172" t="str">
        <f>'Закупка'!T40</f>
        <v/>
      </c>
      <c r="AC40" s="173" t="str">
        <f>'Закупка'!S40</f>
        <v/>
      </c>
      <c r="AD40" s="174" t="str">
        <f>'Закупка'!W40</f>
        <v/>
      </c>
      <c r="AE40" s="87" t="str">
        <f>'Закупка'!Y40</f>
        <v/>
      </c>
    </row>
    <row r="41">
      <c r="A41" s="98" t="str">
        <f>'Закупка'!A41</f>
        <v/>
      </c>
      <c r="B41" s="81" t="str">
        <f>'Закупка'!B41</f>
        <v/>
      </c>
      <c r="C41" s="163" t="str">
        <f>'Закупка'!L41</f>
        <v/>
      </c>
      <c r="D41" s="164" t="str">
        <f>'Закупка'!G41</f>
        <v/>
      </c>
      <c r="E41" s="163" t="str">
        <f>Muntaner!G41</f>
        <v/>
      </c>
      <c r="F41" s="165" t="str">
        <f>Muntaner!H41</f>
        <v/>
      </c>
      <c r="G41" s="164" t="str">
        <f>'Закупка'!H41</f>
        <v/>
      </c>
      <c r="H41" s="163" t="str">
        <f>Plaza!G41</f>
        <v/>
      </c>
      <c r="I41" s="165" t="str">
        <f>Plaza!H41</f>
        <v/>
      </c>
      <c r="J41" s="164" t="str">
        <f>'Закупка'!I41</f>
        <v/>
      </c>
      <c r="K41" s="163" t="str">
        <f>Augusta!G41</f>
        <v/>
      </c>
      <c r="L41" s="165" t="str">
        <f>Augusta!H41</f>
        <v/>
      </c>
      <c r="M41" s="164" t="str">
        <f>'Закупка'!J41</f>
        <v/>
      </c>
      <c r="N41" s="163" t="str">
        <f>Gloria!G41</f>
        <v/>
      </c>
      <c r="O41" s="165" t="str">
        <f>Gloria!H41</f>
        <v/>
      </c>
      <c r="P41" s="164" t="str">
        <f>'Закупка'!K41</f>
        <v/>
      </c>
      <c r="Q41" s="163" t="str">
        <f>Blau!G41</f>
        <v/>
      </c>
      <c r="R41" s="165" t="str">
        <f>Blau!H41</f>
        <v/>
      </c>
      <c r="S41" s="166" t="str">
        <f>'Закупка'!E41</f>
        <v/>
      </c>
      <c r="T41" s="166" t="str">
        <f t="shared" si="1"/>
        <v/>
      </c>
      <c r="U41" s="34" t="str">
        <f>'Закупка'!F41</f>
        <v/>
      </c>
      <c r="V41" s="167" t="str">
        <f>'Закупка'!O41</f>
        <v/>
      </c>
      <c r="W41" s="167" t="str">
        <f t="shared" si="2"/>
        <v/>
      </c>
      <c r="X41" s="168"/>
      <c r="Y41" s="169" t="str">
        <f>'Закупка'!P41</f>
        <v/>
      </c>
      <c r="Z41" s="170" t="str">
        <f>'Закупка'!Q41</f>
        <v/>
      </c>
      <c r="AA41" s="171" t="str">
        <f>'Закупка'!R41</f>
        <v/>
      </c>
      <c r="AB41" s="172" t="str">
        <f>'Закупка'!T41</f>
        <v/>
      </c>
      <c r="AC41" s="173" t="str">
        <f>'Закупка'!S41</f>
        <v/>
      </c>
      <c r="AD41" s="174" t="str">
        <f>'Закупка'!W41</f>
        <v/>
      </c>
      <c r="AE41" s="87" t="str">
        <f>'Закупка'!Y41</f>
        <v/>
      </c>
    </row>
    <row r="42">
      <c r="A42" s="98" t="str">
        <f>'Закупка'!A42</f>
        <v/>
      </c>
      <c r="B42" s="81" t="str">
        <f>'Закупка'!B42</f>
        <v/>
      </c>
      <c r="C42" s="163" t="str">
        <f>'Закупка'!L42</f>
        <v/>
      </c>
      <c r="D42" s="164" t="str">
        <f>'Закупка'!G42</f>
        <v/>
      </c>
      <c r="E42" s="163" t="str">
        <f>Muntaner!G42</f>
        <v/>
      </c>
      <c r="F42" s="165" t="str">
        <f>Muntaner!H42</f>
        <v/>
      </c>
      <c r="G42" s="164" t="str">
        <f>'Закупка'!H42</f>
        <v/>
      </c>
      <c r="H42" s="163" t="str">
        <f>Plaza!G42</f>
        <v/>
      </c>
      <c r="I42" s="165" t="str">
        <f>Plaza!H42</f>
        <v/>
      </c>
      <c r="J42" s="164" t="str">
        <f>'Закупка'!I42</f>
        <v/>
      </c>
      <c r="K42" s="163" t="str">
        <f>Augusta!G42</f>
        <v/>
      </c>
      <c r="L42" s="165" t="str">
        <f>Augusta!H42</f>
        <v/>
      </c>
      <c r="M42" s="164" t="str">
        <f>'Закупка'!J42</f>
        <v/>
      </c>
      <c r="N42" s="163" t="str">
        <f>Gloria!G42</f>
        <v/>
      </c>
      <c r="O42" s="165" t="str">
        <f>Gloria!H42</f>
        <v/>
      </c>
      <c r="P42" s="164" t="str">
        <f>'Закупка'!K42</f>
        <v/>
      </c>
      <c r="Q42" s="163" t="str">
        <f>Blau!G42</f>
        <v/>
      </c>
      <c r="R42" s="165" t="str">
        <f>Blau!H42</f>
        <v/>
      </c>
      <c r="S42" s="166" t="str">
        <f>'Закупка'!E42</f>
        <v/>
      </c>
      <c r="T42" s="166" t="str">
        <f t="shared" si="1"/>
        <v/>
      </c>
      <c r="U42" s="34" t="str">
        <f>'Закупка'!F42</f>
        <v/>
      </c>
      <c r="V42" s="167" t="str">
        <f>'Закупка'!O42</f>
        <v/>
      </c>
      <c r="W42" s="167" t="str">
        <f t="shared" si="2"/>
        <v/>
      </c>
      <c r="X42" s="168"/>
      <c r="Y42" s="169" t="str">
        <f>'Закупка'!P42</f>
        <v/>
      </c>
      <c r="Z42" s="170" t="str">
        <f>'Закупка'!Q42</f>
        <v/>
      </c>
      <c r="AA42" s="171" t="str">
        <f>'Закупка'!R42</f>
        <v/>
      </c>
      <c r="AB42" s="172" t="str">
        <f>'Закупка'!T42</f>
        <v/>
      </c>
      <c r="AC42" s="173" t="str">
        <f>'Закупка'!S42</f>
        <v/>
      </c>
      <c r="AD42" s="174" t="str">
        <f>'Закупка'!W42</f>
        <v/>
      </c>
      <c r="AE42" s="87" t="str">
        <f>'Закупка'!Y42</f>
        <v/>
      </c>
    </row>
    <row r="43">
      <c r="A43" s="98" t="str">
        <f>'Закупка'!A43</f>
        <v/>
      </c>
      <c r="B43" s="81" t="str">
        <f>'Закупка'!B43</f>
        <v/>
      </c>
      <c r="C43" s="163" t="str">
        <f>'Закупка'!L43</f>
        <v/>
      </c>
      <c r="D43" s="164" t="str">
        <f>'Закупка'!G43</f>
        <v/>
      </c>
      <c r="E43" s="163" t="str">
        <f>Muntaner!G43</f>
        <v/>
      </c>
      <c r="F43" s="165" t="str">
        <f>Muntaner!H43</f>
        <v/>
      </c>
      <c r="G43" s="164" t="str">
        <f>'Закупка'!H43</f>
        <v/>
      </c>
      <c r="H43" s="163" t="str">
        <f>Plaza!G43</f>
        <v/>
      </c>
      <c r="I43" s="165" t="str">
        <f>Plaza!H43</f>
        <v/>
      </c>
      <c r="J43" s="164" t="str">
        <f>'Закупка'!I43</f>
        <v/>
      </c>
      <c r="K43" s="163" t="str">
        <f>Augusta!G43</f>
        <v/>
      </c>
      <c r="L43" s="165" t="str">
        <f>Augusta!H43</f>
        <v/>
      </c>
      <c r="M43" s="164" t="str">
        <f>'Закупка'!J43</f>
        <v/>
      </c>
      <c r="N43" s="163" t="str">
        <f>Gloria!G43</f>
        <v/>
      </c>
      <c r="O43" s="165" t="str">
        <f>Gloria!H43</f>
        <v/>
      </c>
      <c r="P43" s="164" t="str">
        <f>'Закупка'!K43</f>
        <v/>
      </c>
      <c r="Q43" s="163" t="str">
        <f>Blau!G43</f>
        <v/>
      </c>
      <c r="R43" s="165" t="str">
        <f>Blau!H43</f>
        <v/>
      </c>
      <c r="S43" s="166" t="str">
        <f>'Закупка'!E43</f>
        <v/>
      </c>
      <c r="T43" s="166" t="str">
        <f t="shared" si="1"/>
        <v/>
      </c>
      <c r="U43" s="34" t="str">
        <f>'Закупка'!F43</f>
        <v/>
      </c>
      <c r="V43" s="167" t="str">
        <f>'Закупка'!O43</f>
        <v/>
      </c>
      <c r="W43" s="167" t="str">
        <f t="shared" si="2"/>
        <v/>
      </c>
      <c r="X43" s="168"/>
      <c r="Y43" s="169" t="str">
        <f>'Закупка'!P43</f>
        <v/>
      </c>
      <c r="Z43" s="170" t="str">
        <f>'Закупка'!Q43</f>
        <v/>
      </c>
      <c r="AA43" s="171" t="str">
        <f>'Закупка'!R43</f>
        <v/>
      </c>
      <c r="AB43" s="172" t="str">
        <f>'Закупка'!T43</f>
        <v/>
      </c>
      <c r="AC43" s="173" t="str">
        <f>'Закупка'!S43</f>
        <v/>
      </c>
      <c r="AD43" s="174" t="str">
        <f>'Закупка'!W43</f>
        <v/>
      </c>
      <c r="AE43" s="87" t="str">
        <f>'Закупка'!Y43</f>
        <v/>
      </c>
    </row>
    <row r="44">
      <c r="A44" s="98" t="str">
        <f>'Закупка'!A44</f>
        <v/>
      </c>
      <c r="B44" s="81" t="str">
        <f>'Закупка'!B44</f>
        <v/>
      </c>
      <c r="C44" s="163" t="str">
        <f>'Закупка'!L44</f>
        <v/>
      </c>
      <c r="D44" s="164" t="str">
        <f>'Закупка'!G44</f>
        <v/>
      </c>
      <c r="E44" s="163" t="str">
        <f>Muntaner!G44</f>
        <v/>
      </c>
      <c r="F44" s="165" t="str">
        <f>Muntaner!H44</f>
        <v/>
      </c>
      <c r="G44" s="164" t="str">
        <f>'Закупка'!H44</f>
        <v/>
      </c>
      <c r="H44" s="163" t="str">
        <f>Plaza!G44</f>
        <v/>
      </c>
      <c r="I44" s="165" t="str">
        <f>Plaza!H44</f>
        <v/>
      </c>
      <c r="J44" s="164" t="str">
        <f>'Закупка'!I44</f>
        <v/>
      </c>
      <c r="K44" s="163" t="str">
        <f>Augusta!G44</f>
        <v/>
      </c>
      <c r="L44" s="165" t="str">
        <f>Augusta!H44</f>
        <v/>
      </c>
      <c r="M44" s="164" t="str">
        <f>'Закупка'!J44</f>
        <v/>
      </c>
      <c r="N44" s="163" t="str">
        <f>Gloria!G44</f>
        <v/>
      </c>
      <c r="O44" s="165" t="str">
        <f>Gloria!H44</f>
        <v/>
      </c>
      <c r="P44" s="164" t="str">
        <f>'Закупка'!K44</f>
        <v/>
      </c>
      <c r="Q44" s="163" t="str">
        <f>Blau!G44</f>
        <v/>
      </c>
      <c r="R44" s="165" t="str">
        <f>Blau!H44</f>
        <v/>
      </c>
      <c r="S44" s="166" t="str">
        <f>'Закупка'!E44</f>
        <v/>
      </c>
      <c r="T44" s="166" t="str">
        <f t="shared" si="1"/>
        <v/>
      </c>
      <c r="U44" s="34" t="str">
        <f>'Закупка'!F44</f>
        <v/>
      </c>
      <c r="V44" s="167" t="str">
        <f>'Закупка'!O44</f>
        <v/>
      </c>
      <c r="W44" s="167" t="str">
        <f t="shared" si="2"/>
        <v/>
      </c>
      <c r="X44" s="168"/>
      <c r="Y44" s="169" t="str">
        <f>'Закупка'!P44</f>
        <v/>
      </c>
      <c r="Z44" s="170" t="str">
        <f>'Закупка'!Q44</f>
        <v/>
      </c>
      <c r="AA44" s="171" t="str">
        <f>'Закупка'!R44</f>
        <v/>
      </c>
      <c r="AB44" s="172" t="str">
        <f>'Закупка'!T44</f>
        <v/>
      </c>
      <c r="AC44" s="173" t="str">
        <f>'Закупка'!S44</f>
        <v/>
      </c>
      <c r="AD44" s="174" t="str">
        <f>'Закупка'!W44</f>
        <v/>
      </c>
      <c r="AE44" s="87" t="str">
        <f>'Закупка'!Y44</f>
        <v/>
      </c>
    </row>
    <row r="45">
      <c r="A45" s="98" t="str">
        <f>'Закупка'!A45</f>
        <v/>
      </c>
      <c r="B45" s="81" t="str">
        <f>'Закупка'!B45</f>
        <v/>
      </c>
      <c r="C45" s="163" t="str">
        <f>'Закупка'!L45</f>
        <v/>
      </c>
      <c r="D45" s="164" t="str">
        <f>'Закупка'!G45</f>
        <v/>
      </c>
      <c r="E45" s="163" t="str">
        <f>Muntaner!G45</f>
        <v/>
      </c>
      <c r="F45" s="165" t="str">
        <f>Muntaner!H45</f>
        <v/>
      </c>
      <c r="G45" s="164" t="str">
        <f>'Закупка'!H45</f>
        <v/>
      </c>
      <c r="H45" s="163" t="str">
        <f>Plaza!G45</f>
        <v/>
      </c>
      <c r="I45" s="165" t="str">
        <f>Plaza!H45</f>
        <v/>
      </c>
      <c r="J45" s="164" t="str">
        <f>'Закупка'!I45</f>
        <v/>
      </c>
      <c r="K45" s="163" t="str">
        <f>Augusta!G45</f>
        <v/>
      </c>
      <c r="L45" s="165" t="str">
        <f>Augusta!H45</f>
        <v/>
      </c>
      <c r="M45" s="164" t="str">
        <f>'Закупка'!J45</f>
        <v/>
      </c>
      <c r="N45" s="163" t="str">
        <f>Gloria!G45</f>
        <v/>
      </c>
      <c r="O45" s="165" t="str">
        <f>Gloria!H45</f>
        <v/>
      </c>
      <c r="P45" s="164" t="str">
        <f>'Закупка'!K45</f>
        <v/>
      </c>
      <c r="Q45" s="163" t="str">
        <f>Blau!G45</f>
        <v/>
      </c>
      <c r="R45" s="165" t="str">
        <f>Blau!H45</f>
        <v/>
      </c>
      <c r="S45" s="166" t="str">
        <f>'Закупка'!E45</f>
        <v/>
      </c>
      <c r="T45" s="166" t="str">
        <f t="shared" si="1"/>
        <v/>
      </c>
      <c r="U45" s="34" t="str">
        <f>'Закупка'!F45</f>
        <v/>
      </c>
      <c r="V45" s="167" t="str">
        <f>'Закупка'!O45</f>
        <v/>
      </c>
      <c r="W45" s="167" t="str">
        <f t="shared" si="2"/>
        <v/>
      </c>
      <c r="X45" s="168"/>
      <c r="Y45" s="169" t="str">
        <f>'Закупка'!P45</f>
        <v/>
      </c>
      <c r="Z45" s="170" t="str">
        <f>'Закупка'!Q45</f>
        <v/>
      </c>
      <c r="AA45" s="171" t="str">
        <f>'Закупка'!R45</f>
        <v/>
      </c>
      <c r="AB45" s="172" t="str">
        <f>'Закупка'!T45</f>
        <v/>
      </c>
      <c r="AC45" s="173" t="str">
        <f>'Закупка'!S45</f>
        <v/>
      </c>
      <c r="AD45" s="174" t="str">
        <f>'Закупка'!W45</f>
        <v/>
      </c>
      <c r="AE45" s="87" t="str">
        <f>'Закупка'!Y45</f>
        <v/>
      </c>
    </row>
    <row r="46">
      <c r="A46" s="98" t="str">
        <f>'Закупка'!A46</f>
        <v/>
      </c>
      <c r="B46" s="81" t="str">
        <f>'Закупка'!B46</f>
        <v/>
      </c>
      <c r="C46" s="163" t="str">
        <f>'Закупка'!L46</f>
        <v/>
      </c>
      <c r="D46" s="164" t="str">
        <f>'Закупка'!G46</f>
        <v/>
      </c>
      <c r="E46" s="163" t="str">
        <f>Muntaner!G46</f>
        <v/>
      </c>
      <c r="F46" s="165" t="str">
        <f>Muntaner!H46</f>
        <v/>
      </c>
      <c r="G46" s="164" t="str">
        <f>'Закупка'!H46</f>
        <v/>
      </c>
      <c r="H46" s="163" t="str">
        <f>Plaza!G46</f>
        <v/>
      </c>
      <c r="I46" s="165" t="str">
        <f>Plaza!H46</f>
        <v/>
      </c>
      <c r="J46" s="164" t="str">
        <f>'Закупка'!I46</f>
        <v/>
      </c>
      <c r="K46" s="163" t="str">
        <f>Augusta!G46</f>
        <v/>
      </c>
      <c r="L46" s="165" t="str">
        <f>Augusta!H46</f>
        <v/>
      </c>
      <c r="M46" s="164" t="str">
        <f>'Закупка'!J46</f>
        <v/>
      </c>
      <c r="N46" s="163" t="str">
        <f>Gloria!G46</f>
        <v/>
      </c>
      <c r="O46" s="165" t="str">
        <f>Gloria!H46</f>
        <v/>
      </c>
      <c r="P46" s="164" t="str">
        <f>'Закупка'!K46</f>
        <v/>
      </c>
      <c r="Q46" s="163" t="str">
        <f>Blau!G46</f>
        <v/>
      </c>
      <c r="R46" s="165" t="str">
        <f>Blau!H46</f>
        <v/>
      </c>
      <c r="S46" s="166" t="str">
        <f>'Закупка'!E46</f>
        <v/>
      </c>
      <c r="T46" s="166" t="str">
        <f t="shared" si="1"/>
        <v/>
      </c>
      <c r="U46" s="34" t="str">
        <f>'Закупка'!F46</f>
        <v/>
      </c>
      <c r="V46" s="167" t="str">
        <f>'Закупка'!O46</f>
        <v/>
      </c>
      <c r="W46" s="167" t="str">
        <f t="shared" si="2"/>
        <v/>
      </c>
      <c r="X46" s="168"/>
      <c r="Y46" s="169" t="str">
        <f>'Закупка'!P46</f>
        <v/>
      </c>
      <c r="Z46" s="170" t="str">
        <f>'Закупка'!Q46</f>
        <v/>
      </c>
      <c r="AA46" s="171" t="str">
        <f>'Закупка'!R46</f>
        <v/>
      </c>
      <c r="AB46" s="172" t="str">
        <f>'Закупка'!T46</f>
        <v/>
      </c>
      <c r="AC46" s="173" t="str">
        <f>'Закупка'!S46</f>
        <v/>
      </c>
      <c r="AD46" s="174" t="str">
        <f>'Закупка'!W46</f>
        <v/>
      </c>
      <c r="AE46" s="87" t="str">
        <f>'Закупка'!Y46</f>
        <v/>
      </c>
    </row>
    <row r="47">
      <c r="A47" s="98" t="str">
        <f>'Закупка'!A47</f>
        <v/>
      </c>
      <c r="B47" s="81" t="str">
        <f>'Закупка'!B47</f>
        <v/>
      </c>
      <c r="C47" s="163" t="str">
        <f>'Закупка'!L47</f>
        <v/>
      </c>
      <c r="D47" s="164" t="str">
        <f>'Закупка'!G47</f>
        <v/>
      </c>
      <c r="E47" s="163" t="str">
        <f>Muntaner!G47</f>
        <v/>
      </c>
      <c r="F47" s="165" t="str">
        <f>Muntaner!H47</f>
        <v/>
      </c>
      <c r="G47" s="164" t="str">
        <f>'Закупка'!H47</f>
        <v/>
      </c>
      <c r="H47" s="163" t="str">
        <f>Plaza!G47</f>
        <v/>
      </c>
      <c r="I47" s="165" t="str">
        <f>Plaza!H47</f>
        <v/>
      </c>
      <c r="J47" s="164" t="str">
        <f>'Закупка'!I47</f>
        <v/>
      </c>
      <c r="K47" s="163" t="str">
        <f>Augusta!G47</f>
        <v/>
      </c>
      <c r="L47" s="165" t="str">
        <f>Augusta!H47</f>
        <v/>
      </c>
      <c r="M47" s="164" t="str">
        <f>'Закупка'!J47</f>
        <v/>
      </c>
      <c r="N47" s="163" t="str">
        <f>Gloria!G47</f>
        <v/>
      </c>
      <c r="O47" s="165" t="str">
        <f>Gloria!H47</f>
        <v/>
      </c>
      <c r="P47" s="164" t="str">
        <f>'Закупка'!K47</f>
        <v/>
      </c>
      <c r="Q47" s="163" t="str">
        <f>Blau!G47</f>
        <v/>
      </c>
      <c r="R47" s="165" t="str">
        <f>Blau!H47</f>
        <v/>
      </c>
      <c r="S47" s="166" t="str">
        <f>'Закупка'!E47</f>
        <v/>
      </c>
      <c r="T47" s="166" t="str">
        <f t="shared" si="1"/>
        <v/>
      </c>
      <c r="U47" s="34" t="str">
        <f>'Закупка'!F47</f>
        <v/>
      </c>
      <c r="V47" s="167" t="str">
        <f>'Закупка'!O47</f>
        <v/>
      </c>
      <c r="W47" s="167" t="str">
        <f t="shared" si="2"/>
        <v/>
      </c>
      <c r="X47" s="168"/>
      <c r="Y47" s="169" t="str">
        <f>'Закупка'!P47</f>
        <v/>
      </c>
      <c r="Z47" s="170" t="str">
        <f>'Закупка'!Q47</f>
        <v/>
      </c>
      <c r="AA47" s="171" t="str">
        <f>'Закупка'!R47</f>
        <v/>
      </c>
      <c r="AB47" s="172" t="str">
        <f>'Закупка'!T47</f>
        <v/>
      </c>
      <c r="AC47" s="173" t="str">
        <f>'Закупка'!S47</f>
        <v/>
      </c>
      <c r="AD47" s="174" t="str">
        <f>'Закупка'!W47</f>
        <v/>
      </c>
      <c r="AE47" s="87" t="str">
        <f>'Закупка'!Y47</f>
        <v/>
      </c>
    </row>
    <row r="48">
      <c r="A48" s="98" t="str">
        <f>'Закупка'!A48</f>
        <v/>
      </c>
      <c r="B48" s="81" t="str">
        <f>'Закупка'!B48</f>
        <v/>
      </c>
      <c r="C48" s="163" t="str">
        <f>'Закупка'!L48</f>
        <v/>
      </c>
      <c r="D48" s="164" t="str">
        <f>'Закупка'!G48</f>
        <v/>
      </c>
      <c r="E48" s="163" t="str">
        <f>Muntaner!G48</f>
        <v/>
      </c>
      <c r="F48" s="165" t="str">
        <f>Muntaner!H48</f>
        <v/>
      </c>
      <c r="G48" s="164" t="str">
        <f>'Закупка'!H48</f>
        <v/>
      </c>
      <c r="H48" s="163" t="str">
        <f>Plaza!G48</f>
        <v/>
      </c>
      <c r="I48" s="165" t="str">
        <f>Plaza!H48</f>
        <v/>
      </c>
      <c r="J48" s="164" t="str">
        <f>'Закупка'!I48</f>
        <v/>
      </c>
      <c r="K48" s="163" t="str">
        <f>Augusta!G48</f>
        <v/>
      </c>
      <c r="L48" s="165" t="str">
        <f>Augusta!H48</f>
        <v/>
      </c>
      <c r="M48" s="164" t="str">
        <f>'Закупка'!J48</f>
        <v/>
      </c>
      <c r="N48" s="163" t="str">
        <f>Gloria!G48</f>
        <v/>
      </c>
      <c r="O48" s="165" t="str">
        <f>Gloria!H48</f>
        <v/>
      </c>
      <c r="P48" s="164" t="str">
        <f>'Закупка'!K48</f>
        <v/>
      </c>
      <c r="Q48" s="163" t="str">
        <f>Blau!G48</f>
        <v/>
      </c>
      <c r="R48" s="165" t="str">
        <f>Blau!H48</f>
        <v/>
      </c>
      <c r="S48" s="166" t="str">
        <f>'Закупка'!E48</f>
        <v/>
      </c>
      <c r="T48" s="166" t="str">
        <f t="shared" si="1"/>
        <v/>
      </c>
      <c r="U48" s="34" t="str">
        <f>'Закупка'!F48</f>
        <v/>
      </c>
      <c r="V48" s="167" t="str">
        <f>'Закупка'!O48</f>
        <v/>
      </c>
      <c r="W48" s="167" t="str">
        <f t="shared" si="2"/>
        <v/>
      </c>
      <c r="X48" s="168"/>
      <c r="Y48" s="169" t="str">
        <f>'Закупка'!P48</f>
        <v/>
      </c>
      <c r="Z48" s="170" t="str">
        <f>'Закупка'!Q48</f>
        <v/>
      </c>
      <c r="AA48" s="171" t="str">
        <f>'Закупка'!R48</f>
        <v/>
      </c>
      <c r="AB48" s="172" t="str">
        <f>'Закупка'!T48</f>
        <v/>
      </c>
      <c r="AC48" s="173" t="str">
        <f>'Закупка'!S48</f>
        <v/>
      </c>
      <c r="AD48" s="174" t="str">
        <f>'Закупка'!W48</f>
        <v/>
      </c>
      <c r="AE48" s="87" t="str">
        <f>'Закупка'!Y48</f>
        <v/>
      </c>
    </row>
    <row r="49">
      <c r="A49" s="98" t="str">
        <f>'Закупка'!A49</f>
        <v/>
      </c>
      <c r="B49" s="81" t="str">
        <f>'Закупка'!B49</f>
        <v/>
      </c>
      <c r="C49" s="163" t="str">
        <f>'Закупка'!L49</f>
        <v/>
      </c>
      <c r="D49" s="164" t="str">
        <f>'Закупка'!G49</f>
        <v/>
      </c>
      <c r="E49" s="163" t="str">
        <f>Muntaner!G49</f>
        <v/>
      </c>
      <c r="F49" s="165" t="str">
        <f>Muntaner!H49</f>
        <v/>
      </c>
      <c r="G49" s="164" t="str">
        <f>'Закупка'!H49</f>
        <v/>
      </c>
      <c r="H49" s="163" t="str">
        <f>Plaza!G49</f>
        <v/>
      </c>
      <c r="I49" s="165" t="str">
        <f>Plaza!H49</f>
        <v/>
      </c>
      <c r="J49" s="164" t="str">
        <f>'Закупка'!I49</f>
        <v/>
      </c>
      <c r="K49" s="163" t="str">
        <f>Augusta!G49</f>
        <v/>
      </c>
      <c r="L49" s="165" t="str">
        <f>Augusta!H49</f>
        <v/>
      </c>
      <c r="M49" s="164" t="str">
        <f>'Закупка'!J49</f>
        <v/>
      </c>
      <c r="N49" s="163" t="str">
        <f>Gloria!G49</f>
        <v/>
      </c>
      <c r="O49" s="165" t="str">
        <f>Gloria!H49</f>
        <v/>
      </c>
      <c r="P49" s="164" t="str">
        <f>'Закупка'!K49</f>
        <v/>
      </c>
      <c r="Q49" s="163" t="str">
        <f>Blau!G49</f>
        <v/>
      </c>
      <c r="R49" s="165" t="str">
        <f>Blau!H49</f>
        <v/>
      </c>
      <c r="S49" s="166" t="str">
        <f>'Закупка'!E49</f>
        <v/>
      </c>
      <c r="T49" s="166" t="str">
        <f t="shared" si="1"/>
        <v/>
      </c>
      <c r="U49" s="34" t="str">
        <f>'Закупка'!F49</f>
        <v/>
      </c>
      <c r="V49" s="167" t="str">
        <f>'Закупка'!O49</f>
        <v/>
      </c>
      <c r="W49" s="167" t="str">
        <f t="shared" si="2"/>
        <v/>
      </c>
      <c r="X49" s="168"/>
      <c r="Y49" s="169" t="str">
        <f>'Закупка'!P49</f>
        <v/>
      </c>
      <c r="Z49" s="170" t="str">
        <f>'Закупка'!Q49</f>
        <v/>
      </c>
      <c r="AA49" s="171" t="str">
        <f>'Закупка'!R49</f>
        <v/>
      </c>
      <c r="AB49" s="172" t="str">
        <f>'Закупка'!T49</f>
        <v/>
      </c>
      <c r="AC49" s="173" t="str">
        <f>'Закупка'!S49</f>
        <v/>
      </c>
      <c r="AD49" s="174" t="str">
        <f>'Закупка'!W49</f>
        <v/>
      </c>
      <c r="AE49" s="87" t="str">
        <f>'Закупка'!Y49</f>
        <v/>
      </c>
    </row>
    <row r="50">
      <c r="A50" s="98" t="str">
        <f>'Закупка'!A50</f>
        <v/>
      </c>
      <c r="B50" s="81" t="str">
        <f>'Закупка'!B50</f>
        <v/>
      </c>
      <c r="C50" s="163" t="str">
        <f>'Закупка'!L50</f>
        <v/>
      </c>
      <c r="D50" s="164" t="str">
        <f>'Закупка'!G50</f>
        <v/>
      </c>
      <c r="E50" s="163" t="str">
        <f>Muntaner!G50</f>
        <v/>
      </c>
      <c r="F50" s="165" t="str">
        <f>Muntaner!H50</f>
        <v/>
      </c>
      <c r="G50" s="164" t="str">
        <f>'Закупка'!H50</f>
        <v/>
      </c>
      <c r="H50" s="163" t="str">
        <f>Plaza!G50</f>
        <v/>
      </c>
      <c r="I50" s="165" t="str">
        <f>Plaza!H50</f>
        <v/>
      </c>
      <c r="J50" s="164" t="str">
        <f>'Закупка'!I50</f>
        <v/>
      </c>
      <c r="K50" s="163" t="str">
        <f>Augusta!G50</f>
        <v/>
      </c>
      <c r="L50" s="165" t="str">
        <f>Augusta!H50</f>
        <v/>
      </c>
      <c r="M50" s="164" t="str">
        <f>'Закупка'!J50</f>
        <v/>
      </c>
      <c r="N50" s="163" t="str">
        <f>Gloria!G50</f>
        <v/>
      </c>
      <c r="O50" s="165" t="str">
        <f>Gloria!H50</f>
        <v/>
      </c>
      <c r="P50" s="164" t="str">
        <f>'Закупка'!K50</f>
        <v/>
      </c>
      <c r="Q50" s="163" t="str">
        <f>Blau!G50</f>
        <v/>
      </c>
      <c r="R50" s="165" t="str">
        <f>Blau!H50</f>
        <v/>
      </c>
      <c r="S50" s="166" t="str">
        <f>'Закупка'!E50</f>
        <v/>
      </c>
      <c r="T50" s="166" t="str">
        <f t="shared" si="1"/>
        <v/>
      </c>
      <c r="U50" s="34" t="str">
        <f>'Закупка'!F50</f>
        <v/>
      </c>
      <c r="V50" s="167" t="str">
        <f>'Закупка'!O50</f>
        <v/>
      </c>
      <c r="W50" s="167" t="str">
        <f t="shared" si="2"/>
        <v/>
      </c>
      <c r="X50" s="168"/>
      <c r="Y50" s="169" t="str">
        <f>'Закупка'!P50</f>
        <v/>
      </c>
      <c r="Z50" s="170" t="str">
        <f>'Закупка'!Q50</f>
        <v/>
      </c>
      <c r="AA50" s="171" t="str">
        <f>'Закупка'!R50</f>
        <v/>
      </c>
      <c r="AB50" s="172" t="str">
        <f>'Закупка'!T50</f>
        <v/>
      </c>
      <c r="AC50" s="173" t="str">
        <f>'Закупка'!S50</f>
        <v/>
      </c>
      <c r="AD50" s="174" t="str">
        <f>'Закупка'!W50</f>
        <v/>
      </c>
      <c r="AE50" s="87" t="str">
        <f>'Закупка'!Y50</f>
        <v/>
      </c>
    </row>
    <row r="51">
      <c r="A51" s="98" t="str">
        <f>'Закупка'!A51</f>
        <v/>
      </c>
      <c r="B51" s="81" t="str">
        <f>'Закупка'!B51</f>
        <v/>
      </c>
      <c r="C51" s="163" t="str">
        <f>'Закупка'!L51</f>
        <v/>
      </c>
      <c r="D51" s="164" t="str">
        <f>'Закупка'!G51</f>
        <v/>
      </c>
      <c r="E51" s="163" t="str">
        <f>Muntaner!G51</f>
        <v/>
      </c>
      <c r="F51" s="165" t="str">
        <f>Muntaner!H51</f>
        <v/>
      </c>
      <c r="G51" s="164" t="str">
        <f>'Закупка'!H51</f>
        <v/>
      </c>
      <c r="H51" s="163" t="str">
        <f>Plaza!G51</f>
        <v/>
      </c>
      <c r="I51" s="165" t="str">
        <f>Plaza!H51</f>
        <v/>
      </c>
      <c r="J51" s="164" t="str">
        <f>'Закупка'!I51</f>
        <v/>
      </c>
      <c r="K51" s="163" t="str">
        <f>Augusta!G51</f>
        <v/>
      </c>
      <c r="L51" s="165" t="str">
        <f>Augusta!H51</f>
        <v/>
      </c>
      <c r="M51" s="164" t="str">
        <f>'Закупка'!J51</f>
        <v/>
      </c>
      <c r="N51" s="163" t="str">
        <f>Gloria!G51</f>
        <v/>
      </c>
      <c r="O51" s="165" t="str">
        <f>Gloria!H51</f>
        <v/>
      </c>
      <c r="P51" s="164" t="str">
        <f>'Закупка'!K51</f>
        <v/>
      </c>
      <c r="Q51" s="163" t="str">
        <f>Blau!G51</f>
        <v/>
      </c>
      <c r="R51" s="165" t="str">
        <f>Blau!H51</f>
        <v/>
      </c>
      <c r="S51" s="166" t="str">
        <f>'Закупка'!E51</f>
        <v/>
      </c>
      <c r="T51" s="166" t="str">
        <f t="shared" si="1"/>
        <v/>
      </c>
      <c r="U51" s="34" t="str">
        <f>'Закупка'!F51</f>
        <v/>
      </c>
      <c r="V51" s="167" t="str">
        <f>'Закупка'!O51</f>
        <v/>
      </c>
      <c r="W51" s="167" t="str">
        <f t="shared" si="2"/>
        <v/>
      </c>
      <c r="X51" s="168"/>
      <c r="Y51" s="169" t="str">
        <f>'Закупка'!P51</f>
        <v/>
      </c>
      <c r="Z51" s="170" t="str">
        <f>'Закупка'!Q51</f>
        <v/>
      </c>
      <c r="AA51" s="171" t="str">
        <f>'Закупка'!R51</f>
        <v/>
      </c>
      <c r="AB51" s="172" t="str">
        <f>'Закупка'!T51</f>
        <v/>
      </c>
      <c r="AC51" s="173" t="str">
        <f>'Закупка'!S51</f>
        <v/>
      </c>
      <c r="AD51" s="174" t="str">
        <f>'Закупка'!W51</f>
        <v/>
      </c>
      <c r="AE51" s="87" t="str">
        <f>'Закупка'!Y51</f>
        <v/>
      </c>
    </row>
    <row r="52">
      <c r="A52" s="98" t="str">
        <f>'Закупка'!A52</f>
        <v/>
      </c>
      <c r="B52" s="81" t="str">
        <f>'Закупка'!B52</f>
        <v/>
      </c>
      <c r="C52" s="163" t="str">
        <f>'Закупка'!L52</f>
        <v/>
      </c>
      <c r="D52" s="164" t="str">
        <f>'Закупка'!G52</f>
        <v/>
      </c>
      <c r="E52" s="163" t="str">
        <f>Muntaner!G52</f>
        <v/>
      </c>
      <c r="F52" s="165" t="str">
        <f>Muntaner!H52</f>
        <v/>
      </c>
      <c r="G52" s="164" t="str">
        <f>'Закупка'!H52</f>
        <v/>
      </c>
      <c r="H52" s="163" t="str">
        <f>Plaza!G52</f>
        <v/>
      </c>
      <c r="I52" s="165" t="str">
        <f>Plaza!H52</f>
        <v/>
      </c>
      <c r="J52" s="164" t="str">
        <f>'Закупка'!I52</f>
        <v/>
      </c>
      <c r="K52" s="163" t="str">
        <f>Augusta!G52</f>
        <v/>
      </c>
      <c r="L52" s="165" t="str">
        <f>Augusta!H52</f>
        <v/>
      </c>
      <c r="M52" s="164" t="str">
        <f>'Закупка'!J52</f>
        <v/>
      </c>
      <c r="N52" s="163" t="str">
        <f>Gloria!G52</f>
        <v/>
      </c>
      <c r="O52" s="165" t="str">
        <f>Gloria!H52</f>
        <v/>
      </c>
      <c r="P52" s="164" t="str">
        <f>'Закупка'!K52</f>
        <v/>
      </c>
      <c r="Q52" s="163" t="str">
        <f>Blau!G52</f>
        <v/>
      </c>
      <c r="R52" s="165" t="str">
        <f>Blau!H52</f>
        <v/>
      </c>
      <c r="S52" s="166" t="str">
        <f>'Закупка'!E52</f>
        <v/>
      </c>
      <c r="T52" s="166" t="str">
        <f t="shared" si="1"/>
        <v/>
      </c>
      <c r="U52" s="34" t="str">
        <f>'Закупка'!F52</f>
        <v/>
      </c>
      <c r="V52" s="167" t="str">
        <f>'Закупка'!O52</f>
        <v/>
      </c>
      <c r="W52" s="167" t="str">
        <f t="shared" si="2"/>
        <v/>
      </c>
      <c r="X52" s="168"/>
      <c r="Y52" s="169" t="str">
        <f>'Закупка'!P52</f>
        <v/>
      </c>
      <c r="Z52" s="170" t="str">
        <f>'Закупка'!Q52</f>
        <v/>
      </c>
      <c r="AA52" s="171" t="str">
        <f>'Закупка'!R52</f>
        <v/>
      </c>
      <c r="AB52" s="172" t="str">
        <f>'Закупка'!T52</f>
        <v/>
      </c>
      <c r="AC52" s="173" t="str">
        <f>'Закупка'!S52</f>
        <v/>
      </c>
      <c r="AD52" s="174" t="str">
        <f>'Закупка'!W52</f>
        <v/>
      </c>
      <c r="AE52" s="87" t="str">
        <f>'Закупка'!Y52</f>
        <v/>
      </c>
    </row>
    <row r="53">
      <c r="A53" s="98" t="str">
        <f>'Закупка'!A53</f>
        <v/>
      </c>
      <c r="B53" s="81" t="str">
        <f>'Закупка'!B53</f>
        <v/>
      </c>
      <c r="C53" s="163" t="str">
        <f>'Закупка'!L53</f>
        <v/>
      </c>
      <c r="D53" s="164" t="str">
        <f>'Закупка'!G53</f>
        <v/>
      </c>
      <c r="E53" s="163" t="str">
        <f>Muntaner!G53</f>
        <v/>
      </c>
      <c r="F53" s="165" t="str">
        <f>Muntaner!H53</f>
        <v/>
      </c>
      <c r="G53" s="164" t="str">
        <f>'Закупка'!H53</f>
        <v/>
      </c>
      <c r="H53" s="163" t="str">
        <f>Plaza!G53</f>
        <v/>
      </c>
      <c r="I53" s="165" t="str">
        <f>Plaza!H53</f>
        <v/>
      </c>
      <c r="J53" s="164" t="str">
        <f>'Закупка'!I53</f>
        <v/>
      </c>
      <c r="K53" s="163" t="str">
        <f>Augusta!G53</f>
        <v/>
      </c>
      <c r="L53" s="165" t="str">
        <f>Augusta!H53</f>
        <v/>
      </c>
      <c r="M53" s="164" t="str">
        <f>'Закупка'!J53</f>
        <v/>
      </c>
      <c r="N53" s="163" t="str">
        <f>Gloria!G53</f>
        <v/>
      </c>
      <c r="O53" s="165" t="str">
        <f>Gloria!H53</f>
        <v/>
      </c>
      <c r="P53" s="164" t="str">
        <f>'Закупка'!K53</f>
        <v/>
      </c>
      <c r="Q53" s="163" t="str">
        <f>Blau!G53</f>
        <v/>
      </c>
      <c r="R53" s="165" t="str">
        <f>Blau!H53</f>
        <v/>
      </c>
      <c r="S53" s="166" t="str">
        <f>'Закупка'!E53</f>
        <v/>
      </c>
      <c r="T53" s="166" t="str">
        <f t="shared" si="1"/>
        <v/>
      </c>
      <c r="U53" s="34" t="str">
        <f>'Закупка'!F53</f>
        <v/>
      </c>
      <c r="V53" s="167" t="str">
        <f>'Закупка'!O53</f>
        <v/>
      </c>
      <c r="W53" s="167" t="str">
        <f t="shared" si="2"/>
        <v/>
      </c>
      <c r="X53" s="168"/>
      <c r="Y53" s="169" t="str">
        <f>'Закупка'!P53</f>
        <v/>
      </c>
      <c r="Z53" s="170" t="str">
        <f>'Закупка'!Q53</f>
        <v/>
      </c>
      <c r="AA53" s="171" t="str">
        <f>'Закупка'!R53</f>
        <v/>
      </c>
      <c r="AB53" s="172" t="str">
        <f>'Закупка'!T53</f>
        <v/>
      </c>
      <c r="AC53" s="173" t="str">
        <f>'Закупка'!S53</f>
        <v/>
      </c>
      <c r="AD53" s="174" t="str">
        <f>'Закупка'!W53</f>
        <v/>
      </c>
      <c r="AE53" s="87" t="str">
        <f>'Закупка'!Y53</f>
        <v/>
      </c>
    </row>
    <row r="54">
      <c r="A54" s="98" t="str">
        <f>'Закупка'!A54</f>
        <v/>
      </c>
      <c r="B54" s="81" t="str">
        <f>'Закупка'!B54</f>
        <v/>
      </c>
      <c r="C54" s="163" t="str">
        <f>'Закупка'!L54</f>
        <v/>
      </c>
      <c r="D54" s="164" t="str">
        <f>'Закупка'!G54</f>
        <v/>
      </c>
      <c r="E54" s="163" t="str">
        <f>Muntaner!G54</f>
        <v/>
      </c>
      <c r="F54" s="165" t="str">
        <f>Muntaner!H54</f>
        <v/>
      </c>
      <c r="G54" s="164" t="str">
        <f>'Закупка'!H54</f>
        <v/>
      </c>
      <c r="H54" s="163" t="str">
        <f>Plaza!G54</f>
        <v/>
      </c>
      <c r="I54" s="165" t="str">
        <f>Plaza!H54</f>
        <v/>
      </c>
      <c r="J54" s="164" t="str">
        <f>'Закупка'!I54</f>
        <v/>
      </c>
      <c r="K54" s="163" t="str">
        <f>Augusta!G54</f>
        <v/>
      </c>
      <c r="L54" s="165" t="str">
        <f>Augusta!H54</f>
        <v/>
      </c>
      <c r="M54" s="164" t="str">
        <f>'Закупка'!J54</f>
        <v/>
      </c>
      <c r="N54" s="163" t="str">
        <f>Gloria!G54</f>
        <v/>
      </c>
      <c r="O54" s="165" t="str">
        <f>Gloria!H54</f>
        <v/>
      </c>
      <c r="P54" s="164" t="str">
        <f>'Закупка'!K54</f>
        <v/>
      </c>
      <c r="Q54" s="163" t="str">
        <f>Blau!G54</f>
        <v/>
      </c>
      <c r="R54" s="165" t="str">
        <f>Blau!H54</f>
        <v/>
      </c>
      <c r="S54" s="166" t="str">
        <f>'Закупка'!E54</f>
        <v/>
      </c>
      <c r="T54" s="166" t="str">
        <f t="shared" si="1"/>
        <v/>
      </c>
      <c r="U54" s="34" t="str">
        <f>'Закупка'!F54</f>
        <v/>
      </c>
      <c r="V54" s="167" t="str">
        <f>'Закупка'!O54</f>
        <v/>
      </c>
      <c r="W54" s="167" t="str">
        <f t="shared" si="2"/>
        <v/>
      </c>
      <c r="X54" s="168"/>
      <c r="Y54" s="169" t="str">
        <f>'Закупка'!P54</f>
        <v/>
      </c>
      <c r="Z54" s="170" t="str">
        <f>'Закупка'!Q54</f>
        <v/>
      </c>
      <c r="AA54" s="171" t="str">
        <f>'Закупка'!R54</f>
        <v/>
      </c>
      <c r="AB54" s="172" t="str">
        <f>'Закупка'!T54</f>
        <v/>
      </c>
      <c r="AC54" s="173" t="str">
        <f>'Закупка'!S54</f>
        <v/>
      </c>
      <c r="AD54" s="174" t="str">
        <f>'Закупка'!W54</f>
        <v/>
      </c>
      <c r="AE54" s="87" t="str">
        <f>'Закупка'!Y54</f>
        <v/>
      </c>
    </row>
    <row r="55">
      <c r="A55" s="98" t="str">
        <f>'Закупка'!A55</f>
        <v/>
      </c>
      <c r="B55" s="81" t="str">
        <f>'Закупка'!B55</f>
        <v/>
      </c>
      <c r="C55" s="163" t="str">
        <f>'Закупка'!L55</f>
        <v/>
      </c>
      <c r="D55" s="164" t="str">
        <f>'Закупка'!G55</f>
        <v/>
      </c>
      <c r="E55" s="163" t="str">
        <f>Muntaner!G55</f>
        <v/>
      </c>
      <c r="F55" s="165" t="str">
        <f>Muntaner!H55</f>
        <v/>
      </c>
      <c r="G55" s="164" t="str">
        <f>'Закупка'!H55</f>
        <v/>
      </c>
      <c r="H55" s="163" t="str">
        <f>Plaza!G55</f>
        <v/>
      </c>
      <c r="I55" s="165" t="str">
        <f>Plaza!H55</f>
        <v/>
      </c>
      <c r="J55" s="164" t="str">
        <f>'Закупка'!I55</f>
        <v/>
      </c>
      <c r="K55" s="163" t="str">
        <f>Augusta!G55</f>
        <v/>
      </c>
      <c r="L55" s="165" t="str">
        <f>Augusta!H55</f>
        <v/>
      </c>
      <c r="M55" s="164" t="str">
        <f>'Закупка'!J55</f>
        <v/>
      </c>
      <c r="N55" s="163" t="str">
        <f>Gloria!G55</f>
        <v/>
      </c>
      <c r="O55" s="165" t="str">
        <f>Gloria!H55</f>
        <v/>
      </c>
      <c r="P55" s="164" t="str">
        <f>'Закупка'!K55</f>
        <v/>
      </c>
      <c r="Q55" s="163" t="str">
        <f>Blau!G55</f>
        <v/>
      </c>
      <c r="R55" s="165" t="str">
        <f>Blau!H55</f>
        <v/>
      </c>
      <c r="S55" s="166" t="str">
        <f>'Закупка'!E55</f>
        <v/>
      </c>
      <c r="T55" s="166" t="str">
        <f t="shared" si="1"/>
        <v/>
      </c>
      <c r="U55" s="34" t="str">
        <f>'Закупка'!F55</f>
        <v/>
      </c>
      <c r="V55" s="167" t="str">
        <f>'Закупка'!O55</f>
        <v/>
      </c>
      <c r="W55" s="167" t="str">
        <f t="shared" si="2"/>
        <v/>
      </c>
      <c r="X55" s="168"/>
      <c r="Y55" s="169" t="str">
        <f>'Закупка'!P55</f>
        <v/>
      </c>
      <c r="Z55" s="170" t="str">
        <f>'Закупка'!Q55</f>
        <v/>
      </c>
      <c r="AA55" s="171" t="str">
        <f>'Закупка'!R55</f>
        <v/>
      </c>
      <c r="AB55" s="172" t="str">
        <f>'Закупка'!T55</f>
        <v/>
      </c>
      <c r="AC55" s="173" t="str">
        <f>'Закупка'!S55</f>
        <v/>
      </c>
      <c r="AD55" s="174" t="str">
        <f>'Закупка'!W55</f>
        <v/>
      </c>
      <c r="AE55" s="87" t="str">
        <f>'Закупка'!Y55</f>
        <v/>
      </c>
    </row>
    <row r="56">
      <c r="A56" s="98" t="str">
        <f>'Закупка'!A56</f>
        <v/>
      </c>
      <c r="B56" s="81" t="str">
        <f>'Закупка'!B56</f>
        <v/>
      </c>
      <c r="C56" s="163" t="str">
        <f>'Закупка'!L56</f>
        <v/>
      </c>
      <c r="D56" s="164" t="str">
        <f>'Закупка'!G56</f>
        <v/>
      </c>
      <c r="E56" s="163" t="str">
        <f>Muntaner!G56</f>
        <v/>
      </c>
      <c r="F56" s="165" t="str">
        <f>Muntaner!H56</f>
        <v/>
      </c>
      <c r="G56" s="164" t="str">
        <f>'Закупка'!H56</f>
        <v/>
      </c>
      <c r="H56" s="163" t="str">
        <f>Plaza!G56</f>
        <v/>
      </c>
      <c r="I56" s="165" t="str">
        <f>Plaza!H56</f>
        <v/>
      </c>
      <c r="J56" s="164" t="str">
        <f>'Закупка'!I56</f>
        <v/>
      </c>
      <c r="K56" s="163" t="str">
        <f>Augusta!G56</f>
        <v/>
      </c>
      <c r="L56" s="165" t="str">
        <f>Augusta!H56</f>
        <v/>
      </c>
      <c r="M56" s="164" t="str">
        <f>'Закупка'!J56</f>
        <v/>
      </c>
      <c r="N56" s="163" t="str">
        <f>Gloria!G56</f>
        <v/>
      </c>
      <c r="O56" s="165" t="str">
        <f>Gloria!H56</f>
        <v/>
      </c>
      <c r="P56" s="164" t="str">
        <f>'Закупка'!K56</f>
        <v/>
      </c>
      <c r="Q56" s="163" t="str">
        <f>Blau!G56</f>
        <v/>
      </c>
      <c r="R56" s="165" t="str">
        <f>Blau!H56</f>
        <v/>
      </c>
      <c r="S56" s="166" t="str">
        <f>'Закупка'!E56</f>
        <v/>
      </c>
      <c r="T56" s="166" t="str">
        <f t="shared" si="1"/>
        <v/>
      </c>
      <c r="U56" s="34" t="str">
        <f>'Закупка'!F56</f>
        <v/>
      </c>
      <c r="V56" s="167" t="str">
        <f>'Закупка'!O56</f>
        <v/>
      </c>
      <c r="W56" s="167" t="str">
        <f t="shared" si="2"/>
        <v/>
      </c>
      <c r="X56" s="168"/>
      <c r="Y56" s="169" t="str">
        <f>'Закупка'!P56</f>
        <v/>
      </c>
      <c r="Z56" s="170" t="str">
        <f>'Закупка'!Q56</f>
        <v/>
      </c>
      <c r="AA56" s="171" t="str">
        <f>'Закупка'!R56</f>
        <v/>
      </c>
      <c r="AB56" s="172" t="str">
        <f>'Закупка'!T56</f>
        <v/>
      </c>
      <c r="AC56" s="173" t="str">
        <f>'Закупка'!S56</f>
        <v/>
      </c>
      <c r="AD56" s="174" t="str">
        <f>'Закупка'!W56</f>
        <v/>
      </c>
      <c r="AE56" s="87" t="str">
        <f>'Закупка'!Y56</f>
        <v/>
      </c>
    </row>
    <row r="57">
      <c r="A57" s="98" t="str">
        <f>'Закупка'!A57</f>
        <v/>
      </c>
      <c r="B57" s="81" t="str">
        <f>'Закупка'!B57</f>
        <v/>
      </c>
      <c r="C57" s="163" t="str">
        <f>'Закупка'!L57</f>
        <v/>
      </c>
      <c r="D57" s="164" t="str">
        <f>'Закупка'!G57</f>
        <v/>
      </c>
      <c r="E57" s="163" t="str">
        <f>Muntaner!G57</f>
        <v/>
      </c>
      <c r="F57" s="165" t="str">
        <f>Muntaner!H57</f>
        <v/>
      </c>
      <c r="G57" s="164" t="str">
        <f>'Закупка'!H57</f>
        <v/>
      </c>
      <c r="H57" s="163" t="str">
        <f>Plaza!G57</f>
        <v/>
      </c>
      <c r="I57" s="165" t="str">
        <f>Plaza!H57</f>
        <v/>
      </c>
      <c r="J57" s="164" t="str">
        <f>'Закупка'!I57</f>
        <v/>
      </c>
      <c r="K57" s="163" t="str">
        <f>Augusta!G57</f>
        <v/>
      </c>
      <c r="L57" s="165" t="str">
        <f>Augusta!H57</f>
        <v/>
      </c>
      <c r="M57" s="164" t="str">
        <f>'Закупка'!J57</f>
        <v/>
      </c>
      <c r="N57" s="163" t="str">
        <f>Gloria!G57</f>
        <v/>
      </c>
      <c r="O57" s="165" t="str">
        <f>Gloria!H57</f>
        <v/>
      </c>
      <c r="P57" s="164" t="str">
        <f>'Закупка'!K57</f>
        <v/>
      </c>
      <c r="Q57" s="163" t="str">
        <f>Blau!G57</f>
        <v/>
      </c>
      <c r="R57" s="165" t="str">
        <f>Blau!H57</f>
        <v/>
      </c>
      <c r="S57" s="166" t="str">
        <f>'Закупка'!E57</f>
        <v/>
      </c>
      <c r="T57" s="166" t="str">
        <f t="shared" si="1"/>
        <v/>
      </c>
      <c r="U57" s="34" t="str">
        <f>'Закупка'!F57</f>
        <v/>
      </c>
      <c r="V57" s="167" t="str">
        <f>'Закупка'!O57</f>
        <v/>
      </c>
      <c r="W57" s="167" t="str">
        <f t="shared" si="2"/>
        <v/>
      </c>
      <c r="X57" s="168"/>
      <c r="Y57" s="169" t="str">
        <f>'Закупка'!P57</f>
        <v/>
      </c>
      <c r="Z57" s="170" t="str">
        <f>'Закупка'!Q57</f>
        <v/>
      </c>
      <c r="AA57" s="171" t="str">
        <f>'Закупка'!R57</f>
        <v/>
      </c>
      <c r="AB57" s="172" t="str">
        <f>'Закупка'!T57</f>
        <v/>
      </c>
      <c r="AC57" s="173" t="str">
        <f>'Закупка'!S57</f>
        <v/>
      </c>
      <c r="AD57" s="174" t="str">
        <f>'Закупка'!W57</f>
        <v/>
      </c>
      <c r="AE57" s="87" t="str">
        <f>'Закупка'!Y57</f>
        <v/>
      </c>
    </row>
    <row r="58">
      <c r="A58" s="98" t="str">
        <f>'Закупка'!A58</f>
        <v/>
      </c>
      <c r="B58" s="81" t="str">
        <f>'Закупка'!B58</f>
        <v/>
      </c>
      <c r="C58" s="163" t="str">
        <f>'Закупка'!L58</f>
        <v/>
      </c>
      <c r="D58" s="164" t="str">
        <f>'Закупка'!G58</f>
        <v/>
      </c>
      <c r="E58" s="163" t="str">
        <f>Muntaner!G58</f>
        <v/>
      </c>
      <c r="F58" s="165" t="str">
        <f>Muntaner!H58</f>
        <v/>
      </c>
      <c r="G58" s="164" t="str">
        <f>'Закупка'!H58</f>
        <v/>
      </c>
      <c r="H58" s="163" t="str">
        <f>Plaza!G58</f>
        <v/>
      </c>
      <c r="I58" s="165" t="str">
        <f>Plaza!H58</f>
        <v/>
      </c>
      <c r="J58" s="164" t="str">
        <f>'Закупка'!I58</f>
        <v/>
      </c>
      <c r="K58" s="163" t="str">
        <f>Augusta!G58</f>
        <v/>
      </c>
      <c r="L58" s="165" t="str">
        <f>Augusta!H58</f>
        <v/>
      </c>
      <c r="M58" s="164" t="str">
        <f>'Закупка'!J58</f>
        <v/>
      </c>
      <c r="N58" s="163" t="str">
        <f>Gloria!G58</f>
        <v/>
      </c>
      <c r="O58" s="165" t="str">
        <f>Gloria!H58</f>
        <v/>
      </c>
      <c r="P58" s="164" t="str">
        <f>'Закупка'!K58</f>
        <v/>
      </c>
      <c r="Q58" s="163" t="str">
        <f>Blau!G58</f>
        <v/>
      </c>
      <c r="R58" s="165" t="str">
        <f>Blau!H58</f>
        <v/>
      </c>
      <c r="S58" s="166" t="str">
        <f>'Закупка'!E58</f>
        <v/>
      </c>
      <c r="T58" s="166" t="str">
        <f t="shared" si="1"/>
        <v/>
      </c>
      <c r="U58" s="34" t="str">
        <f>'Закупка'!F58</f>
        <v/>
      </c>
      <c r="V58" s="167" t="str">
        <f>'Закупка'!O58</f>
        <v/>
      </c>
      <c r="W58" s="167" t="str">
        <f t="shared" si="2"/>
        <v/>
      </c>
      <c r="X58" s="168"/>
      <c r="Y58" s="169" t="str">
        <f>'Закупка'!P58</f>
        <v/>
      </c>
      <c r="Z58" s="170" t="str">
        <f>'Закупка'!Q58</f>
        <v/>
      </c>
      <c r="AA58" s="171" t="str">
        <f>'Закупка'!R58</f>
        <v/>
      </c>
      <c r="AB58" s="172" t="str">
        <f>'Закупка'!T58</f>
        <v/>
      </c>
      <c r="AC58" s="173" t="str">
        <f>'Закупка'!S58</f>
        <v/>
      </c>
      <c r="AD58" s="174" t="str">
        <f>'Закупка'!W58</f>
        <v/>
      </c>
      <c r="AE58" s="87" t="str">
        <f>'Закупка'!Y58</f>
        <v/>
      </c>
    </row>
    <row r="59">
      <c r="A59" s="98" t="str">
        <f>'Закупка'!A59</f>
        <v/>
      </c>
      <c r="B59" s="81" t="str">
        <f>'Закупка'!B59</f>
        <v/>
      </c>
      <c r="C59" s="163" t="str">
        <f>'Закупка'!L59</f>
        <v/>
      </c>
      <c r="D59" s="164" t="str">
        <f>'Закупка'!G59</f>
        <v/>
      </c>
      <c r="E59" s="163" t="str">
        <f>Muntaner!G59</f>
        <v/>
      </c>
      <c r="F59" s="165" t="str">
        <f>Muntaner!H59</f>
        <v/>
      </c>
      <c r="G59" s="164" t="str">
        <f>'Закупка'!H59</f>
        <v/>
      </c>
      <c r="H59" s="163" t="str">
        <f>Plaza!G59</f>
        <v/>
      </c>
      <c r="I59" s="165" t="str">
        <f>Plaza!H59</f>
        <v/>
      </c>
      <c r="J59" s="164" t="str">
        <f>'Закупка'!I59</f>
        <v/>
      </c>
      <c r="K59" s="163" t="str">
        <f>Augusta!G59</f>
        <v/>
      </c>
      <c r="L59" s="165" t="str">
        <f>Augusta!H59</f>
        <v/>
      </c>
      <c r="M59" s="164" t="str">
        <f>'Закупка'!J59</f>
        <v/>
      </c>
      <c r="N59" s="163" t="str">
        <f>Gloria!G59</f>
        <v/>
      </c>
      <c r="O59" s="165" t="str">
        <f>Gloria!H59</f>
        <v/>
      </c>
      <c r="P59" s="164" t="str">
        <f>'Закупка'!K59</f>
        <v/>
      </c>
      <c r="Q59" s="163" t="str">
        <f>Blau!G59</f>
        <v/>
      </c>
      <c r="R59" s="165" t="str">
        <f>Blau!H59</f>
        <v/>
      </c>
      <c r="S59" s="166" t="str">
        <f>'Закупка'!E59</f>
        <v/>
      </c>
      <c r="T59" s="166" t="str">
        <f t="shared" si="1"/>
        <v/>
      </c>
      <c r="U59" s="34" t="str">
        <f>'Закупка'!F59</f>
        <v/>
      </c>
      <c r="V59" s="167" t="str">
        <f>'Закупка'!O59</f>
        <v/>
      </c>
      <c r="W59" s="167" t="str">
        <f t="shared" si="2"/>
        <v/>
      </c>
      <c r="X59" s="168"/>
      <c r="Y59" s="169" t="str">
        <f>'Закупка'!P59</f>
        <v/>
      </c>
      <c r="Z59" s="170" t="str">
        <f>'Закупка'!Q59</f>
        <v/>
      </c>
      <c r="AA59" s="171" t="str">
        <f>'Закупка'!R59</f>
        <v/>
      </c>
      <c r="AB59" s="172" t="str">
        <f>'Закупка'!T59</f>
        <v/>
      </c>
      <c r="AC59" s="173" t="str">
        <f>'Закупка'!S59</f>
        <v/>
      </c>
      <c r="AD59" s="174" t="str">
        <f>'Закупка'!W59</f>
        <v/>
      </c>
      <c r="AE59" s="87" t="str">
        <f>'Закупка'!Y59</f>
        <v/>
      </c>
    </row>
    <row r="60">
      <c r="A60" s="98" t="str">
        <f>'Закупка'!A60</f>
        <v/>
      </c>
      <c r="B60" s="81" t="str">
        <f>'Закупка'!B60</f>
        <v/>
      </c>
      <c r="C60" s="163" t="str">
        <f>'Закупка'!L60</f>
        <v/>
      </c>
      <c r="D60" s="164" t="str">
        <f>'Закупка'!G60</f>
        <v/>
      </c>
      <c r="E60" s="163" t="str">
        <f>Muntaner!G60</f>
        <v/>
      </c>
      <c r="F60" s="165" t="str">
        <f>Muntaner!H60</f>
        <v/>
      </c>
      <c r="G60" s="164" t="str">
        <f>'Закупка'!H60</f>
        <v/>
      </c>
      <c r="H60" s="163" t="str">
        <f>Plaza!G60</f>
        <v/>
      </c>
      <c r="I60" s="165" t="str">
        <f>Plaza!H60</f>
        <v/>
      </c>
      <c r="J60" s="164" t="str">
        <f>'Закупка'!I60</f>
        <v/>
      </c>
      <c r="K60" s="163" t="str">
        <f>Augusta!G60</f>
        <v/>
      </c>
      <c r="L60" s="165" t="str">
        <f>Augusta!H60</f>
        <v/>
      </c>
      <c r="M60" s="164" t="str">
        <f>'Закупка'!J60</f>
        <v/>
      </c>
      <c r="N60" s="163" t="str">
        <f>Gloria!G60</f>
        <v/>
      </c>
      <c r="O60" s="165" t="str">
        <f>Gloria!H60</f>
        <v/>
      </c>
      <c r="P60" s="164" t="str">
        <f>'Закупка'!K60</f>
        <v/>
      </c>
      <c r="Q60" s="163" t="str">
        <f>Blau!G60</f>
        <v/>
      </c>
      <c r="R60" s="165" t="str">
        <f>Blau!H60</f>
        <v/>
      </c>
      <c r="S60" s="166" t="str">
        <f>'Закупка'!E60</f>
        <v/>
      </c>
      <c r="T60" s="166" t="str">
        <f t="shared" si="1"/>
        <v/>
      </c>
      <c r="U60" s="34" t="str">
        <f>'Закупка'!F60</f>
        <v/>
      </c>
      <c r="V60" s="167" t="str">
        <f>'Закупка'!O60</f>
        <v/>
      </c>
      <c r="W60" s="167" t="str">
        <f t="shared" si="2"/>
        <v/>
      </c>
      <c r="X60" s="168"/>
      <c r="Y60" s="169" t="str">
        <f>'Закупка'!P60</f>
        <v/>
      </c>
      <c r="Z60" s="170" t="str">
        <f>'Закупка'!Q60</f>
        <v/>
      </c>
      <c r="AA60" s="171" t="str">
        <f>'Закупка'!R60</f>
        <v/>
      </c>
      <c r="AB60" s="172" t="str">
        <f>'Закупка'!T60</f>
        <v/>
      </c>
      <c r="AC60" s="173" t="str">
        <f>'Закупка'!S60</f>
        <v/>
      </c>
      <c r="AD60" s="174" t="str">
        <f>'Закупка'!W60</f>
        <v/>
      </c>
      <c r="AE60" s="87" t="str">
        <f>'Закупка'!Y60</f>
        <v/>
      </c>
    </row>
    <row r="61">
      <c r="A61" s="98" t="str">
        <f>'Закупка'!A61</f>
        <v/>
      </c>
      <c r="B61" s="81" t="str">
        <f>'Закупка'!B61</f>
        <v/>
      </c>
      <c r="C61" s="163" t="str">
        <f>'Закупка'!L61</f>
        <v/>
      </c>
      <c r="D61" s="164" t="str">
        <f>'Закупка'!G61</f>
        <v/>
      </c>
      <c r="E61" s="163" t="str">
        <f>Muntaner!G61</f>
        <v/>
      </c>
      <c r="F61" s="165" t="str">
        <f>Muntaner!H61</f>
        <v/>
      </c>
      <c r="G61" s="164" t="str">
        <f>'Закупка'!H61</f>
        <v/>
      </c>
      <c r="H61" s="163" t="str">
        <f>Plaza!G61</f>
        <v/>
      </c>
      <c r="I61" s="165" t="str">
        <f>Plaza!H61</f>
        <v/>
      </c>
      <c r="J61" s="164" t="str">
        <f>'Закупка'!I61</f>
        <v/>
      </c>
      <c r="K61" s="163" t="str">
        <f>Augusta!G61</f>
        <v/>
      </c>
      <c r="L61" s="165" t="str">
        <f>Augusta!H61</f>
        <v/>
      </c>
      <c r="M61" s="164" t="str">
        <f>'Закупка'!J61</f>
        <v/>
      </c>
      <c r="N61" s="163" t="str">
        <f>Gloria!G61</f>
        <v/>
      </c>
      <c r="O61" s="165" t="str">
        <f>Gloria!H61</f>
        <v/>
      </c>
      <c r="P61" s="164" t="str">
        <f>'Закупка'!K61</f>
        <v/>
      </c>
      <c r="Q61" s="163" t="str">
        <f>Blau!G61</f>
        <v/>
      </c>
      <c r="R61" s="165" t="str">
        <f>Blau!H61</f>
        <v/>
      </c>
      <c r="S61" s="166" t="str">
        <f>'Закупка'!E61</f>
        <v/>
      </c>
      <c r="T61" s="166" t="str">
        <f t="shared" si="1"/>
        <v/>
      </c>
      <c r="U61" s="34" t="str">
        <f>'Закупка'!F61</f>
        <v/>
      </c>
      <c r="V61" s="167" t="str">
        <f>'Закупка'!O61</f>
        <v/>
      </c>
      <c r="W61" s="167" t="str">
        <f t="shared" si="2"/>
        <v/>
      </c>
      <c r="X61" s="168"/>
      <c r="Y61" s="169" t="str">
        <f>'Закупка'!P61</f>
        <v/>
      </c>
      <c r="Z61" s="170" t="str">
        <f>'Закупка'!Q61</f>
        <v/>
      </c>
      <c r="AA61" s="171" t="str">
        <f>'Закупка'!R61</f>
        <v/>
      </c>
      <c r="AB61" s="172" t="str">
        <f>'Закупка'!T61</f>
        <v/>
      </c>
      <c r="AC61" s="173" t="str">
        <f>'Закупка'!S61</f>
        <v/>
      </c>
      <c r="AD61" s="174" t="str">
        <f>'Закупка'!W61</f>
        <v/>
      </c>
      <c r="AE61" s="87" t="str">
        <f>'Закупка'!Y61</f>
        <v/>
      </c>
    </row>
    <row r="62">
      <c r="A62" s="98" t="str">
        <f>'Закупка'!A62</f>
        <v/>
      </c>
      <c r="B62" s="81" t="str">
        <f>'Закупка'!B62</f>
        <v/>
      </c>
      <c r="C62" s="163" t="str">
        <f>'Закупка'!L62</f>
        <v/>
      </c>
      <c r="D62" s="164" t="str">
        <f>'Закупка'!G62</f>
        <v/>
      </c>
      <c r="E62" s="163" t="str">
        <f>Muntaner!G62</f>
        <v/>
      </c>
      <c r="F62" s="165" t="str">
        <f>Muntaner!H62</f>
        <v/>
      </c>
      <c r="G62" s="164" t="str">
        <f>'Закупка'!H62</f>
        <v/>
      </c>
      <c r="H62" s="163" t="str">
        <f>Plaza!G62</f>
        <v/>
      </c>
      <c r="I62" s="165" t="str">
        <f>Plaza!H62</f>
        <v/>
      </c>
      <c r="J62" s="164" t="str">
        <f>'Закупка'!I62</f>
        <v/>
      </c>
      <c r="K62" s="163" t="str">
        <f>Augusta!G62</f>
        <v/>
      </c>
      <c r="L62" s="165" t="str">
        <f>Augusta!H62</f>
        <v/>
      </c>
      <c r="M62" s="164" t="str">
        <f>'Закупка'!J62</f>
        <v/>
      </c>
      <c r="N62" s="163" t="str">
        <f>Gloria!G62</f>
        <v/>
      </c>
      <c r="O62" s="165" t="str">
        <f>Gloria!H62</f>
        <v/>
      </c>
      <c r="P62" s="164" t="str">
        <f>'Закупка'!K62</f>
        <v/>
      </c>
      <c r="Q62" s="163" t="str">
        <f>Blau!G62</f>
        <v/>
      </c>
      <c r="R62" s="165" t="str">
        <f>Blau!H62</f>
        <v/>
      </c>
      <c r="S62" s="166" t="str">
        <f>'Закупка'!E62</f>
        <v/>
      </c>
      <c r="T62" s="166" t="str">
        <f t="shared" si="1"/>
        <v/>
      </c>
      <c r="U62" s="34" t="str">
        <f>'Закупка'!F62</f>
        <v/>
      </c>
      <c r="V62" s="167" t="str">
        <f>'Закупка'!O62</f>
        <v/>
      </c>
      <c r="W62" s="167" t="str">
        <f t="shared" si="2"/>
        <v/>
      </c>
      <c r="X62" s="168"/>
      <c r="Y62" s="169" t="str">
        <f>'Закупка'!P62</f>
        <v/>
      </c>
      <c r="Z62" s="170" t="str">
        <f>'Закупка'!Q62</f>
        <v/>
      </c>
      <c r="AA62" s="171" t="str">
        <f>'Закупка'!R62</f>
        <v/>
      </c>
      <c r="AB62" s="172" t="str">
        <f>'Закупка'!T62</f>
        <v/>
      </c>
      <c r="AC62" s="173" t="str">
        <f>'Закупка'!S62</f>
        <v/>
      </c>
      <c r="AD62" s="174" t="str">
        <f>'Закупка'!W62</f>
        <v/>
      </c>
      <c r="AE62" s="87" t="str">
        <f>'Закупка'!Y62</f>
        <v/>
      </c>
    </row>
    <row r="63">
      <c r="A63" s="98" t="str">
        <f>'Закупка'!A63</f>
        <v/>
      </c>
      <c r="B63" s="81" t="str">
        <f>'Закупка'!B63</f>
        <v/>
      </c>
      <c r="C63" s="163" t="str">
        <f>'Закупка'!L63</f>
        <v/>
      </c>
      <c r="D63" s="164" t="str">
        <f>'Закупка'!G63</f>
        <v/>
      </c>
      <c r="E63" s="163" t="str">
        <f>Muntaner!G63</f>
        <v/>
      </c>
      <c r="F63" s="165" t="str">
        <f>Muntaner!H63</f>
        <v/>
      </c>
      <c r="G63" s="164" t="str">
        <f>'Закупка'!H63</f>
        <v/>
      </c>
      <c r="H63" s="163" t="str">
        <f>Plaza!G63</f>
        <v/>
      </c>
      <c r="I63" s="165" t="str">
        <f>Plaza!H63</f>
        <v/>
      </c>
      <c r="J63" s="164" t="str">
        <f>'Закупка'!I63</f>
        <v/>
      </c>
      <c r="K63" s="163" t="str">
        <f>Augusta!G63</f>
        <v/>
      </c>
      <c r="L63" s="165" t="str">
        <f>Augusta!H63</f>
        <v/>
      </c>
      <c r="M63" s="164" t="str">
        <f>'Закупка'!J63</f>
        <v/>
      </c>
      <c r="N63" s="163" t="str">
        <f>Gloria!G63</f>
        <v/>
      </c>
      <c r="O63" s="165" t="str">
        <f>Gloria!H63</f>
        <v/>
      </c>
      <c r="P63" s="164" t="str">
        <f>'Закупка'!K63</f>
        <v/>
      </c>
      <c r="Q63" s="163" t="str">
        <f>Blau!G63</f>
        <v/>
      </c>
      <c r="R63" s="165" t="str">
        <f>Blau!H63</f>
        <v/>
      </c>
      <c r="S63" s="166" t="str">
        <f>'Закупка'!E63</f>
        <v/>
      </c>
      <c r="T63" s="166" t="str">
        <f t="shared" si="1"/>
        <v/>
      </c>
      <c r="U63" s="34" t="str">
        <f>'Закупка'!F63</f>
        <v/>
      </c>
      <c r="V63" s="167" t="str">
        <f>'Закупка'!O63</f>
        <v/>
      </c>
      <c r="W63" s="167" t="str">
        <f t="shared" si="2"/>
        <v/>
      </c>
      <c r="X63" s="168"/>
      <c r="Y63" s="169" t="str">
        <f>'Закупка'!P63</f>
        <v/>
      </c>
      <c r="Z63" s="170" t="str">
        <f>'Закупка'!Q63</f>
        <v/>
      </c>
      <c r="AA63" s="171" t="str">
        <f>'Закупка'!R63</f>
        <v/>
      </c>
      <c r="AB63" s="172" t="str">
        <f>'Закупка'!T63</f>
        <v/>
      </c>
      <c r="AC63" s="173" t="str">
        <f>'Закупка'!S63</f>
        <v/>
      </c>
      <c r="AD63" s="174" t="str">
        <f>'Закупка'!W63</f>
        <v/>
      </c>
      <c r="AE63" s="87" t="str">
        <f>'Закупка'!Y63</f>
        <v/>
      </c>
    </row>
    <row r="64">
      <c r="A64" s="98" t="str">
        <f>'Закупка'!A64</f>
        <v/>
      </c>
      <c r="B64" s="81" t="str">
        <f>'Закупка'!B64</f>
        <v/>
      </c>
      <c r="C64" s="163" t="str">
        <f>'Закупка'!L64</f>
        <v/>
      </c>
      <c r="D64" s="164" t="str">
        <f>'Закупка'!G64</f>
        <v/>
      </c>
      <c r="E64" s="163" t="str">
        <f>Muntaner!G64</f>
        <v/>
      </c>
      <c r="F64" s="165" t="str">
        <f>Muntaner!H64</f>
        <v/>
      </c>
      <c r="G64" s="164" t="str">
        <f>'Закупка'!H64</f>
        <v/>
      </c>
      <c r="H64" s="163" t="str">
        <f>Plaza!G64</f>
        <v/>
      </c>
      <c r="I64" s="165" t="str">
        <f>Plaza!H64</f>
        <v/>
      </c>
      <c r="J64" s="164" t="str">
        <f>'Закупка'!I64</f>
        <v/>
      </c>
      <c r="K64" s="163" t="str">
        <f>Augusta!G64</f>
        <v/>
      </c>
      <c r="L64" s="165" t="str">
        <f>Augusta!H64</f>
        <v/>
      </c>
      <c r="M64" s="164" t="str">
        <f>'Закупка'!J64</f>
        <v/>
      </c>
      <c r="N64" s="163" t="str">
        <f>Gloria!G64</f>
        <v/>
      </c>
      <c r="O64" s="165" t="str">
        <f>Gloria!H64</f>
        <v/>
      </c>
      <c r="P64" s="164" t="str">
        <f>'Закупка'!K64</f>
        <v/>
      </c>
      <c r="Q64" s="163" t="str">
        <f>Blau!G64</f>
        <v/>
      </c>
      <c r="R64" s="165" t="str">
        <f>Blau!H64</f>
        <v/>
      </c>
      <c r="S64" s="166" t="str">
        <f>'Закупка'!E64</f>
        <v/>
      </c>
      <c r="T64" s="166" t="str">
        <f t="shared" si="1"/>
        <v/>
      </c>
      <c r="U64" s="34" t="str">
        <f>'Закупка'!F64</f>
        <v/>
      </c>
      <c r="V64" s="167" t="str">
        <f>'Закупка'!O64</f>
        <v/>
      </c>
      <c r="W64" s="167" t="str">
        <f t="shared" si="2"/>
        <v/>
      </c>
      <c r="X64" s="168"/>
      <c r="Y64" s="169" t="str">
        <f>'Закупка'!P64</f>
        <v/>
      </c>
      <c r="Z64" s="170" t="str">
        <f>'Закупка'!Q64</f>
        <v/>
      </c>
      <c r="AA64" s="171" t="str">
        <f>'Закупка'!R64</f>
        <v/>
      </c>
      <c r="AB64" s="172" t="str">
        <f>'Закупка'!T64</f>
        <v/>
      </c>
      <c r="AC64" s="173" t="str">
        <f>'Закупка'!S64</f>
        <v/>
      </c>
      <c r="AD64" s="174" t="str">
        <f>'Закупка'!W64</f>
        <v/>
      </c>
      <c r="AE64" s="87" t="str">
        <f>'Закупка'!Y64</f>
        <v/>
      </c>
    </row>
    <row r="65">
      <c r="A65" s="98" t="str">
        <f>'Закупка'!A65</f>
        <v/>
      </c>
      <c r="B65" s="81" t="str">
        <f>'Закупка'!B65</f>
        <v/>
      </c>
      <c r="C65" s="163" t="str">
        <f>'Закупка'!L65</f>
        <v/>
      </c>
      <c r="D65" s="164" t="str">
        <f>'Закупка'!G65</f>
        <v/>
      </c>
      <c r="E65" s="163" t="str">
        <f>Muntaner!G65</f>
        <v/>
      </c>
      <c r="F65" s="165" t="str">
        <f>Muntaner!H65</f>
        <v/>
      </c>
      <c r="G65" s="164" t="str">
        <f>'Закупка'!H65</f>
        <v/>
      </c>
      <c r="H65" s="163" t="str">
        <f>Plaza!G65</f>
        <v/>
      </c>
      <c r="I65" s="165" t="str">
        <f>Plaza!H65</f>
        <v/>
      </c>
      <c r="J65" s="164" t="str">
        <f>'Закупка'!I65</f>
        <v/>
      </c>
      <c r="K65" s="163" t="str">
        <f>Augusta!G65</f>
        <v/>
      </c>
      <c r="L65" s="165" t="str">
        <f>Augusta!H65</f>
        <v/>
      </c>
      <c r="M65" s="164" t="str">
        <f>'Закупка'!J65</f>
        <v/>
      </c>
      <c r="N65" s="163" t="str">
        <f>Gloria!G65</f>
        <v/>
      </c>
      <c r="O65" s="165" t="str">
        <f>Gloria!H65</f>
        <v/>
      </c>
      <c r="P65" s="164" t="str">
        <f>'Закупка'!K65</f>
        <v/>
      </c>
      <c r="Q65" s="163" t="str">
        <f>Blau!G65</f>
        <v/>
      </c>
      <c r="R65" s="165" t="str">
        <f>Blau!H65</f>
        <v/>
      </c>
      <c r="S65" s="166" t="str">
        <f>'Закупка'!E65</f>
        <v/>
      </c>
      <c r="T65" s="166" t="str">
        <f t="shared" si="1"/>
        <v/>
      </c>
      <c r="U65" s="34" t="str">
        <f>'Закупка'!F65</f>
        <v/>
      </c>
      <c r="V65" s="167" t="str">
        <f>'Закупка'!O65</f>
        <v/>
      </c>
      <c r="W65" s="167" t="str">
        <f t="shared" si="2"/>
        <v/>
      </c>
      <c r="X65" s="168"/>
      <c r="Y65" s="169" t="str">
        <f>'Закупка'!P65</f>
        <v/>
      </c>
      <c r="Z65" s="170" t="str">
        <f>'Закупка'!Q65</f>
        <v/>
      </c>
      <c r="AA65" s="171" t="str">
        <f>'Закупка'!R65</f>
        <v/>
      </c>
      <c r="AB65" s="172" t="str">
        <f>'Закупка'!T65</f>
        <v/>
      </c>
      <c r="AC65" s="173" t="str">
        <f>'Закупка'!S65</f>
        <v/>
      </c>
      <c r="AD65" s="174" t="str">
        <f>'Закупка'!W65</f>
        <v/>
      </c>
      <c r="AE65" s="87" t="str">
        <f>'Закупка'!Y65</f>
        <v/>
      </c>
    </row>
    <row r="66">
      <c r="A66" s="98" t="str">
        <f>'Закупка'!A66</f>
        <v/>
      </c>
      <c r="B66" s="81" t="str">
        <f>'Закупка'!B66</f>
        <v/>
      </c>
      <c r="C66" s="163" t="str">
        <f>'Закупка'!L66</f>
        <v/>
      </c>
      <c r="D66" s="164" t="str">
        <f>'Закупка'!G66</f>
        <v/>
      </c>
      <c r="E66" s="163" t="str">
        <f>Muntaner!G66</f>
        <v/>
      </c>
      <c r="F66" s="165" t="str">
        <f>Muntaner!H66</f>
        <v/>
      </c>
      <c r="G66" s="164" t="str">
        <f>'Закупка'!H66</f>
        <v/>
      </c>
      <c r="H66" s="163" t="str">
        <f>Plaza!G66</f>
        <v/>
      </c>
      <c r="I66" s="165" t="str">
        <f>Plaza!H66</f>
        <v/>
      </c>
      <c r="J66" s="164" t="str">
        <f>'Закупка'!I66</f>
        <v/>
      </c>
      <c r="K66" s="163" t="str">
        <f>Augusta!G66</f>
        <v/>
      </c>
      <c r="L66" s="165" t="str">
        <f>Augusta!H66</f>
        <v/>
      </c>
      <c r="M66" s="164" t="str">
        <f>'Закупка'!J66</f>
        <v/>
      </c>
      <c r="N66" s="163" t="str">
        <f>Gloria!G66</f>
        <v/>
      </c>
      <c r="O66" s="165" t="str">
        <f>Gloria!H66</f>
        <v/>
      </c>
      <c r="P66" s="164" t="str">
        <f>'Закупка'!K66</f>
        <v/>
      </c>
      <c r="Q66" s="163" t="str">
        <f>Blau!G66</f>
        <v/>
      </c>
      <c r="R66" s="165" t="str">
        <f>Blau!H66</f>
        <v/>
      </c>
      <c r="S66" s="166" t="str">
        <f>'Закупка'!E66</f>
        <v/>
      </c>
      <c r="T66" s="166" t="str">
        <f t="shared" si="1"/>
        <v/>
      </c>
      <c r="U66" s="34" t="str">
        <f>'Закупка'!F66</f>
        <v/>
      </c>
      <c r="V66" s="167" t="str">
        <f>'Закупка'!O66</f>
        <v/>
      </c>
      <c r="W66" s="167" t="str">
        <f t="shared" si="2"/>
        <v/>
      </c>
      <c r="X66" s="168"/>
      <c r="Y66" s="169" t="str">
        <f>'Закупка'!P66</f>
        <v/>
      </c>
      <c r="Z66" s="170" t="str">
        <f>'Закупка'!Q66</f>
        <v/>
      </c>
      <c r="AA66" s="171" t="str">
        <f>'Закупка'!R66</f>
        <v/>
      </c>
      <c r="AB66" s="172" t="str">
        <f>'Закупка'!T66</f>
        <v/>
      </c>
      <c r="AC66" s="173" t="str">
        <f>'Закупка'!S66</f>
        <v/>
      </c>
      <c r="AD66" s="174" t="str">
        <f>'Закупка'!W66</f>
        <v/>
      </c>
      <c r="AE66" s="87" t="str">
        <f>'Закупка'!Y66</f>
        <v/>
      </c>
    </row>
    <row r="67">
      <c r="A67" s="98" t="str">
        <f>'Закупка'!A67</f>
        <v/>
      </c>
      <c r="B67" s="81" t="str">
        <f>'Закупка'!B67</f>
        <v/>
      </c>
      <c r="C67" s="163" t="str">
        <f>'Закупка'!L67</f>
        <v/>
      </c>
      <c r="D67" s="164" t="str">
        <f>'Закупка'!G67</f>
        <v/>
      </c>
      <c r="E67" s="163" t="str">
        <f>Muntaner!G67</f>
        <v/>
      </c>
      <c r="F67" s="165" t="str">
        <f>Muntaner!H67</f>
        <v/>
      </c>
      <c r="G67" s="164" t="str">
        <f>'Закупка'!H67</f>
        <v/>
      </c>
      <c r="H67" s="163" t="str">
        <f>Plaza!G67</f>
        <v/>
      </c>
      <c r="I67" s="165" t="str">
        <f>Plaza!H67</f>
        <v/>
      </c>
      <c r="J67" s="164" t="str">
        <f>'Закупка'!I67</f>
        <v/>
      </c>
      <c r="K67" s="163" t="str">
        <f>Augusta!G67</f>
        <v/>
      </c>
      <c r="L67" s="165" t="str">
        <f>Augusta!H67</f>
        <v/>
      </c>
      <c r="M67" s="164" t="str">
        <f>'Закупка'!J67</f>
        <v/>
      </c>
      <c r="N67" s="163" t="str">
        <f>Gloria!G67</f>
        <v/>
      </c>
      <c r="O67" s="165" t="str">
        <f>Gloria!H67</f>
        <v/>
      </c>
      <c r="P67" s="164" t="str">
        <f>'Закупка'!K67</f>
        <v/>
      </c>
      <c r="Q67" s="163" t="str">
        <f>Blau!G67</f>
        <v/>
      </c>
      <c r="R67" s="165" t="str">
        <f>Blau!H67</f>
        <v/>
      </c>
      <c r="S67" s="166" t="str">
        <f>'Закупка'!E67</f>
        <v/>
      </c>
      <c r="T67" s="166" t="str">
        <f t="shared" si="1"/>
        <v/>
      </c>
      <c r="U67" s="34" t="str">
        <f>'Закупка'!F67</f>
        <v/>
      </c>
      <c r="V67" s="167" t="str">
        <f>'Закупка'!O67</f>
        <v/>
      </c>
      <c r="W67" s="167" t="str">
        <f t="shared" si="2"/>
        <v/>
      </c>
      <c r="X67" s="168"/>
      <c r="Y67" s="169" t="str">
        <f>'Закупка'!P67</f>
        <v/>
      </c>
      <c r="Z67" s="170" t="str">
        <f>'Закупка'!Q67</f>
        <v/>
      </c>
      <c r="AA67" s="171" t="str">
        <f>'Закупка'!R67</f>
        <v/>
      </c>
      <c r="AB67" s="172" t="str">
        <f>'Закупка'!T67</f>
        <v/>
      </c>
      <c r="AC67" s="173" t="str">
        <f>'Закупка'!S67</f>
        <v/>
      </c>
      <c r="AD67" s="174" t="str">
        <f>'Закупка'!W67</f>
        <v/>
      </c>
      <c r="AE67" s="87" t="str">
        <f>'Закупка'!Y67</f>
        <v/>
      </c>
    </row>
    <row r="68">
      <c r="A68" s="98" t="str">
        <f>'Закупка'!A68</f>
        <v/>
      </c>
      <c r="B68" s="81" t="str">
        <f>'Закупка'!B68</f>
        <v/>
      </c>
      <c r="C68" s="163" t="str">
        <f>'Закупка'!L68</f>
        <v/>
      </c>
      <c r="D68" s="164" t="str">
        <f>'Закупка'!G68</f>
        <v/>
      </c>
      <c r="E68" s="163" t="str">
        <f>Muntaner!G68</f>
        <v/>
      </c>
      <c r="F68" s="165" t="str">
        <f>Muntaner!H68</f>
        <v/>
      </c>
      <c r="G68" s="164" t="str">
        <f>'Закупка'!H68</f>
        <v/>
      </c>
      <c r="H68" s="163" t="str">
        <f>Plaza!G68</f>
        <v/>
      </c>
      <c r="I68" s="165" t="str">
        <f>Plaza!H68</f>
        <v/>
      </c>
      <c r="J68" s="164" t="str">
        <f>'Закупка'!I68</f>
        <v/>
      </c>
      <c r="K68" s="163" t="str">
        <f>Augusta!G68</f>
        <v/>
      </c>
      <c r="L68" s="165" t="str">
        <f>Augusta!H68</f>
        <v/>
      </c>
      <c r="M68" s="164" t="str">
        <f>'Закупка'!J68</f>
        <v/>
      </c>
      <c r="N68" s="163" t="str">
        <f>Gloria!G68</f>
        <v/>
      </c>
      <c r="O68" s="165" t="str">
        <f>Gloria!H68</f>
        <v/>
      </c>
      <c r="P68" s="164" t="str">
        <f>'Закупка'!K68</f>
        <v/>
      </c>
      <c r="Q68" s="163" t="str">
        <f>Blau!G68</f>
        <v/>
      </c>
      <c r="R68" s="165" t="str">
        <f>Blau!H68</f>
        <v/>
      </c>
      <c r="S68" s="166" t="str">
        <f>'Закупка'!E68</f>
        <v/>
      </c>
      <c r="T68" s="166" t="str">
        <f t="shared" si="1"/>
        <v/>
      </c>
      <c r="U68" s="34" t="str">
        <f>'Закупка'!F68</f>
        <v/>
      </c>
      <c r="V68" s="167" t="str">
        <f>'Закупка'!O68</f>
        <v/>
      </c>
      <c r="W68" s="167" t="str">
        <f t="shared" si="2"/>
        <v/>
      </c>
      <c r="X68" s="168"/>
      <c r="Y68" s="169" t="str">
        <f>'Закупка'!P68</f>
        <v/>
      </c>
      <c r="Z68" s="170" t="str">
        <f>'Закупка'!Q68</f>
        <v/>
      </c>
      <c r="AA68" s="171" t="str">
        <f>'Закупка'!R68</f>
        <v/>
      </c>
      <c r="AB68" s="172" t="str">
        <f>'Закупка'!T68</f>
        <v/>
      </c>
      <c r="AC68" s="173" t="str">
        <f>'Закупка'!S68</f>
        <v/>
      </c>
      <c r="AD68" s="174" t="str">
        <f>'Закупка'!W68</f>
        <v/>
      </c>
      <c r="AE68" s="87" t="str">
        <f>'Закупка'!Y68</f>
        <v/>
      </c>
    </row>
    <row r="69">
      <c r="A69" s="98" t="str">
        <f>'Закупка'!A69</f>
        <v/>
      </c>
      <c r="B69" s="81" t="str">
        <f>'Закупка'!B69</f>
        <v/>
      </c>
      <c r="C69" s="163" t="str">
        <f>'Закупка'!L69</f>
        <v/>
      </c>
      <c r="D69" s="164" t="str">
        <f>'Закупка'!G69</f>
        <v/>
      </c>
      <c r="E69" s="163" t="str">
        <f>Muntaner!G69</f>
        <v/>
      </c>
      <c r="F69" s="165" t="str">
        <f>Muntaner!H69</f>
        <v/>
      </c>
      <c r="G69" s="164" t="str">
        <f>'Закупка'!H69</f>
        <v/>
      </c>
      <c r="H69" s="163" t="str">
        <f>Plaza!G69</f>
        <v/>
      </c>
      <c r="I69" s="165" t="str">
        <f>Plaza!H69</f>
        <v/>
      </c>
      <c r="J69" s="164" t="str">
        <f>'Закупка'!I69</f>
        <v/>
      </c>
      <c r="K69" s="163" t="str">
        <f>Augusta!G69</f>
        <v/>
      </c>
      <c r="L69" s="165" t="str">
        <f>Augusta!H69</f>
        <v/>
      </c>
      <c r="M69" s="164" t="str">
        <f>'Закупка'!J69</f>
        <v/>
      </c>
      <c r="N69" s="163" t="str">
        <f>Gloria!G69</f>
        <v/>
      </c>
      <c r="O69" s="165" t="str">
        <f>Gloria!H69</f>
        <v/>
      </c>
      <c r="P69" s="164" t="str">
        <f>'Закупка'!K69</f>
        <v/>
      </c>
      <c r="Q69" s="163" t="str">
        <f>Blau!G69</f>
        <v/>
      </c>
      <c r="R69" s="165" t="str">
        <f>Blau!H69</f>
        <v/>
      </c>
      <c r="S69" s="166" t="str">
        <f>'Закупка'!E69</f>
        <v/>
      </c>
      <c r="T69" s="166" t="str">
        <f t="shared" si="1"/>
        <v/>
      </c>
      <c r="U69" s="34" t="str">
        <f>'Закупка'!F69</f>
        <v/>
      </c>
      <c r="V69" s="167" t="str">
        <f>'Закупка'!O69</f>
        <v/>
      </c>
      <c r="W69" s="167" t="str">
        <f t="shared" si="2"/>
        <v/>
      </c>
      <c r="X69" s="168"/>
      <c r="Y69" s="169" t="str">
        <f>'Закупка'!P69</f>
        <v/>
      </c>
      <c r="Z69" s="170" t="str">
        <f>'Закупка'!Q69</f>
        <v/>
      </c>
      <c r="AA69" s="171" t="str">
        <f>'Закупка'!R69</f>
        <v/>
      </c>
      <c r="AB69" s="172" t="str">
        <f>'Закупка'!T69</f>
        <v/>
      </c>
      <c r="AC69" s="173" t="str">
        <f>'Закупка'!S69</f>
        <v/>
      </c>
      <c r="AD69" s="174" t="str">
        <f>'Закупка'!W69</f>
        <v/>
      </c>
      <c r="AE69" s="87" t="str">
        <f>'Закупка'!Y69</f>
        <v/>
      </c>
    </row>
    <row r="70">
      <c r="A70" s="98" t="str">
        <f>'Закупка'!A70</f>
        <v/>
      </c>
      <c r="B70" s="81" t="str">
        <f>'Закупка'!B70</f>
        <v/>
      </c>
      <c r="C70" s="163" t="str">
        <f>'Закупка'!L70</f>
        <v/>
      </c>
      <c r="D70" s="164" t="str">
        <f>'Закупка'!G70</f>
        <v/>
      </c>
      <c r="E70" s="163" t="str">
        <f>Muntaner!G70</f>
        <v/>
      </c>
      <c r="F70" s="165" t="str">
        <f>Muntaner!H70</f>
        <v/>
      </c>
      <c r="G70" s="164" t="str">
        <f>'Закупка'!H70</f>
        <v/>
      </c>
      <c r="H70" s="163" t="str">
        <f>Plaza!G70</f>
        <v/>
      </c>
      <c r="I70" s="165" t="str">
        <f>Plaza!H70</f>
        <v/>
      </c>
      <c r="J70" s="164" t="str">
        <f>'Закупка'!I70</f>
        <v/>
      </c>
      <c r="K70" s="163" t="str">
        <f>Augusta!G70</f>
        <v/>
      </c>
      <c r="L70" s="165" t="str">
        <f>Augusta!H70</f>
        <v/>
      </c>
      <c r="M70" s="164" t="str">
        <f>'Закупка'!J70</f>
        <v/>
      </c>
      <c r="N70" s="163" t="str">
        <f>Gloria!G70</f>
        <v/>
      </c>
      <c r="O70" s="165" t="str">
        <f>Gloria!H70</f>
        <v/>
      </c>
      <c r="P70" s="164" t="str">
        <f>'Закупка'!K70</f>
        <v/>
      </c>
      <c r="Q70" s="163" t="str">
        <f>Blau!G70</f>
        <v/>
      </c>
      <c r="R70" s="165" t="str">
        <f>Blau!H70</f>
        <v/>
      </c>
      <c r="S70" s="166" t="str">
        <f>'Закупка'!E70</f>
        <v/>
      </c>
      <c r="T70" s="166" t="str">
        <f t="shared" si="1"/>
        <v/>
      </c>
      <c r="U70" s="34" t="str">
        <f>'Закупка'!F70</f>
        <v/>
      </c>
      <c r="V70" s="167" t="str">
        <f>'Закупка'!O70</f>
        <v/>
      </c>
      <c r="W70" s="167" t="str">
        <f t="shared" si="2"/>
        <v/>
      </c>
      <c r="X70" s="168"/>
      <c r="Y70" s="169" t="str">
        <f>'Закупка'!P70</f>
        <v/>
      </c>
      <c r="Z70" s="170" t="str">
        <f>'Закупка'!Q70</f>
        <v/>
      </c>
      <c r="AA70" s="171" t="str">
        <f>'Закупка'!R70</f>
        <v/>
      </c>
      <c r="AB70" s="172" t="str">
        <f>'Закупка'!T70</f>
        <v/>
      </c>
      <c r="AC70" s="173" t="str">
        <f>'Закупка'!S70</f>
        <v/>
      </c>
      <c r="AD70" s="174" t="str">
        <f>'Закупка'!W70</f>
        <v/>
      </c>
      <c r="AE70" s="87" t="str">
        <f>'Закупка'!Y70</f>
        <v/>
      </c>
    </row>
    <row r="71">
      <c r="A71" s="98" t="str">
        <f>'Закупка'!A71</f>
        <v/>
      </c>
      <c r="B71" s="81" t="str">
        <f>'Закупка'!B71</f>
        <v/>
      </c>
      <c r="C71" s="163" t="str">
        <f>'Закупка'!L71</f>
        <v/>
      </c>
      <c r="D71" s="164" t="str">
        <f>'Закупка'!G71</f>
        <v/>
      </c>
      <c r="E71" s="163" t="str">
        <f>Muntaner!G71</f>
        <v/>
      </c>
      <c r="F71" s="165" t="str">
        <f>Muntaner!H71</f>
        <v/>
      </c>
      <c r="G71" s="164" t="str">
        <f>'Закупка'!H71</f>
        <v/>
      </c>
      <c r="H71" s="163" t="str">
        <f>Plaza!G71</f>
        <v/>
      </c>
      <c r="I71" s="165" t="str">
        <f>Plaza!H71</f>
        <v/>
      </c>
      <c r="J71" s="164" t="str">
        <f>'Закупка'!I71</f>
        <v/>
      </c>
      <c r="K71" s="163" t="str">
        <f>Augusta!G71</f>
        <v/>
      </c>
      <c r="L71" s="165" t="str">
        <f>Augusta!H71</f>
        <v/>
      </c>
      <c r="M71" s="164" t="str">
        <f>'Закупка'!J71</f>
        <v/>
      </c>
      <c r="N71" s="163" t="str">
        <f>Gloria!G71</f>
        <v/>
      </c>
      <c r="O71" s="165" t="str">
        <f>Gloria!H71</f>
        <v/>
      </c>
      <c r="P71" s="164" t="str">
        <f>'Закупка'!K71</f>
        <v/>
      </c>
      <c r="Q71" s="163" t="str">
        <f>Blau!G71</f>
        <v/>
      </c>
      <c r="R71" s="165" t="str">
        <f>Blau!H71</f>
        <v/>
      </c>
      <c r="S71" s="166" t="str">
        <f>'Закупка'!E71</f>
        <v/>
      </c>
      <c r="T71" s="166" t="str">
        <f t="shared" si="1"/>
        <v/>
      </c>
      <c r="U71" s="34" t="str">
        <f>'Закупка'!F71</f>
        <v/>
      </c>
      <c r="V71" s="167" t="str">
        <f>'Закупка'!O71</f>
        <v/>
      </c>
      <c r="W71" s="167" t="str">
        <f t="shared" si="2"/>
        <v/>
      </c>
      <c r="X71" s="168"/>
      <c r="Y71" s="169" t="str">
        <f>'Закупка'!P71</f>
        <v/>
      </c>
      <c r="Z71" s="170" t="str">
        <f>'Закупка'!Q71</f>
        <v/>
      </c>
      <c r="AA71" s="171" t="str">
        <f>'Закупка'!R71</f>
        <v/>
      </c>
      <c r="AB71" s="172" t="str">
        <f>'Закупка'!T71</f>
        <v/>
      </c>
      <c r="AC71" s="173" t="str">
        <f>'Закупка'!S71</f>
        <v/>
      </c>
      <c r="AD71" s="174" t="str">
        <f>'Закупка'!W71</f>
        <v/>
      </c>
      <c r="AE71" s="87" t="str">
        <f>'Закупка'!Y71</f>
        <v/>
      </c>
    </row>
    <row r="72">
      <c r="A72" s="98" t="str">
        <f>'Закупка'!A72</f>
        <v/>
      </c>
      <c r="B72" s="81" t="str">
        <f>'Закупка'!B72</f>
        <v/>
      </c>
      <c r="C72" s="163" t="str">
        <f>'Закупка'!L72</f>
        <v/>
      </c>
      <c r="D72" s="164" t="str">
        <f>'Закупка'!G72</f>
        <v/>
      </c>
      <c r="E72" s="163" t="str">
        <f>Muntaner!G72</f>
        <v/>
      </c>
      <c r="F72" s="165" t="str">
        <f>Muntaner!H72</f>
        <v/>
      </c>
      <c r="G72" s="164" t="str">
        <f>'Закупка'!H72</f>
        <v/>
      </c>
      <c r="H72" s="163" t="str">
        <f>Plaza!G72</f>
        <v/>
      </c>
      <c r="I72" s="165" t="str">
        <f>Plaza!H72</f>
        <v/>
      </c>
      <c r="J72" s="164" t="str">
        <f>'Закупка'!I72</f>
        <v/>
      </c>
      <c r="K72" s="163" t="str">
        <f>Augusta!G72</f>
        <v/>
      </c>
      <c r="L72" s="165" t="str">
        <f>Augusta!H72</f>
        <v/>
      </c>
      <c r="M72" s="164" t="str">
        <f>'Закупка'!J72</f>
        <v/>
      </c>
      <c r="N72" s="163" t="str">
        <f>Gloria!G72</f>
        <v/>
      </c>
      <c r="O72" s="165" t="str">
        <f>Gloria!H72</f>
        <v/>
      </c>
      <c r="P72" s="164" t="str">
        <f>'Закупка'!K72</f>
        <v/>
      </c>
      <c r="Q72" s="163" t="str">
        <f>Blau!G72</f>
        <v/>
      </c>
      <c r="R72" s="165" t="str">
        <f>Blau!H72</f>
        <v/>
      </c>
      <c r="S72" s="166" t="str">
        <f>'Закупка'!E72</f>
        <v/>
      </c>
      <c r="T72" s="166" t="str">
        <f t="shared" si="1"/>
        <v/>
      </c>
      <c r="U72" s="34" t="str">
        <f>'Закупка'!F72</f>
        <v/>
      </c>
      <c r="V72" s="167" t="str">
        <f>'Закупка'!O72</f>
        <v/>
      </c>
      <c r="W72" s="167" t="str">
        <f t="shared" si="2"/>
        <v/>
      </c>
      <c r="X72" s="168"/>
      <c r="Y72" s="169" t="str">
        <f>'Закупка'!P72</f>
        <v/>
      </c>
      <c r="Z72" s="170" t="str">
        <f>'Закупка'!Q72</f>
        <v/>
      </c>
      <c r="AA72" s="171" t="str">
        <f>'Закупка'!R72</f>
        <v/>
      </c>
      <c r="AB72" s="172" t="str">
        <f>'Закупка'!T72</f>
        <v/>
      </c>
      <c r="AC72" s="173" t="str">
        <f>'Закупка'!S72</f>
        <v/>
      </c>
      <c r="AD72" s="174" t="str">
        <f>'Закупка'!W72</f>
        <v/>
      </c>
      <c r="AE72" s="87" t="str">
        <f>'Закупка'!Y72</f>
        <v/>
      </c>
    </row>
    <row r="73">
      <c r="A73" s="98" t="str">
        <f>'Закупка'!A73</f>
        <v/>
      </c>
      <c r="B73" s="81" t="str">
        <f>'Закупка'!B73</f>
        <v/>
      </c>
      <c r="C73" s="163" t="str">
        <f>'Закупка'!L73</f>
        <v/>
      </c>
      <c r="D73" s="164" t="str">
        <f>'Закупка'!G73</f>
        <v/>
      </c>
      <c r="E73" s="163" t="str">
        <f>Muntaner!G73</f>
        <v/>
      </c>
      <c r="F73" s="165" t="str">
        <f>Muntaner!H73</f>
        <v/>
      </c>
      <c r="G73" s="164" t="str">
        <f>'Закупка'!H73</f>
        <v/>
      </c>
      <c r="H73" s="163" t="str">
        <f>Plaza!G73</f>
        <v/>
      </c>
      <c r="I73" s="165" t="str">
        <f>Plaza!H73</f>
        <v/>
      </c>
      <c r="J73" s="164" t="str">
        <f>'Закупка'!I73</f>
        <v/>
      </c>
      <c r="K73" s="163" t="str">
        <f>Augusta!G73</f>
        <v/>
      </c>
      <c r="L73" s="165" t="str">
        <f>Augusta!H73</f>
        <v/>
      </c>
      <c r="M73" s="164" t="str">
        <f>'Закупка'!J73</f>
        <v/>
      </c>
      <c r="N73" s="163" t="str">
        <f>Gloria!G73</f>
        <v/>
      </c>
      <c r="O73" s="165" t="str">
        <f>Gloria!H73</f>
        <v/>
      </c>
      <c r="P73" s="164" t="str">
        <f>'Закупка'!K73</f>
        <v/>
      </c>
      <c r="Q73" s="163" t="str">
        <f>Blau!G73</f>
        <v/>
      </c>
      <c r="R73" s="165" t="str">
        <f>Blau!H73</f>
        <v/>
      </c>
      <c r="S73" s="166" t="str">
        <f>'Закупка'!E73</f>
        <v/>
      </c>
      <c r="T73" s="166" t="str">
        <f t="shared" si="1"/>
        <v/>
      </c>
      <c r="U73" s="34" t="str">
        <f>'Закупка'!F73</f>
        <v/>
      </c>
      <c r="V73" s="167" t="str">
        <f>'Закупка'!O73</f>
        <v/>
      </c>
      <c r="W73" s="167" t="str">
        <f t="shared" si="2"/>
        <v/>
      </c>
      <c r="X73" s="168"/>
      <c r="Y73" s="169" t="str">
        <f>'Закупка'!P73</f>
        <v/>
      </c>
      <c r="Z73" s="170" t="str">
        <f>'Закупка'!Q73</f>
        <v/>
      </c>
      <c r="AA73" s="171" t="str">
        <f>'Закупка'!R73</f>
        <v/>
      </c>
      <c r="AB73" s="172" t="str">
        <f>'Закупка'!T73</f>
        <v/>
      </c>
      <c r="AC73" s="173" t="str">
        <f>'Закупка'!S73</f>
        <v/>
      </c>
      <c r="AD73" s="174" t="str">
        <f>'Закупка'!W73</f>
        <v/>
      </c>
      <c r="AE73" s="87" t="str">
        <f>'Закупка'!Y73</f>
        <v/>
      </c>
    </row>
    <row r="74">
      <c r="A74" s="98" t="str">
        <f>'Закупка'!A74</f>
        <v/>
      </c>
      <c r="B74" s="81" t="str">
        <f>'Закупка'!B74</f>
        <v/>
      </c>
      <c r="C74" s="163" t="str">
        <f>'Закупка'!L74</f>
        <v/>
      </c>
      <c r="D74" s="164" t="str">
        <f>'Закупка'!G74</f>
        <v/>
      </c>
      <c r="E74" s="163" t="str">
        <f>Muntaner!G74</f>
        <v/>
      </c>
      <c r="F74" s="165" t="str">
        <f>Muntaner!H74</f>
        <v/>
      </c>
      <c r="G74" s="164" t="str">
        <f>'Закупка'!H74</f>
        <v/>
      </c>
      <c r="H74" s="163" t="str">
        <f>Plaza!G74</f>
        <v/>
      </c>
      <c r="I74" s="165" t="str">
        <f>Plaza!H74</f>
        <v/>
      </c>
      <c r="J74" s="164" t="str">
        <f>'Закупка'!I74</f>
        <v/>
      </c>
      <c r="K74" s="163" t="str">
        <f>Augusta!G74</f>
        <v/>
      </c>
      <c r="L74" s="165" t="str">
        <f>Augusta!H74</f>
        <v/>
      </c>
      <c r="M74" s="164" t="str">
        <f>'Закупка'!J74</f>
        <v/>
      </c>
      <c r="N74" s="163" t="str">
        <f>Gloria!G74</f>
        <v/>
      </c>
      <c r="O74" s="165" t="str">
        <f>Gloria!H74</f>
        <v/>
      </c>
      <c r="P74" s="164" t="str">
        <f>'Закупка'!K74</f>
        <v/>
      </c>
      <c r="Q74" s="163" t="str">
        <f>Blau!G74</f>
        <v/>
      </c>
      <c r="R74" s="165" t="str">
        <f>Blau!H74</f>
        <v/>
      </c>
      <c r="S74" s="166" t="str">
        <f>'Закупка'!E74</f>
        <v/>
      </c>
      <c r="T74" s="166" t="str">
        <f t="shared" si="1"/>
        <v/>
      </c>
      <c r="U74" s="34" t="str">
        <f>'Закупка'!F74</f>
        <v/>
      </c>
      <c r="V74" s="167" t="str">
        <f>'Закупка'!O74</f>
        <v/>
      </c>
      <c r="W74" s="167" t="str">
        <f t="shared" si="2"/>
        <v/>
      </c>
      <c r="X74" s="168"/>
      <c r="Y74" s="169" t="str">
        <f>'Закупка'!P74</f>
        <v/>
      </c>
      <c r="Z74" s="170" t="str">
        <f>'Закупка'!Q74</f>
        <v/>
      </c>
      <c r="AA74" s="171" t="str">
        <f>'Закупка'!R74</f>
        <v/>
      </c>
      <c r="AB74" s="172" t="str">
        <f>'Закупка'!T74</f>
        <v/>
      </c>
      <c r="AC74" s="173" t="str">
        <f>'Закупка'!S74</f>
        <v/>
      </c>
      <c r="AD74" s="174" t="str">
        <f>'Закупка'!W74</f>
        <v/>
      </c>
      <c r="AE74" s="87" t="str">
        <f>'Закупка'!Y74</f>
        <v/>
      </c>
    </row>
    <row r="75">
      <c r="A75" s="98" t="str">
        <f>'Закупка'!A75</f>
        <v/>
      </c>
      <c r="B75" s="81" t="str">
        <f>'Закупка'!B75</f>
        <v/>
      </c>
      <c r="C75" s="163" t="str">
        <f>'Закупка'!L75</f>
        <v/>
      </c>
      <c r="D75" s="164" t="str">
        <f>'Закупка'!G75</f>
        <v/>
      </c>
      <c r="E75" s="163" t="str">
        <f>Muntaner!G75</f>
        <v/>
      </c>
      <c r="F75" s="165" t="str">
        <f>Muntaner!H75</f>
        <v/>
      </c>
      <c r="G75" s="164" t="str">
        <f>'Закупка'!H75</f>
        <v/>
      </c>
      <c r="H75" s="163" t="str">
        <f>Plaza!G75</f>
        <v/>
      </c>
      <c r="I75" s="165" t="str">
        <f>Plaza!H75</f>
        <v/>
      </c>
      <c r="J75" s="164" t="str">
        <f>'Закупка'!I75</f>
        <v/>
      </c>
      <c r="K75" s="163" t="str">
        <f>Augusta!G75</f>
        <v/>
      </c>
      <c r="L75" s="165" t="str">
        <f>Augusta!H75</f>
        <v/>
      </c>
      <c r="M75" s="164" t="str">
        <f>'Закупка'!J75</f>
        <v/>
      </c>
      <c r="N75" s="163" t="str">
        <f>Gloria!G75</f>
        <v/>
      </c>
      <c r="O75" s="165" t="str">
        <f>Gloria!H75</f>
        <v/>
      </c>
      <c r="P75" s="164" t="str">
        <f>'Закупка'!K75</f>
        <v/>
      </c>
      <c r="Q75" s="163" t="str">
        <f>Blau!G75</f>
        <v/>
      </c>
      <c r="R75" s="165" t="str">
        <f>Blau!H75</f>
        <v/>
      </c>
      <c r="S75" s="166" t="str">
        <f>'Закупка'!E75</f>
        <v/>
      </c>
      <c r="T75" s="166" t="str">
        <f t="shared" si="1"/>
        <v/>
      </c>
      <c r="U75" s="34" t="str">
        <f>'Закупка'!F75</f>
        <v/>
      </c>
      <c r="V75" s="167" t="str">
        <f>'Закупка'!O75</f>
        <v/>
      </c>
      <c r="W75" s="167" t="str">
        <f t="shared" si="2"/>
        <v/>
      </c>
      <c r="X75" s="168"/>
      <c r="Y75" s="169" t="str">
        <f>'Закупка'!P75</f>
        <v/>
      </c>
      <c r="Z75" s="170" t="str">
        <f>'Закупка'!Q75</f>
        <v/>
      </c>
      <c r="AA75" s="171" t="str">
        <f>'Закупка'!R75</f>
        <v/>
      </c>
      <c r="AB75" s="172" t="str">
        <f>'Закупка'!T75</f>
        <v/>
      </c>
      <c r="AC75" s="173" t="str">
        <f>'Закупка'!S75</f>
        <v/>
      </c>
      <c r="AD75" s="174" t="str">
        <f>'Закупка'!W75</f>
        <v/>
      </c>
      <c r="AE75" s="87" t="str">
        <f>'Закупка'!Y75</f>
        <v/>
      </c>
    </row>
    <row r="76">
      <c r="A76" s="98" t="str">
        <f>'Закупка'!A76</f>
        <v/>
      </c>
      <c r="B76" s="81" t="str">
        <f>'Закупка'!B76</f>
        <v/>
      </c>
      <c r="C76" s="163" t="str">
        <f>'Закупка'!L76</f>
        <v/>
      </c>
      <c r="D76" s="164" t="str">
        <f>'Закупка'!G76</f>
        <v/>
      </c>
      <c r="E76" s="163" t="str">
        <f>Muntaner!G76</f>
        <v/>
      </c>
      <c r="F76" s="165" t="str">
        <f>Muntaner!H76</f>
        <v/>
      </c>
      <c r="G76" s="164" t="str">
        <f>'Закупка'!H76</f>
        <v/>
      </c>
      <c r="H76" s="163" t="str">
        <f>Plaza!G76</f>
        <v/>
      </c>
      <c r="I76" s="165" t="str">
        <f>Plaza!H76</f>
        <v/>
      </c>
      <c r="J76" s="164" t="str">
        <f>'Закупка'!I76</f>
        <v/>
      </c>
      <c r="K76" s="163" t="str">
        <f>Augusta!G76</f>
        <v/>
      </c>
      <c r="L76" s="165" t="str">
        <f>Augusta!H76</f>
        <v/>
      </c>
      <c r="M76" s="164" t="str">
        <f>'Закупка'!J76</f>
        <v/>
      </c>
      <c r="N76" s="163" t="str">
        <f>Gloria!G76</f>
        <v/>
      </c>
      <c r="O76" s="165" t="str">
        <f>Gloria!H76</f>
        <v/>
      </c>
      <c r="P76" s="164" t="str">
        <f>'Закупка'!K76</f>
        <v/>
      </c>
      <c r="Q76" s="163" t="str">
        <f>Blau!G76</f>
        <v/>
      </c>
      <c r="R76" s="165" t="str">
        <f>Blau!H76</f>
        <v/>
      </c>
      <c r="S76" s="166" t="str">
        <f>'Закупка'!E76</f>
        <v/>
      </c>
      <c r="T76" s="166" t="str">
        <f t="shared" si="1"/>
        <v/>
      </c>
      <c r="U76" s="34" t="str">
        <f>'Закупка'!F76</f>
        <v/>
      </c>
      <c r="V76" s="167" t="str">
        <f>'Закупка'!O76</f>
        <v/>
      </c>
      <c r="W76" s="167" t="str">
        <f t="shared" si="2"/>
        <v/>
      </c>
      <c r="X76" s="168"/>
      <c r="Y76" s="169" t="str">
        <f>'Закупка'!P76</f>
        <v/>
      </c>
      <c r="Z76" s="170" t="str">
        <f>'Закупка'!Q76</f>
        <v/>
      </c>
      <c r="AA76" s="171" t="str">
        <f>'Закупка'!R76</f>
        <v/>
      </c>
      <c r="AB76" s="172" t="str">
        <f>'Закупка'!T76</f>
        <v/>
      </c>
      <c r="AC76" s="173" t="str">
        <f>'Закупка'!S76</f>
        <v/>
      </c>
      <c r="AD76" s="174" t="str">
        <f>'Закупка'!W76</f>
        <v/>
      </c>
      <c r="AE76" s="87" t="str">
        <f>'Закупка'!Y76</f>
        <v/>
      </c>
    </row>
    <row r="77">
      <c r="A77" s="98" t="str">
        <f>'Закупка'!A77</f>
        <v/>
      </c>
      <c r="B77" s="81" t="str">
        <f>'Закупка'!B77</f>
        <v/>
      </c>
      <c r="C77" s="163" t="str">
        <f>'Закупка'!L77</f>
        <v/>
      </c>
      <c r="D77" s="164" t="str">
        <f>'Закупка'!G77</f>
        <v/>
      </c>
      <c r="E77" s="163" t="str">
        <f>Muntaner!G77</f>
        <v/>
      </c>
      <c r="F77" s="165" t="str">
        <f>Muntaner!H77</f>
        <v/>
      </c>
      <c r="G77" s="164" t="str">
        <f>'Закупка'!H77</f>
        <v/>
      </c>
      <c r="H77" s="163" t="str">
        <f>Plaza!G77</f>
        <v/>
      </c>
      <c r="I77" s="165" t="str">
        <f>Plaza!H77</f>
        <v/>
      </c>
      <c r="J77" s="164" t="str">
        <f>'Закупка'!I77</f>
        <v/>
      </c>
      <c r="K77" s="163" t="str">
        <f>Augusta!G77</f>
        <v/>
      </c>
      <c r="L77" s="165" t="str">
        <f>Augusta!H77</f>
        <v/>
      </c>
      <c r="M77" s="164" t="str">
        <f>'Закупка'!J77</f>
        <v/>
      </c>
      <c r="N77" s="163" t="str">
        <f>Gloria!G77</f>
        <v/>
      </c>
      <c r="O77" s="165" t="str">
        <f>Gloria!H77</f>
        <v/>
      </c>
      <c r="P77" s="164" t="str">
        <f>'Закупка'!K77</f>
        <v/>
      </c>
      <c r="Q77" s="163" t="str">
        <f>Blau!G77</f>
        <v/>
      </c>
      <c r="R77" s="165" t="str">
        <f>Blau!H77</f>
        <v/>
      </c>
      <c r="S77" s="166" t="str">
        <f>'Закупка'!E77</f>
        <v/>
      </c>
      <c r="T77" s="166" t="str">
        <f t="shared" si="1"/>
        <v/>
      </c>
      <c r="U77" s="34" t="str">
        <f>'Закупка'!F77</f>
        <v/>
      </c>
      <c r="V77" s="167" t="str">
        <f>'Закупка'!O77</f>
        <v/>
      </c>
      <c r="W77" s="167" t="str">
        <f t="shared" si="2"/>
        <v/>
      </c>
      <c r="X77" s="168"/>
      <c r="Y77" s="169" t="str">
        <f>'Закупка'!P77</f>
        <v/>
      </c>
      <c r="Z77" s="170" t="str">
        <f>'Закупка'!Q77</f>
        <v/>
      </c>
      <c r="AA77" s="171" t="str">
        <f>'Закупка'!R77</f>
        <v/>
      </c>
      <c r="AB77" s="172" t="str">
        <f>'Закупка'!T77</f>
        <v/>
      </c>
      <c r="AC77" s="173" t="str">
        <f>'Закупка'!S77</f>
        <v/>
      </c>
      <c r="AD77" s="174" t="str">
        <f>'Закупка'!W77</f>
        <v/>
      </c>
      <c r="AE77" s="87" t="str">
        <f>'Закупка'!Y77</f>
        <v/>
      </c>
    </row>
    <row r="78">
      <c r="A78" s="98" t="str">
        <f>'Закупка'!A78</f>
        <v/>
      </c>
      <c r="B78" s="81" t="str">
        <f>'Закупка'!B78</f>
        <v/>
      </c>
      <c r="C78" s="163" t="str">
        <f>'Закупка'!L78</f>
        <v/>
      </c>
      <c r="D78" s="164" t="str">
        <f>'Закупка'!G78</f>
        <v/>
      </c>
      <c r="E78" s="163" t="str">
        <f>Muntaner!G78</f>
        <v/>
      </c>
      <c r="F78" s="165" t="str">
        <f>Muntaner!H78</f>
        <v/>
      </c>
      <c r="G78" s="164" t="str">
        <f>'Закупка'!H78</f>
        <v/>
      </c>
      <c r="H78" s="163" t="str">
        <f>Plaza!G78</f>
        <v/>
      </c>
      <c r="I78" s="165" t="str">
        <f>Plaza!H78</f>
        <v/>
      </c>
      <c r="J78" s="164" t="str">
        <f>'Закупка'!I78</f>
        <v/>
      </c>
      <c r="K78" s="163" t="str">
        <f>Augusta!G78</f>
        <v/>
      </c>
      <c r="L78" s="165" t="str">
        <f>Augusta!H78</f>
        <v/>
      </c>
      <c r="M78" s="164" t="str">
        <f>'Закупка'!J78</f>
        <v/>
      </c>
      <c r="N78" s="163" t="str">
        <f>Gloria!G78</f>
        <v/>
      </c>
      <c r="O78" s="165" t="str">
        <f>Gloria!H78</f>
        <v/>
      </c>
      <c r="P78" s="164" t="str">
        <f>'Закупка'!K78</f>
        <v/>
      </c>
      <c r="Q78" s="163" t="str">
        <f>Blau!G78</f>
        <v/>
      </c>
      <c r="R78" s="165" t="str">
        <f>Blau!H78</f>
        <v/>
      </c>
      <c r="S78" s="166" t="str">
        <f>'Закупка'!E78</f>
        <v/>
      </c>
      <c r="T78" s="166" t="str">
        <f t="shared" si="1"/>
        <v/>
      </c>
      <c r="U78" s="34" t="str">
        <f>'Закупка'!F78</f>
        <v/>
      </c>
      <c r="V78" s="167" t="str">
        <f>'Закупка'!O78</f>
        <v/>
      </c>
      <c r="W78" s="167" t="str">
        <f t="shared" si="2"/>
        <v/>
      </c>
      <c r="X78" s="168"/>
      <c r="Y78" s="169" t="str">
        <f>'Закупка'!P78</f>
        <v/>
      </c>
      <c r="Z78" s="170" t="str">
        <f>'Закупка'!Q78</f>
        <v/>
      </c>
      <c r="AA78" s="171" t="str">
        <f>'Закупка'!R78</f>
        <v/>
      </c>
      <c r="AB78" s="172" t="str">
        <f>'Закупка'!T78</f>
        <v/>
      </c>
      <c r="AC78" s="173" t="str">
        <f>'Закупка'!S78</f>
        <v/>
      </c>
      <c r="AD78" s="174" t="str">
        <f>'Закупка'!W78</f>
        <v/>
      </c>
      <c r="AE78" s="87" t="str">
        <f>'Закупка'!Y78</f>
        <v/>
      </c>
    </row>
    <row r="79">
      <c r="A79" s="98" t="str">
        <f>'Закупка'!A79</f>
        <v/>
      </c>
      <c r="B79" s="81" t="str">
        <f>'Закупка'!B79</f>
        <v/>
      </c>
      <c r="C79" s="163" t="str">
        <f>'Закупка'!L79</f>
        <v/>
      </c>
      <c r="D79" s="164" t="str">
        <f>'Закупка'!G79</f>
        <v/>
      </c>
      <c r="E79" s="163" t="str">
        <f>Muntaner!G79</f>
        <v/>
      </c>
      <c r="F79" s="165" t="str">
        <f>Muntaner!H79</f>
        <v/>
      </c>
      <c r="G79" s="164" t="str">
        <f>'Закупка'!H79</f>
        <v/>
      </c>
      <c r="H79" s="163" t="str">
        <f>Plaza!G79</f>
        <v/>
      </c>
      <c r="I79" s="165" t="str">
        <f>Plaza!H79</f>
        <v/>
      </c>
      <c r="J79" s="164" t="str">
        <f>'Закупка'!I79</f>
        <v/>
      </c>
      <c r="K79" s="163" t="str">
        <f>Augusta!G79</f>
        <v/>
      </c>
      <c r="L79" s="165" t="str">
        <f>Augusta!H79</f>
        <v/>
      </c>
      <c r="M79" s="164" t="str">
        <f>'Закупка'!J79</f>
        <v/>
      </c>
      <c r="N79" s="163" t="str">
        <f>Gloria!G79</f>
        <v/>
      </c>
      <c r="O79" s="165" t="str">
        <f>Gloria!H79</f>
        <v/>
      </c>
      <c r="P79" s="164" t="str">
        <f>'Закупка'!K79</f>
        <v/>
      </c>
      <c r="Q79" s="163" t="str">
        <f>Blau!G79</f>
        <v/>
      </c>
      <c r="R79" s="165" t="str">
        <f>Blau!H79</f>
        <v/>
      </c>
      <c r="S79" s="166" t="str">
        <f>'Закупка'!E79</f>
        <v/>
      </c>
      <c r="T79" s="166" t="str">
        <f t="shared" si="1"/>
        <v/>
      </c>
      <c r="U79" s="34" t="str">
        <f>'Закупка'!F79</f>
        <v/>
      </c>
      <c r="V79" s="167" t="str">
        <f>'Закупка'!O79</f>
        <v/>
      </c>
      <c r="W79" s="167" t="str">
        <f t="shared" si="2"/>
        <v/>
      </c>
      <c r="X79" s="168"/>
      <c r="Y79" s="169" t="str">
        <f>'Закупка'!P79</f>
        <v/>
      </c>
      <c r="Z79" s="170" t="str">
        <f>'Закупка'!Q79</f>
        <v/>
      </c>
      <c r="AA79" s="171" t="str">
        <f>'Закупка'!R79</f>
        <v/>
      </c>
      <c r="AB79" s="172" t="str">
        <f>'Закупка'!T79</f>
        <v/>
      </c>
      <c r="AC79" s="173" t="str">
        <f>'Закупка'!S79</f>
        <v/>
      </c>
      <c r="AD79" s="174" t="str">
        <f>'Закупка'!W79</f>
        <v/>
      </c>
      <c r="AE79" s="87" t="str">
        <f>'Закупка'!Y79</f>
        <v/>
      </c>
    </row>
    <row r="80">
      <c r="A80" s="98" t="str">
        <f>'Закупка'!A80</f>
        <v/>
      </c>
      <c r="B80" s="81" t="str">
        <f>'Закупка'!B80</f>
        <v/>
      </c>
      <c r="C80" s="163" t="str">
        <f>'Закупка'!L80</f>
        <v/>
      </c>
      <c r="D80" s="164" t="str">
        <f>'Закупка'!G80</f>
        <v/>
      </c>
      <c r="E80" s="163" t="str">
        <f>Muntaner!G80</f>
        <v/>
      </c>
      <c r="F80" s="165" t="str">
        <f>Muntaner!H80</f>
        <v/>
      </c>
      <c r="G80" s="164" t="str">
        <f>'Закупка'!H80</f>
        <v/>
      </c>
      <c r="H80" s="163" t="str">
        <f>Plaza!G80</f>
        <v/>
      </c>
      <c r="I80" s="165" t="str">
        <f>Plaza!H80</f>
        <v/>
      </c>
      <c r="J80" s="164" t="str">
        <f>'Закупка'!I80</f>
        <v/>
      </c>
      <c r="K80" s="163" t="str">
        <f>Augusta!G80</f>
        <v/>
      </c>
      <c r="L80" s="165" t="str">
        <f>Augusta!H80</f>
        <v/>
      </c>
      <c r="M80" s="164" t="str">
        <f>'Закупка'!J80</f>
        <v/>
      </c>
      <c r="N80" s="163" t="str">
        <f>Gloria!G80</f>
        <v/>
      </c>
      <c r="O80" s="165" t="str">
        <f>Gloria!H80</f>
        <v/>
      </c>
      <c r="P80" s="164" t="str">
        <f>'Закупка'!K80</f>
        <v/>
      </c>
      <c r="Q80" s="163" t="str">
        <f>Blau!G80</f>
        <v/>
      </c>
      <c r="R80" s="165" t="str">
        <f>Blau!H80</f>
        <v/>
      </c>
      <c r="S80" s="166" t="str">
        <f>'Закупка'!E80</f>
        <v/>
      </c>
      <c r="T80" s="166" t="str">
        <f t="shared" si="1"/>
        <v/>
      </c>
      <c r="U80" s="34" t="str">
        <f>'Закупка'!F80</f>
        <v/>
      </c>
      <c r="V80" s="167" t="str">
        <f>'Закупка'!O80</f>
        <v/>
      </c>
      <c r="W80" s="167" t="str">
        <f t="shared" si="2"/>
        <v/>
      </c>
      <c r="X80" s="168"/>
      <c r="Y80" s="169" t="str">
        <f>'Закупка'!P80</f>
        <v/>
      </c>
      <c r="Z80" s="170" t="str">
        <f>'Закупка'!Q80</f>
        <v/>
      </c>
      <c r="AA80" s="171" t="str">
        <f>'Закупка'!R80</f>
        <v/>
      </c>
      <c r="AB80" s="172" t="str">
        <f>'Закупка'!T80</f>
        <v/>
      </c>
      <c r="AC80" s="173" t="str">
        <f>'Закупка'!S80</f>
        <v/>
      </c>
      <c r="AD80" s="174" t="str">
        <f>'Закупка'!W80</f>
        <v/>
      </c>
      <c r="AE80" s="87" t="str">
        <f>'Закупка'!Y80</f>
        <v/>
      </c>
    </row>
    <row r="81">
      <c r="A81" s="98" t="str">
        <f>'Закупка'!A81</f>
        <v/>
      </c>
      <c r="B81" s="81" t="str">
        <f>'Закупка'!B81</f>
        <v/>
      </c>
      <c r="C81" s="163" t="str">
        <f>'Закупка'!L81</f>
        <v/>
      </c>
      <c r="D81" s="164" t="str">
        <f>'Закупка'!G81</f>
        <v/>
      </c>
      <c r="E81" s="163" t="str">
        <f>Muntaner!G81</f>
        <v/>
      </c>
      <c r="F81" s="165" t="str">
        <f>Muntaner!H81</f>
        <v/>
      </c>
      <c r="G81" s="164" t="str">
        <f>'Закупка'!H81</f>
        <v/>
      </c>
      <c r="H81" s="163" t="str">
        <f>Plaza!G81</f>
        <v/>
      </c>
      <c r="I81" s="165" t="str">
        <f>Plaza!H81</f>
        <v/>
      </c>
      <c r="J81" s="164" t="str">
        <f>'Закупка'!I81</f>
        <v/>
      </c>
      <c r="K81" s="163" t="str">
        <f>Augusta!G81</f>
        <v/>
      </c>
      <c r="L81" s="165" t="str">
        <f>Augusta!H81</f>
        <v/>
      </c>
      <c r="M81" s="164" t="str">
        <f>'Закупка'!J81</f>
        <v/>
      </c>
      <c r="N81" s="163" t="str">
        <f>Gloria!G81</f>
        <v/>
      </c>
      <c r="O81" s="165" t="str">
        <f>Gloria!H81</f>
        <v/>
      </c>
      <c r="P81" s="164" t="str">
        <f>'Закупка'!K81</f>
        <v/>
      </c>
      <c r="Q81" s="163" t="str">
        <f>Blau!G81</f>
        <v/>
      </c>
      <c r="R81" s="165" t="str">
        <f>Blau!H81</f>
        <v/>
      </c>
      <c r="S81" s="166" t="str">
        <f>'Закупка'!E81</f>
        <v/>
      </c>
      <c r="T81" s="166" t="str">
        <f t="shared" si="1"/>
        <v/>
      </c>
      <c r="U81" s="34" t="str">
        <f>'Закупка'!F81</f>
        <v/>
      </c>
      <c r="V81" s="167" t="str">
        <f>'Закупка'!O81</f>
        <v/>
      </c>
      <c r="W81" s="167" t="str">
        <f t="shared" si="2"/>
        <v/>
      </c>
      <c r="X81" s="168"/>
      <c r="Y81" s="169" t="str">
        <f>'Закупка'!P81</f>
        <v/>
      </c>
      <c r="Z81" s="170" t="str">
        <f>'Закупка'!Q81</f>
        <v/>
      </c>
      <c r="AA81" s="171" t="str">
        <f>'Закупка'!R81</f>
        <v/>
      </c>
      <c r="AB81" s="172" t="str">
        <f>'Закупка'!T81</f>
        <v/>
      </c>
      <c r="AC81" s="173" t="str">
        <f>'Закупка'!S81</f>
        <v/>
      </c>
      <c r="AD81" s="174" t="str">
        <f>'Закупка'!W81</f>
        <v/>
      </c>
      <c r="AE81" s="87" t="str">
        <f>'Закупка'!Y81</f>
        <v/>
      </c>
    </row>
    <row r="82">
      <c r="A82" s="98" t="str">
        <f>'Закупка'!A82</f>
        <v/>
      </c>
      <c r="B82" s="81" t="str">
        <f>'Закупка'!B82</f>
        <v/>
      </c>
      <c r="C82" s="163" t="str">
        <f>'Закупка'!L82</f>
        <v/>
      </c>
      <c r="D82" s="164" t="str">
        <f>'Закупка'!G82</f>
        <v/>
      </c>
      <c r="E82" s="163" t="str">
        <f>Muntaner!G82</f>
        <v/>
      </c>
      <c r="F82" s="165" t="str">
        <f>Muntaner!H82</f>
        <v/>
      </c>
      <c r="G82" s="164" t="str">
        <f>'Закупка'!H82</f>
        <v/>
      </c>
      <c r="H82" s="163" t="str">
        <f>Plaza!G82</f>
        <v/>
      </c>
      <c r="I82" s="165" t="str">
        <f>Plaza!H82</f>
        <v/>
      </c>
      <c r="J82" s="164" t="str">
        <f>'Закупка'!I82</f>
        <v/>
      </c>
      <c r="K82" s="163" t="str">
        <f>Augusta!G82</f>
        <v/>
      </c>
      <c r="L82" s="165" t="str">
        <f>Augusta!H82</f>
        <v/>
      </c>
      <c r="M82" s="164" t="str">
        <f>'Закупка'!J82</f>
        <v/>
      </c>
      <c r="N82" s="163" t="str">
        <f>Gloria!G82</f>
        <v/>
      </c>
      <c r="O82" s="165" t="str">
        <f>Gloria!H82</f>
        <v/>
      </c>
      <c r="P82" s="164" t="str">
        <f>'Закупка'!K82</f>
        <v/>
      </c>
      <c r="Q82" s="163" t="str">
        <f>Blau!G82</f>
        <v/>
      </c>
      <c r="R82" s="165" t="str">
        <f>Blau!H82</f>
        <v/>
      </c>
      <c r="S82" s="166" t="str">
        <f>'Закупка'!E82</f>
        <v/>
      </c>
      <c r="T82" s="166" t="str">
        <f t="shared" si="1"/>
        <v/>
      </c>
      <c r="U82" s="34" t="str">
        <f>'Закупка'!F82</f>
        <v/>
      </c>
      <c r="V82" s="167" t="str">
        <f>'Закупка'!O82</f>
        <v/>
      </c>
      <c r="W82" s="167" t="str">
        <f t="shared" si="2"/>
        <v/>
      </c>
      <c r="X82" s="168"/>
      <c r="Y82" s="169" t="str">
        <f>'Закупка'!P82</f>
        <v/>
      </c>
      <c r="Z82" s="170" t="str">
        <f>'Закупка'!Q82</f>
        <v/>
      </c>
      <c r="AA82" s="171" t="str">
        <f>'Закупка'!R82</f>
        <v/>
      </c>
      <c r="AB82" s="172" t="str">
        <f>'Закупка'!T82</f>
        <v/>
      </c>
      <c r="AC82" s="173" t="str">
        <f>'Закупка'!S82</f>
        <v/>
      </c>
      <c r="AD82" s="174" t="str">
        <f>'Закупка'!W82</f>
        <v/>
      </c>
      <c r="AE82" s="87" t="str">
        <f>'Закупка'!Y82</f>
        <v/>
      </c>
    </row>
    <row r="83">
      <c r="A83" s="98" t="str">
        <f>'Закупка'!A83</f>
        <v/>
      </c>
      <c r="B83" s="81" t="str">
        <f>'Закупка'!B83</f>
        <v/>
      </c>
      <c r="C83" s="163" t="str">
        <f>'Закупка'!L83</f>
        <v/>
      </c>
      <c r="D83" s="164" t="str">
        <f>'Закупка'!G83</f>
        <v/>
      </c>
      <c r="E83" s="163" t="str">
        <f>Muntaner!G83</f>
        <v/>
      </c>
      <c r="F83" s="165" t="str">
        <f>Muntaner!H83</f>
        <v/>
      </c>
      <c r="G83" s="164" t="str">
        <f>'Закупка'!H83</f>
        <v/>
      </c>
      <c r="H83" s="163" t="str">
        <f>Plaza!G83</f>
        <v/>
      </c>
      <c r="I83" s="165" t="str">
        <f>Plaza!H83</f>
        <v/>
      </c>
      <c r="J83" s="164" t="str">
        <f>'Закупка'!I83</f>
        <v/>
      </c>
      <c r="K83" s="163" t="str">
        <f>Augusta!G83</f>
        <v/>
      </c>
      <c r="L83" s="165" t="str">
        <f>Augusta!H83</f>
        <v/>
      </c>
      <c r="M83" s="164" t="str">
        <f>'Закупка'!J83</f>
        <v/>
      </c>
      <c r="N83" s="163" t="str">
        <f>Gloria!G83</f>
        <v/>
      </c>
      <c r="O83" s="165" t="str">
        <f>Gloria!H83</f>
        <v/>
      </c>
      <c r="P83" s="164" t="str">
        <f>'Закупка'!K83</f>
        <v/>
      </c>
      <c r="Q83" s="163" t="str">
        <f>Blau!G83</f>
        <v/>
      </c>
      <c r="R83" s="165" t="str">
        <f>Blau!H83</f>
        <v/>
      </c>
      <c r="S83" s="166" t="str">
        <f>'Закупка'!E83</f>
        <v/>
      </c>
      <c r="T83" s="166" t="str">
        <f t="shared" si="1"/>
        <v/>
      </c>
      <c r="U83" s="34" t="str">
        <f>'Закупка'!F83</f>
        <v/>
      </c>
      <c r="V83" s="167" t="str">
        <f>'Закупка'!O83</f>
        <v/>
      </c>
      <c r="W83" s="167" t="str">
        <f t="shared" si="2"/>
        <v/>
      </c>
      <c r="X83" s="168"/>
      <c r="Y83" s="169" t="str">
        <f>'Закупка'!P83</f>
        <v/>
      </c>
      <c r="Z83" s="170" t="str">
        <f>'Закупка'!Q83</f>
        <v/>
      </c>
      <c r="AA83" s="171" t="str">
        <f>'Закупка'!R83</f>
        <v/>
      </c>
      <c r="AB83" s="172" t="str">
        <f>'Закупка'!T83</f>
        <v/>
      </c>
      <c r="AC83" s="173" t="str">
        <f>'Закупка'!S83</f>
        <v/>
      </c>
      <c r="AD83" s="174" t="str">
        <f>'Закупка'!W83</f>
        <v/>
      </c>
      <c r="AE83" s="87" t="str">
        <f>'Закупка'!Y83</f>
        <v/>
      </c>
    </row>
    <row r="84">
      <c r="A84" s="98" t="str">
        <f>'Закупка'!A84</f>
        <v/>
      </c>
      <c r="B84" s="81" t="str">
        <f>'Закупка'!B84</f>
        <v/>
      </c>
      <c r="C84" s="163" t="str">
        <f>'Закупка'!L84</f>
        <v/>
      </c>
      <c r="D84" s="164" t="str">
        <f>'Закупка'!G84</f>
        <v/>
      </c>
      <c r="E84" s="163" t="str">
        <f>Muntaner!G84</f>
        <v/>
      </c>
      <c r="F84" s="165" t="str">
        <f>Muntaner!H84</f>
        <v/>
      </c>
      <c r="G84" s="164" t="str">
        <f>'Закупка'!H84</f>
        <v/>
      </c>
      <c r="H84" s="163" t="str">
        <f>Plaza!G84</f>
        <v/>
      </c>
      <c r="I84" s="165" t="str">
        <f>Plaza!H84</f>
        <v/>
      </c>
      <c r="J84" s="164" t="str">
        <f>'Закупка'!I84</f>
        <v/>
      </c>
      <c r="K84" s="163" t="str">
        <f>Augusta!G84</f>
        <v/>
      </c>
      <c r="L84" s="165" t="str">
        <f>Augusta!H84</f>
        <v/>
      </c>
      <c r="M84" s="164" t="str">
        <f>'Закупка'!J84</f>
        <v/>
      </c>
      <c r="N84" s="163" t="str">
        <f>Gloria!G84</f>
        <v/>
      </c>
      <c r="O84" s="165" t="str">
        <f>Gloria!H84</f>
        <v/>
      </c>
      <c r="P84" s="164" t="str">
        <f>'Закупка'!K84</f>
        <v/>
      </c>
      <c r="Q84" s="163" t="str">
        <f>Blau!G84</f>
        <v/>
      </c>
      <c r="R84" s="165" t="str">
        <f>Blau!H84</f>
        <v/>
      </c>
      <c r="S84" s="166" t="str">
        <f>'Закупка'!E84</f>
        <v/>
      </c>
      <c r="T84" s="166" t="str">
        <f t="shared" si="1"/>
        <v/>
      </c>
      <c r="U84" s="34" t="str">
        <f>'Закупка'!F84</f>
        <v/>
      </c>
      <c r="V84" s="167" t="str">
        <f>'Закупка'!O84</f>
        <v/>
      </c>
      <c r="W84" s="167" t="str">
        <f t="shared" si="2"/>
        <v/>
      </c>
      <c r="X84" s="168"/>
      <c r="Y84" s="169" t="str">
        <f>'Закупка'!P84</f>
        <v/>
      </c>
      <c r="Z84" s="170" t="str">
        <f>'Закупка'!Q84</f>
        <v/>
      </c>
      <c r="AA84" s="171" t="str">
        <f>'Закупка'!R84</f>
        <v/>
      </c>
      <c r="AB84" s="172" t="str">
        <f>'Закупка'!T84</f>
        <v/>
      </c>
      <c r="AC84" s="173" t="str">
        <f>'Закупка'!S84</f>
        <v/>
      </c>
      <c r="AD84" s="174" t="str">
        <f>'Закупка'!W84</f>
        <v/>
      </c>
      <c r="AE84" s="87" t="str">
        <f>'Закупка'!Y84</f>
        <v/>
      </c>
    </row>
    <row r="85">
      <c r="A85" s="98" t="str">
        <f>'Закупка'!A85</f>
        <v/>
      </c>
      <c r="B85" s="81" t="str">
        <f>'Закупка'!B85</f>
        <v/>
      </c>
      <c r="C85" s="163" t="str">
        <f>'Закупка'!L85</f>
        <v/>
      </c>
      <c r="D85" s="164" t="str">
        <f>'Закупка'!G85</f>
        <v/>
      </c>
      <c r="E85" s="163" t="str">
        <f>Muntaner!G85</f>
        <v/>
      </c>
      <c r="F85" s="165" t="str">
        <f>Muntaner!H85</f>
        <v/>
      </c>
      <c r="G85" s="164" t="str">
        <f>'Закупка'!H85</f>
        <v/>
      </c>
      <c r="H85" s="163" t="str">
        <f>Plaza!G85</f>
        <v/>
      </c>
      <c r="I85" s="165" t="str">
        <f>Plaza!H85</f>
        <v/>
      </c>
      <c r="J85" s="164" t="str">
        <f>'Закупка'!I85</f>
        <v/>
      </c>
      <c r="K85" s="163" t="str">
        <f>Augusta!G85</f>
        <v/>
      </c>
      <c r="L85" s="165" t="str">
        <f>Augusta!H85</f>
        <v/>
      </c>
      <c r="M85" s="164" t="str">
        <f>'Закупка'!J85</f>
        <v/>
      </c>
      <c r="N85" s="163" t="str">
        <f>Gloria!G85</f>
        <v/>
      </c>
      <c r="O85" s="165" t="str">
        <f>Gloria!H85</f>
        <v/>
      </c>
      <c r="P85" s="164" t="str">
        <f>'Закупка'!K85</f>
        <v/>
      </c>
      <c r="Q85" s="163" t="str">
        <f>Blau!G85</f>
        <v/>
      </c>
      <c r="R85" s="165" t="str">
        <f>Blau!H85</f>
        <v/>
      </c>
      <c r="S85" s="166" t="str">
        <f>'Закупка'!E85</f>
        <v/>
      </c>
      <c r="T85" s="166" t="str">
        <f t="shared" si="1"/>
        <v/>
      </c>
      <c r="U85" s="34" t="str">
        <f>'Закупка'!F85</f>
        <v/>
      </c>
      <c r="V85" s="167" t="str">
        <f>'Закупка'!O85</f>
        <v/>
      </c>
      <c r="W85" s="167" t="str">
        <f t="shared" si="2"/>
        <v/>
      </c>
      <c r="X85" s="168"/>
      <c r="Y85" s="169" t="str">
        <f>'Закупка'!P85</f>
        <v/>
      </c>
      <c r="Z85" s="170" t="str">
        <f>'Закупка'!Q85</f>
        <v/>
      </c>
      <c r="AA85" s="171" t="str">
        <f>'Закупка'!R85</f>
        <v/>
      </c>
      <c r="AB85" s="172" t="str">
        <f>'Закупка'!T85</f>
        <v/>
      </c>
      <c r="AC85" s="173" t="str">
        <f>'Закупка'!S85</f>
        <v/>
      </c>
      <c r="AD85" s="174" t="str">
        <f>'Закупка'!W85</f>
        <v/>
      </c>
      <c r="AE85" s="87" t="str">
        <f>'Закупка'!Y85</f>
        <v/>
      </c>
    </row>
    <row r="86">
      <c r="A86" s="98" t="str">
        <f>'Закупка'!A86</f>
        <v/>
      </c>
      <c r="B86" s="81" t="str">
        <f>'Закупка'!B86</f>
        <v/>
      </c>
      <c r="C86" s="163" t="str">
        <f>'Закупка'!L86</f>
        <v/>
      </c>
      <c r="D86" s="164" t="str">
        <f>'Закупка'!G86</f>
        <v/>
      </c>
      <c r="E86" s="163" t="str">
        <f>Muntaner!G86</f>
        <v/>
      </c>
      <c r="F86" s="165" t="str">
        <f>Muntaner!H86</f>
        <v/>
      </c>
      <c r="G86" s="164" t="str">
        <f>'Закупка'!H86</f>
        <v/>
      </c>
      <c r="H86" s="163" t="str">
        <f>Plaza!G86</f>
        <v/>
      </c>
      <c r="I86" s="165" t="str">
        <f>Plaza!H86</f>
        <v/>
      </c>
      <c r="J86" s="164" t="str">
        <f>'Закупка'!I86</f>
        <v/>
      </c>
      <c r="K86" s="163" t="str">
        <f>Augusta!G86</f>
        <v/>
      </c>
      <c r="L86" s="165" t="str">
        <f>Augusta!H86</f>
        <v/>
      </c>
      <c r="M86" s="164" t="str">
        <f>'Закупка'!J86</f>
        <v/>
      </c>
      <c r="N86" s="163" t="str">
        <f>Gloria!G86</f>
        <v/>
      </c>
      <c r="O86" s="165" t="str">
        <f>Gloria!H86</f>
        <v/>
      </c>
      <c r="P86" s="164" t="str">
        <f>'Закупка'!K86</f>
        <v/>
      </c>
      <c r="Q86" s="163" t="str">
        <f>Blau!G86</f>
        <v/>
      </c>
      <c r="R86" s="165" t="str">
        <f>Blau!H86</f>
        <v/>
      </c>
      <c r="S86" s="166" t="str">
        <f>'Закупка'!E86</f>
        <v/>
      </c>
      <c r="T86" s="166" t="str">
        <f t="shared" si="1"/>
        <v/>
      </c>
      <c r="U86" s="34" t="str">
        <f>'Закупка'!F86</f>
        <v/>
      </c>
      <c r="V86" s="167" t="str">
        <f>'Закупка'!O86</f>
        <v/>
      </c>
      <c r="W86" s="167" t="str">
        <f t="shared" si="2"/>
        <v/>
      </c>
      <c r="X86" s="168"/>
      <c r="Y86" s="169" t="str">
        <f>'Закупка'!P86</f>
        <v/>
      </c>
      <c r="Z86" s="170" t="str">
        <f>'Закупка'!Q86</f>
        <v/>
      </c>
      <c r="AA86" s="171" t="str">
        <f>'Закупка'!R86</f>
        <v/>
      </c>
      <c r="AB86" s="172" t="str">
        <f>'Закупка'!T86</f>
        <v/>
      </c>
      <c r="AC86" s="173" t="str">
        <f>'Закупка'!S86</f>
        <v/>
      </c>
      <c r="AD86" s="174" t="str">
        <f>'Закупка'!W86</f>
        <v/>
      </c>
      <c r="AE86" s="87" t="str">
        <f>'Закупка'!Y86</f>
        <v/>
      </c>
    </row>
    <row r="87">
      <c r="A87" s="98" t="str">
        <f>'Закупка'!A87</f>
        <v/>
      </c>
      <c r="B87" s="81" t="str">
        <f>'Закупка'!B87</f>
        <v/>
      </c>
      <c r="C87" s="163" t="str">
        <f>'Закупка'!L87</f>
        <v/>
      </c>
      <c r="D87" s="164" t="str">
        <f>'Закупка'!G87</f>
        <v/>
      </c>
      <c r="E87" s="163" t="str">
        <f>Muntaner!G87</f>
        <v/>
      </c>
      <c r="F87" s="165" t="str">
        <f>Muntaner!H87</f>
        <v/>
      </c>
      <c r="G87" s="164" t="str">
        <f>'Закупка'!H87</f>
        <v/>
      </c>
      <c r="H87" s="163" t="str">
        <f>Plaza!G87</f>
        <v/>
      </c>
      <c r="I87" s="165" t="str">
        <f>Plaza!H87</f>
        <v/>
      </c>
      <c r="J87" s="164" t="str">
        <f>'Закупка'!I87</f>
        <v/>
      </c>
      <c r="K87" s="163" t="str">
        <f>Augusta!G87</f>
        <v/>
      </c>
      <c r="L87" s="165" t="str">
        <f>Augusta!H87</f>
        <v/>
      </c>
      <c r="M87" s="164" t="str">
        <f>'Закупка'!J87</f>
        <v/>
      </c>
      <c r="N87" s="163" t="str">
        <f>Gloria!G87</f>
        <v/>
      </c>
      <c r="O87" s="165" t="str">
        <f>Gloria!H87</f>
        <v/>
      </c>
      <c r="P87" s="164" t="str">
        <f>'Закупка'!K87</f>
        <v/>
      </c>
      <c r="Q87" s="163" t="str">
        <f>Blau!G87</f>
        <v/>
      </c>
      <c r="R87" s="165" t="str">
        <f>Blau!H87</f>
        <v/>
      </c>
      <c r="S87" s="166" t="str">
        <f>'Закупка'!E87</f>
        <v/>
      </c>
      <c r="T87" s="166" t="str">
        <f t="shared" si="1"/>
        <v/>
      </c>
      <c r="U87" s="34" t="str">
        <f>'Закупка'!F87</f>
        <v/>
      </c>
      <c r="V87" s="167" t="str">
        <f>'Закупка'!O87</f>
        <v/>
      </c>
      <c r="W87" s="167" t="str">
        <f t="shared" si="2"/>
        <v/>
      </c>
      <c r="X87" s="168"/>
      <c r="Y87" s="169" t="str">
        <f>'Закупка'!P87</f>
        <v/>
      </c>
      <c r="Z87" s="170" t="str">
        <f>'Закупка'!Q87</f>
        <v/>
      </c>
      <c r="AA87" s="171" t="str">
        <f>'Закупка'!R87</f>
        <v/>
      </c>
      <c r="AB87" s="172" t="str">
        <f>'Закупка'!T87</f>
        <v/>
      </c>
      <c r="AC87" s="173" t="str">
        <f>'Закупка'!S87</f>
        <v/>
      </c>
      <c r="AD87" s="174" t="str">
        <f>'Закупка'!W87</f>
        <v/>
      </c>
      <c r="AE87" s="87" t="str">
        <f>'Закупка'!Y87</f>
        <v/>
      </c>
    </row>
    <row r="88">
      <c r="A88" s="98" t="str">
        <f>'Закупка'!A88</f>
        <v/>
      </c>
      <c r="B88" s="81" t="str">
        <f>'Закупка'!B88</f>
        <v/>
      </c>
      <c r="C88" s="163" t="str">
        <f>'Закупка'!L88</f>
        <v/>
      </c>
      <c r="D88" s="164" t="str">
        <f>'Закупка'!G88</f>
        <v/>
      </c>
      <c r="E88" s="163" t="str">
        <f>Muntaner!G88</f>
        <v/>
      </c>
      <c r="F88" s="165" t="str">
        <f>Muntaner!H88</f>
        <v/>
      </c>
      <c r="G88" s="164" t="str">
        <f>'Закупка'!H88</f>
        <v/>
      </c>
      <c r="H88" s="163" t="str">
        <f>Plaza!G88</f>
        <v/>
      </c>
      <c r="I88" s="165" t="str">
        <f>Plaza!H88</f>
        <v/>
      </c>
      <c r="J88" s="164" t="str">
        <f>'Закупка'!I88</f>
        <v/>
      </c>
      <c r="K88" s="163" t="str">
        <f>Augusta!G88</f>
        <v/>
      </c>
      <c r="L88" s="165" t="str">
        <f>Augusta!H88</f>
        <v/>
      </c>
      <c r="M88" s="164" t="str">
        <f>'Закупка'!J88</f>
        <v/>
      </c>
      <c r="N88" s="163" t="str">
        <f>Gloria!G88</f>
        <v/>
      </c>
      <c r="O88" s="165" t="str">
        <f>Gloria!H88</f>
        <v/>
      </c>
      <c r="P88" s="164" t="str">
        <f>'Закупка'!K88</f>
        <v/>
      </c>
      <c r="Q88" s="163" t="str">
        <f>Blau!G88</f>
        <v/>
      </c>
      <c r="R88" s="165" t="str">
        <f>Blau!H88</f>
        <v/>
      </c>
      <c r="S88" s="166" t="str">
        <f>'Закупка'!E88</f>
        <v/>
      </c>
      <c r="T88" s="166" t="str">
        <f t="shared" si="1"/>
        <v/>
      </c>
      <c r="U88" s="34" t="str">
        <f>'Закупка'!F88</f>
        <v/>
      </c>
      <c r="V88" s="167" t="str">
        <f>'Закупка'!O88</f>
        <v/>
      </c>
      <c r="W88" s="167" t="str">
        <f t="shared" si="2"/>
        <v/>
      </c>
      <c r="X88" s="168"/>
      <c r="Y88" s="169" t="str">
        <f>'Закупка'!P88</f>
        <v/>
      </c>
      <c r="Z88" s="170" t="str">
        <f>'Закупка'!Q88</f>
        <v/>
      </c>
      <c r="AA88" s="171" t="str">
        <f>'Закупка'!R88</f>
        <v/>
      </c>
      <c r="AB88" s="172" t="str">
        <f>'Закупка'!T88</f>
        <v/>
      </c>
      <c r="AC88" s="173" t="str">
        <f>'Закупка'!S88</f>
        <v/>
      </c>
      <c r="AD88" s="174" t="str">
        <f>'Закупка'!W88</f>
        <v/>
      </c>
      <c r="AE88" s="87" t="str">
        <f>'Закупка'!Y88</f>
        <v/>
      </c>
    </row>
    <row r="89">
      <c r="A89" s="98" t="str">
        <f>'Закупка'!A89</f>
        <v/>
      </c>
      <c r="B89" s="81" t="str">
        <f>'Закупка'!B89</f>
        <v/>
      </c>
      <c r="C89" s="163" t="str">
        <f>'Закупка'!L89</f>
        <v/>
      </c>
      <c r="D89" s="164" t="str">
        <f>'Закупка'!G89</f>
        <v/>
      </c>
      <c r="E89" s="163" t="str">
        <f>Muntaner!G89</f>
        <v/>
      </c>
      <c r="F89" s="165" t="str">
        <f>Muntaner!H89</f>
        <v/>
      </c>
      <c r="G89" s="164" t="str">
        <f>'Закупка'!H89</f>
        <v/>
      </c>
      <c r="H89" s="163" t="str">
        <f>Plaza!G89</f>
        <v/>
      </c>
      <c r="I89" s="165" t="str">
        <f>Plaza!H89</f>
        <v/>
      </c>
      <c r="J89" s="164" t="str">
        <f>'Закупка'!I89</f>
        <v/>
      </c>
      <c r="K89" s="163" t="str">
        <f>Augusta!G89</f>
        <v/>
      </c>
      <c r="L89" s="165" t="str">
        <f>Augusta!H89</f>
        <v/>
      </c>
      <c r="M89" s="164" t="str">
        <f>'Закупка'!J89</f>
        <v/>
      </c>
      <c r="N89" s="163" t="str">
        <f>Gloria!G89</f>
        <v/>
      </c>
      <c r="O89" s="165" t="str">
        <f>Gloria!H89</f>
        <v/>
      </c>
      <c r="P89" s="164" t="str">
        <f>'Закупка'!K89</f>
        <v/>
      </c>
      <c r="Q89" s="163" t="str">
        <f>Blau!G89</f>
        <v/>
      </c>
      <c r="R89" s="165" t="str">
        <f>Blau!H89</f>
        <v/>
      </c>
      <c r="S89" s="166" t="str">
        <f>'Закупка'!E89</f>
        <v/>
      </c>
      <c r="T89" s="166" t="str">
        <f t="shared" si="1"/>
        <v/>
      </c>
      <c r="U89" s="34" t="str">
        <f>'Закупка'!F89</f>
        <v/>
      </c>
      <c r="V89" s="167" t="str">
        <f>'Закупка'!O89</f>
        <v/>
      </c>
      <c r="W89" s="167" t="str">
        <f t="shared" si="2"/>
        <v/>
      </c>
      <c r="X89" s="168"/>
      <c r="Y89" s="169" t="str">
        <f>'Закупка'!P89</f>
        <v/>
      </c>
      <c r="Z89" s="170" t="str">
        <f>'Закупка'!Q89</f>
        <v/>
      </c>
      <c r="AA89" s="171" t="str">
        <f>'Закупка'!R89</f>
        <v/>
      </c>
      <c r="AB89" s="172" t="str">
        <f>'Закупка'!T89</f>
        <v/>
      </c>
      <c r="AC89" s="173" t="str">
        <f>'Закупка'!S89</f>
        <v/>
      </c>
      <c r="AD89" s="174" t="str">
        <f>'Закупка'!W89</f>
        <v/>
      </c>
      <c r="AE89" s="87" t="str">
        <f>'Закупка'!Y89</f>
        <v/>
      </c>
    </row>
    <row r="90">
      <c r="A90" s="98" t="str">
        <f>'Закупка'!A90</f>
        <v/>
      </c>
      <c r="B90" s="81" t="str">
        <f>'Закупка'!B90</f>
        <v/>
      </c>
      <c r="C90" s="163" t="str">
        <f>'Закупка'!L90</f>
        <v/>
      </c>
      <c r="D90" s="164" t="str">
        <f>'Закупка'!G90</f>
        <v/>
      </c>
      <c r="E90" s="163" t="str">
        <f>Muntaner!G90</f>
        <v/>
      </c>
      <c r="F90" s="165" t="str">
        <f>Muntaner!H90</f>
        <v/>
      </c>
      <c r="G90" s="164" t="str">
        <f>'Закупка'!H90</f>
        <v/>
      </c>
      <c r="H90" s="163" t="str">
        <f>Plaza!G90</f>
        <v/>
      </c>
      <c r="I90" s="165" t="str">
        <f>Plaza!H90</f>
        <v/>
      </c>
      <c r="J90" s="164" t="str">
        <f>'Закупка'!I90</f>
        <v/>
      </c>
      <c r="K90" s="163" t="str">
        <f>Augusta!G90</f>
        <v/>
      </c>
      <c r="L90" s="165" t="str">
        <f>Augusta!H90</f>
        <v/>
      </c>
      <c r="M90" s="164" t="str">
        <f>'Закупка'!J90</f>
        <v/>
      </c>
      <c r="N90" s="163" t="str">
        <f>Gloria!G90</f>
        <v/>
      </c>
      <c r="O90" s="165" t="str">
        <f>Gloria!H90</f>
        <v/>
      </c>
      <c r="P90" s="164" t="str">
        <f>'Закупка'!K90</f>
        <v/>
      </c>
      <c r="Q90" s="163" t="str">
        <f>Blau!G90</f>
        <v/>
      </c>
      <c r="R90" s="165" t="str">
        <f>Blau!H90</f>
        <v/>
      </c>
      <c r="S90" s="166" t="str">
        <f>'Закупка'!E90</f>
        <v/>
      </c>
      <c r="T90" s="166" t="str">
        <f t="shared" si="1"/>
        <v/>
      </c>
      <c r="U90" s="34" t="str">
        <f>'Закупка'!F90</f>
        <v/>
      </c>
      <c r="V90" s="167" t="str">
        <f>'Закупка'!O90</f>
        <v/>
      </c>
      <c r="W90" s="167" t="str">
        <f t="shared" si="2"/>
        <v/>
      </c>
      <c r="X90" s="168"/>
      <c r="Y90" s="169" t="str">
        <f>'Закупка'!P90</f>
        <v/>
      </c>
      <c r="Z90" s="170" t="str">
        <f>'Закупка'!Q90</f>
        <v/>
      </c>
      <c r="AA90" s="171" t="str">
        <f>'Закупка'!R90</f>
        <v/>
      </c>
      <c r="AB90" s="172" t="str">
        <f>'Закупка'!T90</f>
        <v/>
      </c>
      <c r="AC90" s="173" t="str">
        <f>'Закупка'!S90</f>
        <v/>
      </c>
      <c r="AD90" s="174" t="str">
        <f>'Закупка'!W90</f>
        <v/>
      </c>
      <c r="AE90" s="87" t="str">
        <f>'Закупка'!Y90</f>
        <v/>
      </c>
    </row>
    <row r="91">
      <c r="A91" s="98" t="str">
        <f>'Закупка'!A91</f>
        <v/>
      </c>
      <c r="B91" s="81" t="str">
        <f>'Закупка'!B91</f>
        <v/>
      </c>
      <c r="C91" s="163" t="str">
        <f>'Закупка'!L91</f>
        <v/>
      </c>
      <c r="D91" s="164" t="str">
        <f>'Закупка'!G91</f>
        <v/>
      </c>
      <c r="E91" s="163" t="str">
        <f>Muntaner!G91</f>
        <v/>
      </c>
      <c r="F91" s="165" t="str">
        <f>Muntaner!H91</f>
        <v/>
      </c>
      <c r="G91" s="164" t="str">
        <f>'Закупка'!H91</f>
        <v/>
      </c>
      <c r="H91" s="163" t="str">
        <f>Plaza!G91</f>
        <v/>
      </c>
      <c r="I91" s="165" t="str">
        <f>Plaza!H91</f>
        <v/>
      </c>
      <c r="J91" s="164" t="str">
        <f>'Закупка'!I91</f>
        <v/>
      </c>
      <c r="K91" s="163" t="str">
        <f>Augusta!G91</f>
        <v/>
      </c>
      <c r="L91" s="165" t="str">
        <f>Augusta!H91</f>
        <v/>
      </c>
      <c r="M91" s="164" t="str">
        <f>'Закупка'!J91</f>
        <v/>
      </c>
      <c r="N91" s="163" t="str">
        <f>Gloria!G91</f>
        <v/>
      </c>
      <c r="O91" s="165" t="str">
        <f>Gloria!H91</f>
        <v/>
      </c>
      <c r="P91" s="164" t="str">
        <f>'Закупка'!K91</f>
        <v/>
      </c>
      <c r="Q91" s="163" t="str">
        <f>Blau!G91</f>
        <v/>
      </c>
      <c r="R91" s="165" t="str">
        <f>Blau!H91</f>
        <v/>
      </c>
      <c r="S91" s="166" t="str">
        <f>'Закупка'!E91</f>
        <v/>
      </c>
      <c r="T91" s="166" t="str">
        <f t="shared" si="1"/>
        <v/>
      </c>
      <c r="U91" s="34" t="str">
        <f>'Закупка'!F91</f>
        <v/>
      </c>
      <c r="V91" s="167" t="str">
        <f>'Закупка'!O91</f>
        <v/>
      </c>
      <c r="W91" s="167" t="str">
        <f t="shared" si="2"/>
        <v/>
      </c>
      <c r="X91" s="168"/>
      <c r="Y91" s="169" t="str">
        <f>'Закупка'!P91</f>
        <v/>
      </c>
      <c r="Z91" s="170" t="str">
        <f>'Закупка'!Q91</f>
        <v/>
      </c>
      <c r="AA91" s="171" t="str">
        <f>'Закупка'!R91</f>
        <v/>
      </c>
      <c r="AB91" s="172" t="str">
        <f>'Закупка'!T91</f>
        <v/>
      </c>
      <c r="AC91" s="173" t="str">
        <f>'Закупка'!S91</f>
        <v/>
      </c>
      <c r="AD91" s="174" t="str">
        <f>'Закупка'!W91</f>
        <v/>
      </c>
      <c r="AE91" s="87" t="str">
        <f>'Закупка'!Y91</f>
        <v/>
      </c>
    </row>
    <row r="92">
      <c r="A92" s="98" t="str">
        <f>'Закупка'!A92</f>
        <v/>
      </c>
      <c r="B92" s="81" t="str">
        <f>'Закупка'!B92</f>
        <v/>
      </c>
      <c r="C92" s="163" t="str">
        <f>'Закупка'!L92</f>
        <v/>
      </c>
      <c r="D92" s="164" t="str">
        <f>'Закупка'!G92</f>
        <v/>
      </c>
      <c r="E92" s="163" t="str">
        <f>Muntaner!G92</f>
        <v/>
      </c>
      <c r="F92" s="165" t="str">
        <f>Muntaner!H92</f>
        <v/>
      </c>
      <c r="G92" s="164" t="str">
        <f>'Закупка'!H92</f>
        <v/>
      </c>
      <c r="H92" s="163" t="str">
        <f>Plaza!G92</f>
        <v/>
      </c>
      <c r="I92" s="165" t="str">
        <f>Plaza!H92</f>
        <v/>
      </c>
      <c r="J92" s="164" t="str">
        <f>'Закупка'!I92</f>
        <v/>
      </c>
      <c r="K92" s="163" t="str">
        <f>Augusta!G92</f>
        <v/>
      </c>
      <c r="L92" s="165" t="str">
        <f>Augusta!H92</f>
        <v/>
      </c>
      <c r="M92" s="164" t="str">
        <f>'Закупка'!J92</f>
        <v/>
      </c>
      <c r="N92" s="163" t="str">
        <f>Gloria!G92</f>
        <v/>
      </c>
      <c r="O92" s="165" t="str">
        <f>Gloria!H92</f>
        <v/>
      </c>
      <c r="P92" s="164" t="str">
        <f>'Закупка'!K92</f>
        <v/>
      </c>
      <c r="Q92" s="163" t="str">
        <f>Blau!G92</f>
        <v/>
      </c>
      <c r="R92" s="165" t="str">
        <f>Blau!H92</f>
        <v/>
      </c>
      <c r="S92" s="166" t="str">
        <f>'Закупка'!E92</f>
        <v/>
      </c>
      <c r="T92" s="166" t="str">
        <f t="shared" si="1"/>
        <v/>
      </c>
      <c r="U92" s="34" t="str">
        <f>'Закупка'!F92</f>
        <v/>
      </c>
      <c r="V92" s="167" t="str">
        <f>'Закупка'!O92</f>
        <v/>
      </c>
      <c r="W92" s="167" t="str">
        <f t="shared" si="2"/>
        <v/>
      </c>
      <c r="X92" s="168"/>
      <c r="Y92" s="169" t="str">
        <f>'Закупка'!P92</f>
        <v/>
      </c>
      <c r="Z92" s="170" t="str">
        <f>'Закупка'!Q92</f>
        <v/>
      </c>
      <c r="AA92" s="171" t="str">
        <f>'Закупка'!R92</f>
        <v/>
      </c>
      <c r="AB92" s="172" t="str">
        <f>'Закупка'!T92</f>
        <v/>
      </c>
      <c r="AC92" s="173" t="str">
        <f>'Закупка'!S92</f>
        <v/>
      </c>
      <c r="AD92" s="174" t="str">
        <f>'Закупка'!W92</f>
        <v/>
      </c>
      <c r="AE92" s="87" t="str">
        <f>'Закупка'!Y92</f>
        <v/>
      </c>
    </row>
    <row r="93">
      <c r="A93" s="98" t="str">
        <f>'Закупка'!A93</f>
        <v/>
      </c>
      <c r="B93" s="81" t="str">
        <f>'Закупка'!B93</f>
        <v/>
      </c>
      <c r="C93" s="163" t="str">
        <f>'Закупка'!L93</f>
        <v/>
      </c>
      <c r="D93" s="164" t="str">
        <f>'Закупка'!G93</f>
        <v/>
      </c>
      <c r="E93" s="163" t="str">
        <f>Muntaner!G93</f>
        <v/>
      </c>
      <c r="F93" s="165" t="str">
        <f>Muntaner!H93</f>
        <v/>
      </c>
      <c r="G93" s="164" t="str">
        <f>'Закупка'!H93</f>
        <v/>
      </c>
      <c r="H93" s="163" t="str">
        <f>Plaza!G93</f>
        <v/>
      </c>
      <c r="I93" s="165" t="str">
        <f>Plaza!H93</f>
        <v/>
      </c>
      <c r="J93" s="164" t="str">
        <f>'Закупка'!I93</f>
        <v/>
      </c>
      <c r="K93" s="163" t="str">
        <f>Augusta!G93</f>
        <v/>
      </c>
      <c r="L93" s="165" t="str">
        <f>Augusta!H93</f>
        <v/>
      </c>
      <c r="M93" s="164" t="str">
        <f>'Закупка'!J93</f>
        <v/>
      </c>
      <c r="N93" s="163" t="str">
        <f>Gloria!G93</f>
        <v/>
      </c>
      <c r="O93" s="165" t="str">
        <f>Gloria!H93</f>
        <v/>
      </c>
      <c r="P93" s="164" t="str">
        <f>'Закупка'!K93</f>
        <v/>
      </c>
      <c r="Q93" s="163" t="str">
        <f>Blau!G93</f>
        <v/>
      </c>
      <c r="R93" s="165" t="str">
        <f>Blau!H93</f>
        <v/>
      </c>
      <c r="S93" s="166" t="str">
        <f>'Закупка'!E93</f>
        <v/>
      </c>
      <c r="T93" s="166" t="str">
        <f t="shared" si="1"/>
        <v/>
      </c>
      <c r="U93" s="34" t="str">
        <f>'Закупка'!F93</f>
        <v/>
      </c>
      <c r="V93" s="167" t="str">
        <f>'Закупка'!O93</f>
        <v/>
      </c>
      <c r="W93" s="167" t="str">
        <f t="shared" si="2"/>
        <v/>
      </c>
      <c r="X93" s="168"/>
      <c r="Y93" s="169" t="str">
        <f>'Закупка'!P93</f>
        <v/>
      </c>
      <c r="Z93" s="170" t="str">
        <f>'Закупка'!Q93</f>
        <v/>
      </c>
      <c r="AA93" s="171" t="str">
        <f>'Закупка'!R93</f>
        <v/>
      </c>
      <c r="AB93" s="172" t="str">
        <f>'Закупка'!T93</f>
        <v/>
      </c>
      <c r="AC93" s="173" t="str">
        <f>'Закупка'!S93</f>
        <v/>
      </c>
      <c r="AD93" s="174" t="str">
        <f>'Закупка'!W93</f>
        <v/>
      </c>
      <c r="AE93" s="87" t="str">
        <f>'Закупка'!Y93</f>
        <v/>
      </c>
    </row>
    <row r="94">
      <c r="A94" s="98" t="str">
        <f>'Закупка'!A94</f>
        <v/>
      </c>
      <c r="B94" s="81" t="str">
        <f>'Закупка'!B94</f>
        <v/>
      </c>
      <c r="C94" s="163" t="str">
        <f>'Закупка'!L94</f>
        <v/>
      </c>
      <c r="D94" s="164" t="str">
        <f>'Закупка'!G94</f>
        <v/>
      </c>
      <c r="E94" s="163" t="str">
        <f>Muntaner!G94</f>
        <v/>
      </c>
      <c r="F94" s="165" t="str">
        <f>Muntaner!H94</f>
        <v/>
      </c>
      <c r="G94" s="164" t="str">
        <f>'Закупка'!H94</f>
        <v/>
      </c>
      <c r="H94" s="163" t="str">
        <f>Plaza!G94</f>
        <v/>
      </c>
      <c r="I94" s="165" t="str">
        <f>Plaza!H94</f>
        <v/>
      </c>
      <c r="J94" s="164" t="str">
        <f>'Закупка'!I94</f>
        <v/>
      </c>
      <c r="K94" s="163" t="str">
        <f>Augusta!G94</f>
        <v/>
      </c>
      <c r="L94" s="165" t="str">
        <f>Augusta!H94</f>
        <v/>
      </c>
      <c r="M94" s="164" t="str">
        <f>'Закупка'!J94</f>
        <v/>
      </c>
      <c r="N94" s="163" t="str">
        <f>Gloria!G94</f>
        <v/>
      </c>
      <c r="O94" s="165" t="str">
        <f>Gloria!H94</f>
        <v/>
      </c>
      <c r="P94" s="164" t="str">
        <f>'Закупка'!K94</f>
        <v/>
      </c>
      <c r="Q94" s="163" t="str">
        <f>Blau!G94</f>
        <v/>
      </c>
      <c r="R94" s="165" t="str">
        <f>Blau!H94</f>
        <v/>
      </c>
      <c r="S94" s="166" t="str">
        <f>'Закупка'!E94</f>
        <v/>
      </c>
      <c r="T94" s="166" t="str">
        <f t="shared" si="1"/>
        <v/>
      </c>
      <c r="U94" s="34" t="str">
        <f>'Закупка'!F94</f>
        <v/>
      </c>
      <c r="V94" s="167" t="str">
        <f>'Закупка'!O94</f>
        <v/>
      </c>
      <c r="W94" s="167" t="str">
        <f t="shared" si="2"/>
        <v/>
      </c>
      <c r="X94" s="168"/>
      <c r="Y94" s="169" t="str">
        <f>'Закупка'!P94</f>
        <v/>
      </c>
      <c r="Z94" s="170" t="str">
        <f>'Закупка'!Q94</f>
        <v/>
      </c>
      <c r="AA94" s="171" t="str">
        <f>'Закупка'!R94</f>
        <v/>
      </c>
      <c r="AB94" s="172" t="str">
        <f>'Закупка'!T94</f>
        <v/>
      </c>
      <c r="AC94" s="173" t="str">
        <f>'Закупка'!S94</f>
        <v/>
      </c>
      <c r="AD94" s="174" t="str">
        <f>'Закупка'!W94</f>
        <v/>
      </c>
      <c r="AE94" s="87" t="str">
        <f>'Закупка'!Y94</f>
        <v/>
      </c>
    </row>
    <row r="95">
      <c r="A95" s="98" t="str">
        <f>'Закупка'!A95</f>
        <v/>
      </c>
      <c r="B95" s="81" t="str">
        <f>'Закупка'!B95</f>
        <v/>
      </c>
      <c r="C95" s="163" t="str">
        <f>'Закупка'!L95</f>
        <v/>
      </c>
      <c r="D95" s="164" t="str">
        <f>'Закупка'!G95</f>
        <v/>
      </c>
      <c r="E95" s="163" t="str">
        <f>Muntaner!G95</f>
        <v/>
      </c>
      <c r="F95" s="165" t="str">
        <f>Muntaner!H95</f>
        <v/>
      </c>
      <c r="G95" s="164" t="str">
        <f>'Закупка'!H95</f>
        <v/>
      </c>
      <c r="H95" s="163" t="str">
        <f>Plaza!G95</f>
        <v/>
      </c>
      <c r="I95" s="165" t="str">
        <f>Plaza!H95</f>
        <v/>
      </c>
      <c r="J95" s="164" t="str">
        <f>'Закупка'!I95</f>
        <v/>
      </c>
      <c r="K95" s="163" t="str">
        <f>Augusta!G95</f>
        <v/>
      </c>
      <c r="L95" s="165" t="str">
        <f>Augusta!H95</f>
        <v/>
      </c>
      <c r="M95" s="164" t="str">
        <f>'Закупка'!J95</f>
        <v/>
      </c>
      <c r="N95" s="163" t="str">
        <f>Gloria!G95</f>
        <v/>
      </c>
      <c r="O95" s="165" t="str">
        <f>Gloria!H95</f>
        <v/>
      </c>
      <c r="P95" s="164" t="str">
        <f>'Закупка'!K95</f>
        <v/>
      </c>
      <c r="Q95" s="163" t="str">
        <f>Blau!G95</f>
        <v/>
      </c>
      <c r="R95" s="165" t="str">
        <f>Blau!H95</f>
        <v/>
      </c>
      <c r="S95" s="166" t="str">
        <f>'Закупка'!E95</f>
        <v/>
      </c>
      <c r="T95" s="166" t="str">
        <f t="shared" si="1"/>
        <v/>
      </c>
      <c r="U95" s="34" t="str">
        <f>'Закупка'!F95</f>
        <v/>
      </c>
      <c r="V95" s="167" t="str">
        <f>'Закупка'!O95</f>
        <v/>
      </c>
      <c r="W95" s="167" t="str">
        <f t="shared" si="2"/>
        <v/>
      </c>
      <c r="X95" s="168"/>
      <c r="Y95" s="169" t="str">
        <f>'Закупка'!P95</f>
        <v/>
      </c>
      <c r="Z95" s="170" t="str">
        <f>'Закупка'!Q95</f>
        <v/>
      </c>
      <c r="AA95" s="171" t="str">
        <f>'Закупка'!R95</f>
        <v/>
      </c>
      <c r="AB95" s="172" t="str">
        <f>'Закупка'!T95</f>
        <v/>
      </c>
      <c r="AC95" s="173" t="str">
        <f>'Закупка'!S95</f>
        <v/>
      </c>
      <c r="AD95" s="174" t="str">
        <f>'Закупка'!W95</f>
        <v/>
      </c>
      <c r="AE95" s="87" t="str">
        <f>'Закупка'!Y95</f>
        <v/>
      </c>
    </row>
    <row r="96">
      <c r="A96" s="98" t="str">
        <f>'Закупка'!A96</f>
        <v/>
      </c>
      <c r="B96" s="81" t="str">
        <f>'Закупка'!B96</f>
        <v/>
      </c>
      <c r="C96" s="163" t="str">
        <f>'Закупка'!L96</f>
        <v/>
      </c>
      <c r="D96" s="164" t="str">
        <f>'Закупка'!G96</f>
        <v/>
      </c>
      <c r="E96" s="163" t="str">
        <f>Muntaner!G96</f>
        <v/>
      </c>
      <c r="F96" s="165" t="str">
        <f>Muntaner!H96</f>
        <v/>
      </c>
      <c r="G96" s="164" t="str">
        <f>'Закупка'!H96</f>
        <v/>
      </c>
      <c r="H96" s="163" t="str">
        <f>Plaza!G96</f>
        <v/>
      </c>
      <c r="I96" s="165" t="str">
        <f>Plaza!H96</f>
        <v/>
      </c>
      <c r="J96" s="164" t="str">
        <f>'Закупка'!I96</f>
        <v/>
      </c>
      <c r="K96" s="163" t="str">
        <f>Augusta!G96</f>
        <v/>
      </c>
      <c r="L96" s="165" t="str">
        <f>Augusta!H96</f>
        <v/>
      </c>
      <c r="M96" s="164" t="str">
        <f>'Закупка'!J96</f>
        <v/>
      </c>
      <c r="N96" s="163" t="str">
        <f>Gloria!G96</f>
        <v/>
      </c>
      <c r="O96" s="165" t="str">
        <f>Gloria!H96</f>
        <v/>
      </c>
      <c r="P96" s="164" t="str">
        <f>'Закупка'!K96</f>
        <v/>
      </c>
      <c r="Q96" s="163" t="str">
        <f>Blau!G96</f>
        <v/>
      </c>
      <c r="R96" s="165" t="str">
        <f>Blau!H96</f>
        <v/>
      </c>
      <c r="S96" s="166" t="str">
        <f>'Закупка'!E96</f>
        <v/>
      </c>
      <c r="T96" s="166" t="str">
        <f t="shared" si="1"/>
        <v/>
      </c>
      <c r="U96" s="34" t="str">
        <f>'Закупка'!F96</f>
        <v/>
      </c>
      <c r="V96" s="167" t="str">
        <f>'Закупка'!O96</f>
        <v/>
      </c>
      <c r="W96" s="167" t="str">
        <f t="shared" si="2"/>
        <v/>
      </c>
      <c r="X96" s="168"/>
      <c r="Y96" s="169" t="str">
        <f>'Закупка'!P96</f>
        <v/>
      </c>
      <c r="Z96" s="170" t="str">
        <f>'Закупка'!Q96</f>
        <v/>
      </c>
      <c r="AA96" s="171" t="str">
        <f>'Закупка'!R96</f>
        <v/>
      </c>
      <c r="AB96" s="172" t="str">
        <f>'Закупка'!T96</f>
        <v/>
      </c>
      <c r="AC96" s="173" t="str">
        <f>'Закупка'!S96</f>
        <v/>
      </c>
      <c r="AD96" s="174" t="str">
        <f>'Закупка'!W96</f>
        <v/>
      </c>
      <c r="AE96" s="87" t="str">
        <f>'Закупка'!Y96</f>
        <v/>
      </c>
    </row>
    <row r="97">
      <c r="A97" s="98" t="str">
        <f>'Закупка'!A97</f>
        <v/>
      </c>
      <c r="B97" s="81" t="str">
        <f>'Закупка'!B97</f>
        <v/>
      </c>
      <c r="C97" s="163" t="str">
        <f>'Закупка'!L97</f>
        <v/>
      </c>
      <c r="D97" s="164" t="str">
        <f>'Закупка'!G97</f>
        <v/>
      </c>
      <c r="E97" s="163" t="str">
        <f>Muntaner!G97</f>
        <v/>
      </c>
      <c r="F97" s="165" t="str">
        <f>Muntaner!H97</f>
        <v/>
      </c>
      <c r="G97" s="164" t="str">
        <f>'Закупка'!H97</f>
        <v/>
      </c>
      <c r="H97" s="163" t="str">
        <f>Plaza!G97</f>
        <v/>
      </c>
      <c r="I97" s="165" t="str">
        <f>Plaza!H97</f>
        <v/>
      </c>
      <c r="J97" s="164" t="str">
        <f>'Закупка'!I97</f>
        <v/>
      </c>
      <c r="K97" s="163" t="str">
        <f>Augusta!G97</f>
        <v/>
      </c>
      <c r="L97" s="165" t="str">
        <f>Augusta!H97</f>
        <v/>
      </c>
      <c r="M97" s="164" t="str">
        <f>'Закупка'!J97</f>
        <v/>
      </c>
      <c r="N97" s="163" t="str">
        <f>Gloria!G97</f>
        <v/>
      </c>
      <c r="O97" s="165" t="str">
        <f>Gloria!H97</f>
        <v/>
      </c>
      <c r="P97" s="164" t="str">
        <f>'Закупка'!K97</f>
        <v/>
      </c>
      <c r="Q97" s="163" t="str">
        <f>Blau!G97</f>
        <v/>
      </c>
      <c r="R97" s="165" t="str">
        <f>Blau!H97</f>
        <v/>
      </c>
      <c r="S97" s="166" t="str">
        <f>'Закупка'!E97</f>
        <v/>
      </c>
      <c r="T97" s="166" t="str">
        <f t="shared" si="1"/>
        <v/>
      </c>
      <c r="U97" s="34" t="str">
        <f>'Закупка'!F97</f>
        <v/>
      </c>
      <c r="V97" s="167" t="str">
        <f>'Закупка'!O97</f>
        <v/>
      </c>
      <c r="W97" s="167" t="str">
        <f t="shared" si="2"/>
        <v/>
      </c>
      <c r="X97" s="168"/>
      <c r="Y97" s="169" t="str">
        <f>'Закупка'!P97</f>
        <v/>
      </c>
      <c r="Z97" s="170" t="str">
        <f>'Закупка'!Q97</f>
        <v/>
      </c>
      <c r="AA97" s="171" t="str">
        <f>'Закупка'!R97</f>
        <v/>
      </c>
      <c r="AB97" s="172" t="str">
        <f>'Закупка'!T97</f>
        <v/>
      </c>
      <c r="AC97" s="173" t="str">
        <f>'Закупка'!S97</f>
        <v/>
      </c>
      <c r="AD97" s="174" t="str">
        <f>'Закупка'!W97</f>
        <v/>
      </c>
      <c r="AE97" s="87" t="str">
        <f>'Закупка'!Y97</f>
        <v/>
      </c>
    </row>
    <row r="98">
      <c r="A98" s="98" t="str">
        <f>'Закупка'!A98</f>
        <v/>
      </c>
      <c r="B98" s="81" t="str">
        <f>'Закупка'!B98</f>
        <v/>
      </c>
      <c r="C98" s="163" t="str">
        <f>'Закупка'!L98</f>
        <v/>
      </c>
      <c r="D98" s="164" t="str">
        <f>'Закупка'!G98</f>
        <v/>
      </c>
      <c r="E98" s="163" t="str">
        <f>Muntaner!G98</f>
        <v/>
      </c>
      <c r="F98" s="165" t="str">
        <f>Muntaner!H98</f>
        <v/>
      </c>
      <c r="G98" s="164" t="str">
        <f>'Закупка'!H98</f>
        <v/>
      </c>
      <c r="H98" s="163" t="str">
        <f>Plaza!G98</f>
        <v/>
      </c>
      <c r="I98" s="165" t="str">
        <f>Plaza!H98</f>
        <v/>
      </c>
      <c r="J98" s="164" t="str">
        <f>'Закупка'!I98</f>
        <v/>
      </c>
      <c r="K98" s="163" t="str">
        <f>Augusta!G98</f>
        <v/>
      </c>
      <c r="L98" s="165" t="str">
        <f>Augusta!H98</f>
        <v/>
      </c>
      <c r="M98" s="164" t="str">
        <f>'Закупка'!J98</f>
        <v/>
      </c>
      <c r="N98" s="163" t="str">
        <f>Gloria!G98</f>
        <v/>
      </c>
      <c r="O98" s="165" t="str">
        <f>Gloria!H98</f>
        <v/>
      </c>
      <c r="P98" s="164" t="str">
        <f>'Закупка'!K98</f>
        <v/>
      </c>
      <c r="Q98" s="163" t="str">
        <f>Blau!G98</f>
        <v/>
      </c>
      <c r="R98" s="165" t="str">
        <f>Blau!H98</f>
        <v/>
      </c>
      <c r="S98" s="166" t="str">
        <f>'Закупка'!E98</f>
        <v/>
      </c>
      <c r="T98" s="166" t="str">
        <f t="shared" si="1"/>
        <v/>
      </c>
      <c r="U98" s="34" t="str">
        <f>'Закупка'!F98</f>
        <v/>
      </c>
      <c r="V98" s="167" t="str">
        <f>'Закупка'!O98</f>
        <v/>
      </c>
      <c r="W98" s="167" t="str">
        <f t="shared" si="2"/>
        <v/>
      </c>
      <c r="X98" s="168"/>
      <c r="Y98" s="169" t="str">
        <f>'Закупка'!P98</f>
        <v/>
      </c>
      <c r="Z98" s="170" t="str">
        <f>'Закупка'!Q98</f>
        <v/>
      </c>
      <c r="AA98" s="171" t="str">
        <f>'Закупка'!R98</f>
        <v/>
      </c>
      <c r="AB98" s="172" t="str">
        <f>'Закупка'!T98</f>
        <v/>
      </c>
      <c r="AC98" s="173" t="str">
        <f>'Закупка'!S98</f>
        <v/>
      </c>
      <c r="AD98" s="174" t="str">
        <f>'Закупка'!W98</f>
        <v/>
      </c>
      <c r="AE98" s="87" t="str">
        <f>'Закупка'!Y98</f>
        <v/>
      </c>
    </row>
    <row r="99">
      <c r="A99" s="98" t="str">
        <f>'Закупка'!A99</f>
        <v/>
      </c>
      <c r="B99" s="81" t="str">
        <f>'Закупка'!B99</f>
        <v/>
      </c>
      <c r="C99" s="163" t="str">
        <f>'Закупка'!L99</f>
        <v/>
      </c>
      <c r="D99" s="164" t="str">
        <f>'Закупка'!G99</f>
        <v/>
      </c>
      <c r="E99" s="163" t="str">
        <f>Muntaner!G99</f>
        <v/>
      </c>
      <c r="F99" s="165" t="str">
        <f>Muntaner!H99</f>
        <v/>
      </c>
      <c r="G99" s="164" t="str">
        <f>'Закупка'!H99</f>
        <v/>
      </c>
      <c r="H99" s="163" t="str">
        <f>Plaza!G99</f>
        <v/>
      </c>
      <c r="I99" s="165" t="str">
        <f>Plaza!H99</f>
        <v/>
      </c>
      <c r="J99" s="164" t="str">
        <f>'Закупка'!I99</f>
        <v/>
      </c>
      <c r="K99" s="163" t="str">
        <f>Augusta!G99</f>
        <v/>
      </c>
      <c r="L99" s="165" t="str">
        <f>Augusta!H99</f>
        <v/>
      </c>
      <c r="M99" s="164" t="str">
        <f>'Закупка'!J99</f>
        <v/>
      </c>
      <c r="N99" s="163" t="str">
        <f>Gloria!G99</f>
        <v/>
      </c>
      <c r="O99" s="165" t="str">
        <f>Gloria!H99</f>
        <v/>
      </c>
      <c r="P99" s="164" t="str">
        <f>'Закупка'!K99</f>
        <v/>
      </c>
      <c r="Q99" s="163" t="str">
        <f>Blau!G99</f>
        <v/>
      </c>
      <c r="R99" s="165" t="str">
        <f>Blau!H99</f>
        <v/>
      </c>
      <c r="S99" s="166" t="str">
        <f>'Закупка'!E99</f>
        <v/>
      </c>
      <c r="T99" s="166" t="str">
        <f t="shared" si="1"/>
        <v/>
      </c>
      <c r="U99" s="34" t="str">
        <f>'Закупка'!F99</f>
        <v/>
      </c>
      <c r="V99" s="167" t="str">
        <f>'Закупка'!O99</f>
        <v/>
      </c>
      <c r="W99" s="167" t="str">
        <f t="shared" si="2"/>
        <v/>
      </c>
      <c r="X99" s="168"/>
      <c r="Y99" s="169" t="str">
        <f>'Закупка'!P99</f>
        <v/>
      </c>
      <c r="Z99" s="170" t="str">
        <f>'Закупка'!Q99</f>
        <v/>
      </c>
      <c r="AA99" s="171" t="str">
        <f>'Закупка'!R99</f>
        <v/>
      </c>
      <c r="AB99" s="172" t="str">
        <f>'Закупка'!T99</f>
        <v/>
      </c>
      <c r="AC99" s="173" t="str">
        <f>'Закупка'!S99</f>
        <v/>
      </c>
      <c r="AD99" s="174" t="str">
        <f>'Закупка'!W99</f>
        <v/>
      </c>
      <c r="AE99" s="87" t="str">
        <f>'Закупка'!Y99</f>
        <v/>
      </c>
    </row>
    <row r="100">
      <c r="A100" s="98" t="str">
        <f>'Закупка'!A100</f>
        <v/>
      </c>
      <c r="B100" s="81" t="str">
        <f>'Закупка'!B100</f>
        <v/>
      </c>
      <c r="C100" s="163" t="str">
        <f>'Закупка'!L100</f>
        <v/>
      </c>
      <c r="D100" s="164" t="str">
        <f>'Закупка'!G100</f>
        <v/>
      </c>
      <c r="E100" s="163" t="str">
        <f>Muntaner!G100</f>
        <v/>
      </c>
      <c r="F100" s="165" t="str">
        <f>Muntaner!H100</f>
        <v/>
      </c>
      <c r="G100" s="164" t="str">
        <f>'Закупка'!H100</f>
        <v/>
      </c>
      <c r="H100" s="163" t="str">
        <f>Plaza!G100</f>
        <v/>
      </c>
      <c r="I100" s="165" t="str">
        <f>Plaza!H100</f>
        <v/>
      </c>
      <c r="J100" s="164" t="str">
        <f>'Закупка'!I100</f>
        <v/>
      </c>
      <c r="K100" s="163" t="str">
        <f>Augusta!G100</f>
        <v/>
      </c>
      <c r="L100" s="165" t="str">
        <f>Augusta!H100</f>
        <v/>
      </c>
      <c r="M100" s="164" t="str">
        <f>'Закупка'!J100</f>
        <v/>
      </c>
      <c r="N100" s="163" t="str">
        <f>Gloria!G100</f>
        <v/>
      </c>
      <c r="O100" s="165" t="str">
        <f>Gloria!H100</f>
        <v/>
      </c>
      <c r="P100" s="164" t="str">
        <f>'Закупка'!K100</f>
        <v/>
      </c>
      <c r="Q100" s="163" t="str">
        <f>Blau!G100</f>
        <v/>
      </c>
      <c r="R100" s="165" t="str">
        <f>Blau!H100</f>
        <v/>
      </c>
      <c r="S100" s="166" t="str">
        <f>'Закупка'!E100</f>
        <v/>
      </c>
      <c r="T100" s="166" t="str">
        <f t="shared" si="1"/>
        <v/>
      </c>
      <c r="U100" s="34" t="str">
        <f>'Закупка'!F100</f>
        <v/>
      </c>
      <c r="V100" s="167" t="str">
        <f>'Закупка'!O100</f>
        <v/>
      </c>
      <c r="W100" s="167" t="str">
        <f t="shared" si="2"/>
        <v/>
      </c>
      <c r="X100" s="168"/>
      <c r="Y100" s="169" t="str">
        <f>'Закупка'!P100</f>
        <v/>
      </c>
      <c r="Z100" s="170" t="str">
        <f>'Закупка'!Q100</f>
        <v/>
      </c>
      <c r="AA100" s="171" t="str">
        <f>'Закупка'!R100</f>
        <v/>
      </c>
      <c r="AB100" s="172" t="str">
        <f>'Закупка'!T100</f>
        <v/>
      </c>
      <c r="AC100" s="173" t="str">
        <f>'Закупка'!S100</f>
        <v/>
      </c>
      <c r="AD100" s="174" t="str">
        <f>'Закупка'!W100</f>
        <v/>
      </c>
      <c r="AE100" s="87" t="str">
        <f>'Закупка'!Y100</f>
        <v/>
      </c>
    </row>
    <row r="101">
      <c r="A101" s="98" t="str">
        <f>'Закупка'!A101</f>
        <v/>
      </c>
      <c r="B101" s="81" t="str">
        <f>'Закупка'!B101</f>
        <v/>
      </c>
      <c r="C101" s="163" t="str">
        <f>'Закупка'!L101</f>
        <v/>
      </c>
      <c r="D101" s="164" t="str">
        <f>'Закупка'!G101</f>
        <v/>
      </c>
      <c r="E101" s="163" t="str">
        <f>Muntaner!G101</f>
        <v/>
      </c>
      <c r="F101" s="165" t="str">
        <f>Muntaner!H101</f>
        <v/>
      </c>
      <c r="G101" s="164" t="str">
        <f>'Закупка'!H101</f>
        <v/>
      </c>
      <c r="H101" s="163" t="str">
        <f>Plaza!G101</f>
        <v/>
      </c>
      <c r="I101" s="165" t="str">
        <f>Plaza!H101</f>
        <v/>
      </c>
      <c r="J101" s="164" t="str">
        <f>'Закупка'!I101</f>
        <v/>
      </c>
      <c r="K101" s="163" t="str">
        <f>Augusta!G101</f>
        <v/>
      </c>
      <c r="L101" s="165" t="str">
        <f>Augusta!H101</f>
        <v/>
      </c>
      <c r="M101" s="164" t="str">
        <f>'Закупка'!J101</f>
        <v/>
      </c>
      <c r="N101" s="163" t="str">
        <f>Gloria!G101</f>
        <v/>
      </c>
      <c r="O101" s="165" t="str">
        <f>Gloria!H101</f>
        <v/>
      </c>
      <c r="P101" s="164" t="str">
        <f>'Закупка'!K101</f>
        <v/>
      </c>
      <c r="Q101" s="163" t="str">
        <f>Blau!G101</f>
        <v/>
      </c>
      <c r="R101" s="165" t="str">
        <f>Blau!H101</f>
        <v/>
      </c>
      <c r="S101" s="166" t="str">
        <f>'Закупка'!E101</f>
        <v/>
      </c>
      <c r="T101" s="166" t="str">
        <f t="shared" si="1"/>
        <v/>
      </c>
      <c r="U101" s="34" t="str">
        <f>'Закупка'!F101</f>
        <v/>
      </c>
      <c r="V101" s="167" t="str">
        <f>'Закупка'!O101</f>
        <v/>
      </c>
      <c r="W101" s="167" t="str">
        <f t="shared" si="2"/>
        <v/>
      </c>
      <c r="X101" s="168"/>
      <c r="Y101" s="169" t="str">
        <f>'Закупка'!P101</f>
        <v/>
      </c>
      <c r="Z101" s="170" t="str">
        <f>'Закупка'!Q101</f>
        <v/>
      </c>
      <c r="AA101" s="171" t="str">
        <f>'Закупка'!R101</f>
        <v/>
      </c>
      <c r="AB101" s="172" t="str">
        <f>'Закупка'!T101</f>
        <v/>
      </c>
      <c r="AC101" s="173" t="str">
        <f>'Закупка'!S101</f>
        <v/>
      </c>
      <c r="AD101" s="174" t="str">
        <f>'Закупка'!W101</f>
        <v/>
      </c>
      <c r="AE101" s="87" t="str">
        <f>'Закупка'!Y101</f>
        <v/>
      </c>
    </row>
    <row r="102">
      <c r="A102" s="98" t="str">
        <f>'Закупка'!A102</f>
        <v/>
      </c>
      <c r="B102" s="81" t="str">
        <f>'Закупка'!B102</f>
        <v/>
      </c>
      <c r="C102" s="163" t="str">
        <f>'Закупка'!L102</f>
        <v/>
      </c>
      <c r="D102" s="164" t="str">
        <f>'Закупка'!G102</f>
        <v/>
      </c>
      <c r="E102" s="163" t="str">
        <f>Muntaner!G102</f>
        <v/>
      </c>
      <c r="F102" s="165" t="str">
        <f>Muntaner!H102</f>
        <v/>
      </c>
      <c r="G102" s="164" t="str">
        <f>'Закупка'!H102</f>
        <v/>
      </c>
      <c r="H102" s="163" t="str">
        <f>Plaza!G102</f>
        <v/>
      </c>
      <c r="I102" s="165" t="str">
        <f>Plaza!H102</f>
        <v/>
      </c>
      <c r="J102" s="164" t="str">
        <f>'Закупка'!I102</f>
        <v/>
      </c>
      <c r="K102" s="163" t="str">
        <f>Augusta!G102</f>
        <v/>
      </c>
      <c r="L102" s="165" t="str">
        <f>Augusta!H102</f>
        <v/>
      </c>
      <c r="M102" s="164" t="str">
        <f>'Закупка'!J102</f>
        <v/>
      </c>
      <c r="N102" s="163" t="str">
        <f>Gloria!G102</f>
        <v/>
      </c>
      <c r="O102" s="165" t="str">
        <f>Gloria!H102</f>
        <v/>
      </c>
      <c r="P102" s="164" t="str">
        <f>'Закупка'!K102</f>
        <v/>
      </c>
      <c r="Q102" s="163" t="str">
        <f>Blau!G102</f>
        <v/>
      </c>
      <c r="R102" s="165" t="str">
        <f>Blau!H102</f>
        <v/>
      </c>
      <c r="S102" s="166" t="str">
        <f>'Закупка'!E102</f>
        <v/>
      </c>
      <c r="T102" s="166" t="str">
        <f t="shared" si="1"/>
        <v/>
      </c>
      <c r="U102" s="34" t="str">
        <f>'Закупка'!F102</f>
        <v/>
      </c>
      <c r="V102" s="167" t="str">
        <f>'Закупка'!O102</f>
        <v/>
      </c>
      <c r="W102" s="167" t="str">
        <f t="shared" si="2"/>
        <v/>
      </c>
      <c r="X102" s="168"/>
      <c r="Y102" s="169" t="str">
        <f>'Закупка'!P102</f>
        <v/>
      </c>
      <c r="Z102" s="170" t="str">
        <f>'Закупка'!Q102</f>
        <v/>
      </c>
      <c r="AA102" s="171" t="str">
        <f>'Закупка'!R102</f>
        <v/>
      </c>
      <c r="AB102" s="172" t="str">
        <f>'Закупка'!T102</f>
        <v/>
      </c>
      <c r="AC102" s="173" t="str">
        <f>'Закупка'!S102</f>
        <v/>
      </c>
      <c r="AD102" s="174" t="str">
        <f>'Закупка'!W102</f>
        <v/>
      </c>
      <c r="AE102" s="87" t="str">
        <f>'Закупка'!Y102</f>
        <v/>
      </c>
    </row>
    <row r="103">
      <c r="A103" s="98" t="str">
        <f>'Закупка'!A103</f>
        <v/>
      </c>
      <c r="B103" s="81" t="str">
        <f>'Закупка'!B103</f>
        <v/>
      </c>
      <c r="C103" s="163" t="str">
        <f>'Закупка'!L103</f>
        <v/>
      </c>
      <c r="D103" s="164" t="str">
        <f>'Закупка'!G103</f>
        <v/>
      </c>
      <c r="E103" s="163" t="str">
        <f>Muntaner!G103</f>
        <v/>
      </c>
      <c r="F103" s="165" t="str">
        <f>Muntaner!H103</f>
        <v/>
      </c>
      <c r="G103" s="164" t="str">
        <f>'Закупка'!H103</f>
        <v/>
      </c>
      <c r="H103" s="163" t="str">
        <f>Plaza!G103</f>
        <v/>
      </c>
      <c r="I103" s="165" t="str">
        <f>Plaza!H103</f>
        <v/>
      </c>
      <c r="J103" s="164" t="str">
        <f>'Закупка'!I103</f>
        <v/>
      </c>
      <c r="K103" s="163" t="str">
        <f>Augusta!G103</f>
        <v/>
      </c>
      <c r="L103" s="165" t="str">
        <f>Augusta!H103</f>
        <v/>
      </c>
      <c r="M103" s="164" t="str">
        <f>'Закупка'!J103</f>
        <v/>
      </c>
      <c r="N103" s="163" t="str">
        <f>Gloria!G103</f>
        <v/>
      </c>
      <c r="O103" s="165" t="str">
        <f>Gloria!H103</f>
        <v/>
      </c>
      <c r="P103" s="164" t="str">
        <f>'Закупка'!K103</f>
        <v/>
      </c>
      <c r="Q103" s="163" t="str">
        <f>Blau!G103</f>
        <v/>
      </c>
      <c r="R103" s="165" t="str">
        <f>Blau!H103</f>
        <v/>
      </c>
      <c r="S103" s="166" t="str">
        <f>'Закупка'!E103</f>
        <v/>
      </c>
      <c r="T103" s="166" t="str">
        <f t="shared" si="1"/>
        <v/>
      </c>
      <c r="U103" s="34" t="str">
        <f>'Закупка'!F103</f>
        <v/>
      </c>
      <c r="V103" s="167" t="str">
        <f>'Закупка'!O103</f>
        <v/>
      </c>
      <c r="W103" s="167" t="str">
        <f t="shared" si="2"/>
        <v/>
      </c>
      <c r="X103" s="168"/>
      <c r="Y103" s="169" t="str">
        <f>'Закупка'!P103</f>
        <v/>
      </c>
      <c r="Z103" s="170" t="str">
        <f>'Закупка'!Q103</f>
        <v/>
      </c>
      <c r="AA103" s="171" t="str">
        <f>'Закупка'!R103</f>
        <v/>
      </c>
      <c r="AB103" s="172" t="str">
        <f>'Закупка'!T103</f>
        <v/>
      </c>
      <c r="AC103" s="173" t="str">
        <f>'Закупка'!S103</f>
        <v/>
      </c>
      <c r="AD103" s="174" t="str">
        <f>'Закупка'!W103</f>
        <v/>
      </c>
      <c r="AE103" s="87" t="str">
        <f>'Закупка'!Y103</f>
        <v/>
      </c>
    </row>
    <row r="104">
      <c r="A104" s="98" t="str">
        <f>'Закупка'!A104</f>
        <v/>
      </c>
      <c r="B104" s="81" t="str">
        <f>'Закупка'!B104</f>
        <v/>
      </c>
      <c r="C104" s="163" t="str">
        <f>'Закупка'!L104</f>
        <v/>
      </c>
      <c r="D104" s="164" t="str">
        <f>'Закупка'!G104</f>
        <v/>
      </c>
      <c r="E104" s="163" t="str">
        <f>Muntaner!G104</f>
        <v/>
      </c>
      <c r="F104" s="165" t="str">
        <f>Muntaner!H104</f>
        <v/>
      </c>
      <c r="G104" s="164" t="str">
        <f>'Закупка'!H104</f>
        <v/>
      </c>
      <c r="H104" s="163" t="str">
        <f>Plaza!G104</f>
        <v/>
      </c>
      <c r="I104" s="165" t="str">
        <f>Plaza!H104</f>
        <v/>
      </c>
      <c r="J104" s="164" t="str">
        <f>'Закупка'!I104</f>
        <v/>
      </c>
      <c r="K104" s="163" t="str">
        <f>Augusta!G104</f>
        <v/>
      </c>
      <c r="L104" s="165" t="str">
        <f>Augusta!H104</f>
        <v/>
      </c>
      <c r="M104" s="164" t="str">
        <f>'Закупка'!J104</f>
        <v/>
      </c>
      <c r="N104" s="163" t="str">
        <f>Gloria!G104</f>
        <v/>
      </c>
      <c r="O104" s="165" t="str">
        <f>Gloria!H104</f>
        <v/>
      </c>
      <c r="P104" s="164" t="str">
        <f>'Закупка'!K104</f>
        <v/>
      </c>
      <c r="Q104" s="163" t="str">
        <f>Blau!G104</f>
        <v/>
      </c>
      <c r="R104" s="165" t="str">
        <f>Blau!H104</f>
        <v/>
      </c>
      <c r="S104" s="166" t="str">
        <f>'Закупка'!E104</f>
        <v/>
      </c>
      <c r="T104" s="166" t="str">
        <f t="shared" si="1"/>
        <v/>
      </c>
      <c r="U104" s="34" t="str">
        <f>'Закупка'!F104</f>
        <v/>
      </c>
      <c r="V104" s="167" t="str">
        <f>'Закупка'!O104</f>
        <v/>
      </c>
      <c r="W104" s="167" t="str">
        <f t="shared" si="2"/>
        <v/>
      </c>
      <c r="X104" s="168"/>
      <c r="Y104" s="169" t="str">
        <f>'Закупка'!P104</f>
        <v/>
      </c>
      <c r="Z104" s="170" t="str">
        <f>'Закупка'!Q104</f>
        <v/>
      </c>
      <c r="AA104" s="171" t="str">
        <f>'Закупка'!R104</f>
        <v/>
      </c>
      <c r="AB104" s="172" t="str">
        <f>'Закупка'!T104</f>
        <v/>
      </c>
      <c r="AC104" s="173" t="str">
        <f>'Закупка'!S104</f>
        <v/>
      </c>
      <c r="AD104" s="174" t="str">
        <f>'Закупка'!W104</f>
        <v/>
      </c>
      <c r="AE104" s="87" t="str">
        <f>'Закупка'!Y104</f>
        <v/>
      </c>
    </row>
    <row r="105">
      <c r="A105" s="98" t="str">
        <f>'Закупка'!A105</f>
        <v/>
      </c>
      <c r="B105" s="81" t="str">
        <f>'Закупка'!B105</f>
        <v/>
      </c>
      <c r="C105" s="163" t="str">
        <f>'Закупка'!L105</f>
        <v/>
      </c>
      <c r="D105" s="164" t="str">
        <f>'Закупка'!G105</f>
        <v/>
      </c>
      <c r="E105" s="163" t="str">
        <f>Muntaner!G105</f>
        <v/>
      </c>
      <c r="F105" s="165" t="str">
        <f>Muntaner!H105</f>
        <v/>
      </c>
      <c r="G105" s="164" t="str">
        <f>'Закупка'!H105</f>
        <v/>
      </c>
      <c r="H105" s="163" t="str">
        <f>Plaza!G105</f>
        <v/>
      </c>
      <c r="I105" s="165" t="str">
        <f>Plaza!H105</f>
        <v/>
      </c>
      <c r="J105" s="164" t="str">
        <f>'Закупка'!I105</f>
        <v/>
      </c>
      <c r="K105" s="163" t="str">
        <f>Augusta!G105</f>
        <v/>
      </c>
      <c r="L105" s="165" t="str">
        <f>Augusta!H105</f>
        <v/>
      </c>
      <c r="M105" s="164" t="str">
        <f>'Закупка'!J105</f>
        <v/>
      </c>
      <c r="N105" s="163" t="str">
        <f>Gloria!G105</f>
        <v/>
      </c>
      <c r="O105" s="165" t="str">
        <f>Gloria!H105</f>
        <v/>
      </c>
      <c r="P105" s="164" t="str">
        <f>'Закупка'!K105</f>
        <v/>
      </c>
      <c r="Q105" s="163" t="str">
        <f>Blau!G105</f>
        <v/>
      </c>
      <c r="R105" s="165" t="str">
        <f>Blau!H105</f>
        <v/>
      </c>
      <c r="S105" s="166" t="str">
        <f>'Закупка'!E105</f>
        <v/>
      </c>
      <c r="T105" s="166" t="str">
        <f t="shared" si="1"/>
        <v/>
      </c>
      <c r="U105" s="34" t="str">
        <f>'Закупка'!F105</f>
        <v/>
      </c>
      <c r="V105" s="167" t="str">
        <f>'Закупка'!O105</f>
        <v/>
      </c>
      <c r="W105" s="167" t="str">
        <f t="shared" si="2"/>
        <v/>
      </c>
      <c r="X105" s="168"/>
      <c r="Y105" s="169" t="str">
        <f>'Закупка'!P105</f>
        <v/>
      </c>
      <c r="Z105" s="170" t="str">
        <f>'Закупка'!Q105</f>
        <v/>
      </c>
      <c r="AA105" s="171" t="str">
        <f>'Закупка'!R105</f>
        <v/>
      </c>
      <c r="AB105" s="172" t="str">
        <f>'Закупка'!T105</f>
        <v/>
      </c>
      <c r="AC105" s="173" t="str">
        <f>'Закупка'!S105</f>
        <v/>
      </c>
      <c r="AD105" s="174" t="str">
        <f>'Закупка'!W105</f>
        <v/>
      </c>
      <c r="AE105" s="87" t="str">
        <f>'Закупка'!Y105</f>
        <v/>
      </c>
    </row>
    <row r="106">
      <c r="A106" s="98" t="str">
        <f>'Закупка'!A106</f>
        <v/>
      </c>
      <c r="B106" s="81" t="str">
        <f>'Закупка'!B106</f>
        <v/>
      </c>
      <c r="C106" s="163" t="str">
        <f>'Закупка'!L106</f>
        <v/>
      </c>
      <c r="D106" s="164" t="str">
        <f>'Закупка'!G106</f>
        <v/>
      </c>
      <c r="E106" s="163" t="str">
        <f>Muntaner!G106</f>
        <v/>
      </c>
      <c r="F106" s="165" t="str">
        <f>Muntaner!H106</f>
        <v/>
      </c>
      <c r="G106" s="164" t="str">
        <f>'Закупка'!H106</f>
        <v/>
      </c>
      <c r="H106" s="163" t="str">
        <f>Plaza!G106</f>
        <v/>
      </c>
      <c r="I106" s="165" t="str">
        <f>Plaza!H106</f>
        <v/>
      </c>
      <c r="J106" s="164" t="str">
        <f>'Закупка'!I106</f>
        <v/>
      </c>
      <c r="K106" s="163" t="str">
        <f>Augusta!G106</f>
        <v/>
      </c>
      <c r="L106" s="165" t="str">
        <f>Augusta!H106</f>
        <v/>
      </c>
      <c r="M106" s="164" t="str">
        <f>'Закупка'!J106</f>
        <v/>
      </c>
      <c r="N106" s="163" t="str">
        <f>Gloria!G106</f>
        <v/>
      </c>
      <c r="O106" s="165" t="str">
        <f>Gloria!H106</f>
        <v/>
      </c>
      <c r="P106" s="164" t="str">
        <f>'Закупка'!K106</f>
        <v/>
      </c>
      <c r="Q106" s="163" t="str">
        <f>Blau!G106</f>
        <v/>
      </c>
      <c r="R106" s="165" t="str">
        <f>Blau!H106</f>
        <v/>
      </c>
      <c r="S106" s="166" t="str">
        <f>'Закупка'!E106</f>
        <v/>
      </c>
      <c r="T106" s="166" t="str">
        <f t="shared" si="1"/>
        <v/>
      </c>
      <c r="U106" s="34" t="str">
        <f>'Закупка'!F106</f>
        <v/>
      </c>
      <c r="V106" s="167" t="str">
        <f>'Закупка'!O106</f>
        <v/>
      </c>
      <c r="W106" s="167" t="str">
        <f t="shared" si="2"/>
        <v/>
      </c>
      <c r="X106" s="168"/>
      <c r="Y106" s="169" t="str">
        <f>'Закупка'!P106</f>
        <v/>
      </c>
      <c r="Z106" s="170" t="str">
        <f>'Закупка'!Q106</f>
        <v/>
      </c>
      <c r="AA106" s="171" t="str">
        <f>'Закупка'!R106</f>
        <v/>
      </c>
      <c r="AB106" s="172" t="str">
        <f>'Закупка'!T106</f>
        <v/>
      </c>
      <c r="AC106" s="173" t="str">
        <f>'Закупка'!S106</f>
        <v/>
      </c>
      <c r="AD106" s="174" t="str">
        <f>'Закупка'!W106</f>
        <v/>
      </c>
      <c r="AE106" s="87" t="str">
        <f>'Закупка'!Y106</f>
        <v/>
      </c>
    </row>
    <row r="107">
      <c r="A107" s="98" t="str">
        <f>'Закупка'!A107</f>
        <v/>
      </c>
      <c r="B107" s="81" t="str">
        <f>'Закупка'!B107</f>
        <v/>
      </c>
      <c r="C107" s="163" t="str">
        <f>'Закупка'!L107</f>
        <v/>
      </c>
      <c r="D107" s="164" t="str">
        <f>'Закупка'!G107</f>
        <v/>
      </c>
      <c r="E107" s="163" t="str">
        <f>Muntaner!G107</f>
        <v/>
      </c>
      <c r="F107" s="165" t="str">
        <f>Muntaner!H107</f>
        <v/>
      </c>
      <c r="G107" s="164" t="str">
        <f>'Закупка'!H107</f>
        <v/>
      </c>
      <c r="H107" s="163" t="str">
        <f>Plaza!G107</f>
        <v/>
      </c>
      <c r="I107" s="165" t="str">
        <f>Plaza!H107</f>
        <v/>
      </c>
      <c r="J107" s="164" t="str">
        <f>'Закупка'!I107</f>
        <v/>
      </c>
      <c r="K107" s="163" t="str">
        <f>Augusta!G107</f>
        <v/>
      </c>
      <c r="L107" s="165" t="str">
        <f>Augusta!H107</f>
        <v/>
      </c>
      <c r="M107" s="164" t="str">
        <f>'Закупка'!J107</f>
        <v/>
      </c>
      <c r="N107" s="163" t="str">
        <f>Gloria!G107</f>
        <v/>
      </c>
      <c r="O107" s="165" t="str">
        <f>Gloria!H107</f>
        <v/>
      </c>
      <c r="P107" s="164" t="str">
        <f>'Закупка'!K107</f>
        <v/>
      </c>
      <c r="Q107" s="163" t="str">
        <f>Blau!G107</f>
        <v/>
      </c>
      <c r="R107" s="165" t="str">
        <f>Blau!H107</f>
        <v/>
      </c>
      <c r="S107" s="166" t="str">
        <f>'Закупка'!E107</f>
        <v/>
      </c>
      <c r="T107" s="166" t="str">
        <f t="shared" si="1"/>
        <v/>
      </c>
      <c r="U107" s="34" t="str">
        <f>'Закупка'!F107</f>
        <v/>
      </c>
      <c r="V107" s="167" t="str">
        <f>'Закупка'!O107</f>
        <v/>
      </c>
      <c r="W107" s="167" t="str">
        <f t="shared" si="2"/>
        <v/>
      </c>
      <c r="X107" s="168"/>
      <c r="Y107" s="169" t="str">
        <f>'Закупка'!P107</f>
        <v/>
      </c>
      <c r="Z107" s="170" t="str">
        <f>'Закупка'!Q107</f>
        <v/>
      </c>
      <c r="AA107" s="171" t="str">
        <f>'Закупка'!R107</f>
        <v/>
      </c>
      <c r="AB107" s="172" t="str">
        <f>'Закупка'!T107</f>
        <v/>
      </c>
      <c r="AC107" s="173" t="str">
        <f>'Закупка'!S107</f>
        <v/>
      </c>
      <c r="AD107" s="174" t="str">
        <f>'Закупка'!W107</f>
        <v/>
      </c>
      <c r="AE107" s="87" t="str">
        <f>'Закупка'!Y107</f>
        <v/>
      </c>
    </row>
    <row r="108">
      <c r="A108" s="98" t="str">
        <f>'Закупка'!A108</f>
        <v/>
      </c>
      <c r="B108" s="81" t="str">
        <f>'Закупка'!B108</f>
        <v/>
      </c>
      <c r="C108" s="163" t="str">
        <f>'Закупка'!L108</f>
        <v/>
      </c>
      <c r="D108" s="164" t="str">
        <f>'Закупка'!G108</f>
        <v/>
      </c>
      <c r="E108" s="163" t="str">
        <f>Muntaner!G108</f>
        <v/>
      </c>
      <c r="F108" s="165" t="str">
        <f>Muntaner!H108</f>
        <v/>
      </c>
      <c r="G108" s="164" t="str">
        <f>'Закупка'!H108</f>
        <v/>
      </c>
      <c r="H108" s="163" t="str">
        <f>Plaza!G108</f>
        <v/>
      </c>
      <c r="I108" s="165" t="str">
        <f>Plaza!H108</f>
        <v/>
      </c>
      <c r="J108" s="164" t="str">
        <f>'Закупка'!I108</f>
        <v/>
      </c>
      <c r="K108" s="163" t="str">
        <f>Augusta!G108</f>
        <v/>
      </c>
      <c r="L108" s="165" t="str">
        <f>Augusta!H108</f>
        <v/>
      </c>
      <c r="M108" s="164" t="str">
        <f>'Закупка'!J108</f>
        <v/>
      </c>
      <c r="N108" s="163" t="str">
        <f>Gloria!G108</f>
        <v/>
      </c>
      <c r="O108" s="165" t="str">
        <f>Gloria!H108</f>
        <v/>
      </c>
      <c r="P108" s="164" t="str">
        <f>'Закупка'!K108</f>
        <v/>
      </c>
      <c r="Q108" s="163" t="str">
        <f>Blau!G108</f>
        <v/>
      </c>
      <c r="R108" s="165" t="str">
        <f>Blau!H108</f>
        <v/>
      </c>
      <c r="S108" s="166" t="str">
        <f>'Закупка'!E108</f>
        <v/>
      </c>
      <c r="T108" s="166" t="str">
        <f t="shared" si="1"/>
        <v/>
      </c>
      <c r="U108" s="34" t="str">
        <f>'Закупка'!F108</f>
        <v/>
      </c>
      <c r="V108" s="167" t="str">
        <f>'Закупка'!O108</f>
        <v/>
      </c>
      <c r="W108" s="167" t="str">
        <f t="shared" si="2"/>
        <v/>
      </c>
      <c r="X108" s="168"/>
      <c r="Y108" s="169" t="str">
        <f>'Закупка'!P108</f>
        <v/>
      </c>
      <c r="Z108" s="170" t="str">
        <f>'Закупка'!Q108</f>
        <v/>
      </c>
      <c r="AA108" s="171" t="str">
        <f>'Закупка'!R108</f>
        <v/>
      </c>
      <c r="AB108" s="172" t="str">
        <f>'Закупка'!T108</f>
        <v/>
      </c>
      <c r="AC108" s="173" t="str">
        <f>'Закупка'!S108</f>
        <v/>
      </c>
      <c r="AD108" s="174" t="str">
        <f>'Закупка'!W108</f>
        <v/>
      </c>
      <c r="AE108" s="87" t="str">
        <f>'Закупка'!Y108</f>
        <v/>
      </c>
    </row>
    <row r="109">
      <c r="A109" s="98" t="str">
        <f>'Закупка'!A109</f>
        <v/>
      </c>
      <c r="B109" s="81" t="str">
        <f>'Закупка'!B109</f>
        <v/>
      </c>
      <c r="C109" s="163" t="str">
        <f>'Закупка'!L109</f>
        <v/>
      </c>
      <c r="D109" s="164" t="str">
        <f>'Закупка'!G109</f>
        <v/>
      </c>
      <c r="E109" s="163" t="str">
        <f>Muntaner!G109</f>
        <v/>
      </c>
      <c r="F109" s="165" t="str">
        <f>Muntaner!H109</f>
        <v/>
      </c>
      <c r="G109" s="164" t="str">
        <f>'Закупка'!H109</f>
        <v/>
      </c>
      <c r="H109" s="163" t="str">
        <f>Plaza!G109</f>
        <v/>
      </c>
      <c r="I109" s="165" t="str">
        <f>Plaza!H109</f>
        <v/>
      </c>
      <c r="J109" s="164" t="str">
        <f>'Закупка'!I109</f>
        <v/>
      </c>
      <c r="K109" s="163" t="str">
        <f>Augusta!G109</f>
        <v/>
      </c>
      <c r="L109" s="165" t="str">
        <f>Augusta!H109</f>
        <v/>
      </c>
      <c r="M109" s="164" t="str">
        <f>'Закупка'!J109</f>
        <v/>
      </c>
      <c r="N109" s="163" t="str">
        <f>Gloria!G109</f>
        <v/>
      </c>
      <c r="O109" s="165" t="str">
        <f>Gloria!H109</f>
        <v/>
      </c>
      <c r="P109" s="164" t="str">
        <f>'Закупка'!K109</f>
        <v/>
      </c>
      <c r="Q109" s="163" t="str">
        <f>Blau!G109</f>
        <v/>
      </c>
      <c r="R109" s="165" t="str">
        <f>Blau!H109</f>
        <v/>
      </c>
      <c r="S109" s="166" t="str">
        <f>'Закупка'!E109</f>
        <v/>
      </c>
      <c r="T109" s="166" t="str">
        <f t="shared" si="1"/>
        <v/>
      </c>
      <c r="U109" s="34" t="str">
        <f>'Закупка'!F109</f>
        <v/>
      </c>
      <c r="V109" s="167" t="str">
        <f>'Закупка'!O109</f>
        <v/>
      </c>
      <c r="W109" s="167" t="str">
        <f t="shared" si="2"/>
        <v/>
      </c>
      <c r="X109" s="168"/>
      <c r="Y109" s="169" t="str">
        <f>'Закупка'!P109</f>
        <v/>
      </c>
      <c r="Z109" s="170" t="str">
        <f>'Закупка'!Q109</f>
        <v/>
      </c>
      <c r="AA109" s="171" t="str">
        <f>'Закупка'!R109</f>
        <v/>
      </c>
      <c r="AB109" s="172" t="str">
        <f>'Закупка'!T109</f>
        <v/>
      </c>
      <c r="AC109" s="173" t="str">
        <f>'Закупка'!S109</f>
        <v/>
      </c>
      <c r="AD109" s="174" t="str">
        <f>'Закупка'!W109</f>
        <v/>
      </c>
      <c r="AE109" s="87" t="str">
        <f>'Закупка'!Y109</f>
        <v/>
      </c>
    </row>
    <row r="110">
      <c r="A110" s="98" t="str">
        <f>'Закупка'!A110</f>
        <v/>
      </c>
      <c r="B110" s="81" t="str">
        <f>'Закупка'!B110</f>
        <v/>
      </c>
      <c r="C110" s="163" t="str">
        <f>'Закупка'!L110</f>
        <v/>
      </c>
      <c r="D110" s="164" t="str">
        <f>'Закупка'!G110</f>
        <v/>
      </c>
      <c r="E110" s="163" t="str">
        <f>Muntaner!G110</f>
        <v/>
      </c>
      <c r="F110" s="165" t="str">
        <f>Muntaner!H110</f>
        <v/>
      </c>
      <c r="G110" s="164" t="str">
        <f>'Закупка'!H110</f>
        <v/>
      </c>
      <c r="H110" s="163" t="str">
        <f>Plaza!G110</f>
        <v/>
      </c>
      <c r="I110" s="165" t="str">
        <f>Plaza!H110</f>
        <v/>
      </c>
      <c r="J110" s="164" t="str">
        <f>'Закупка'!I110</f>
        <v/>
      </c>
      <c r="K110" s="163" t="str">
        <f>Augusta!G110</f>
        <v/>
      </c>
      <c r="L110" s="165" t="str">
        <f>Augusta!H110</f>
        <v/>
      </c>
      <c r="M110" s="164" t="str">
        <f>'Закупка'!J110</f>
        <v/>
      </c>
      <c r="N110" s="163" t="str">
        <f>Gloria!G110</f>
        <v/>
      </c>
      <c r="O110" s="165" t="str">
        <f>Gloria!H110</f>
        <v/>
      </c>
      <c r="P110" s="164" t="str">
        <f>'Закупка'!K110</f>
        <v/>
      </c>
      <c r="Q110" s="163" t="str">
        <f>Blau!G110</f>
        <v/>
      </c>
      <c r="R110" s="165" t="str">
        <f>Blau!H110</f>
        <v/>
      </c>
      <c r="S110" s="166" t="str">
        <f>'Закупка'!E110</f>
        <v/>
      </c>
      <c r="T110" s="166" t="str">
        <f t="shared" si="1"/>
        <v/>
      </c>
      <c r="U110" s="34" t="str">
        <f>'Закупка'!F110</f>
        <v/>
      </c>
      <c r="V110" s="167" t="str">
        <f>'Закупка'!O110</f>
        <v/>
      </c>
      <c r="W110" s="167" t="str">
        <f t="shared" si="2"/>
        <v/>
      </c>
      <c r="X110" s="168"/>
      <c r="Y110" s="169" t="str">
        <f>'Закупка'!P110</f>
        <v/>
      </c>
      <c r="Z110" s="170" t="str">
        <f>'Закупка'!Q110</f>
        <v/>
      </c>
      <c r="AA110" s="171" t="str">
        <f>'Закупка'!R110</f>
        <v/>
      </c>
      <c r="AB110" s="172" t="str">
        <f>'Закупка'!T110</f>
        <v/>
      </c>
      <c r="AC110" s="173" t="str">
        <f>'Закупка'!S110</f>
        <v/>
      </c>
      <c r="AD110" s="174" t="str">
        <f>'Закупка'!W110</f>
        <v/>
      </c>
      <c r="AE110" s="87" t="str">
        <f>'Закупка'!Y110</f>
        <v/>
      </c>
    </row>
    <row r="111">
      <c r="A111" s="98" t="str">
        <f>'Закупка'!A111</f>
        <v/>
      </c>
      <c r="B111" s="81" t="str">
        <f>'Закупка'!B111</f>
        <v/>
      </c>
      <c r="C111" s="163" t="str">
        <f>'Закупка'!L111</f>
        <v/>
      </c>
      <c r="D111" s="164" t="str">
        <f>'Закупка'!G111</f>
        <v/>
      </c>
      <c r="E111" s="163" t="str">
        <f>Muntaner!G111</f>
        <v/>
      </c>
      <c r="F111" s="165" t="str">
        <f>Muntaner!H111</f>
        <v/>
      </c>
      <c r="G111" s="164" t="str">
        <f>'Закупка'!H111</f>
        <v/>
      </c>
      <c r="H111" s="163" t="str">
        <f>Plaza!G111</f>
        <v/>
      </c>
      <c r="I111" s="165" t="str">
        <f>Plaza!H111</f>
        <v/>
      </c>
      <c r="J111" s="164" t="str">
        <f>'Закупка'!I111</f>
        <v/>
      </c>
      <c r="K111" s="163" t="str">
        <f>Augusta!G111</f>
        <v/>
      </c>
      <c r="L111" s="165" t="str">
        <f>Augusta!H111</f>
        <v/>
      </c>
      <c r="M111" s="164" t="str">
        <f>'Закупка'!J111</f>
        <v/>
      </c>
      <c r="N111" s="163" t="str">
        <f>Gloria!G111</f>
        <v/>
      </c>
      <c r="O111" s="165" t="str">
        <f>Gloria!H111</f>
        <v/>
      </c>
      <c r="P111" s="164" t="str">
        <f>'Закупка'!K111</f>
        <v/>
      </c>
      <c r="Q111" s="163" t="str">
        <f>Blau!G111</f>
        <v/>
      </c>
      <c r="R111" s="165" t="str">
        <f>Blau!H111</f>
        <v/>
      </c>
      <c r="S111" s="166" t="str">
        <f>'Закупка'!E111</f>
        <v/>
      </c>
      <c r="T111" s="166" t="str">
        <f t="shared" si="1"/>
        <v/>
      </c>
      <c r="U111" s="34" t="str">
        <f>'Закупка'!F111</f>
        <v/>
      </c>
      <c r="V111" s="167" t="str">
        <f>'Закупка'!O111</f>
        <v/>
      </c>
      <c r="W111" s="167" t="str">
        <f t="shared" si="2"/>
        <v/>
      </c>
      <c r="X111" s="168"/>
      <c r="Y111" s="169" t="str">
        <f>'Закупка'!P111</f>
        <v/>
      </c>
      <c r="Z111" s="170" t="str">
        <f>'Закупка'!Q111</f>
        <v/>
      </c>
      <c r="AA111" s="171" t="str">
        <f>'Закупка'!R111</f>
        <v/>
      </c>
      <c r="AB111" s="172" t="str">
        <f>'Закупка'!T111</f>
        <v/>
      </c>
      <c r="AC111" s="173" t="str">
        <f>'Закупка'!S111</f>
        <v/>
      </c>
      <c r="AD111" s="174" t="str">
        <f>'Закупка'!W111</f>
        <v/>
      </c>
      <c r="AE111" s="87" t="str">
        <f>'Закупка'!Y111</f>
        <v/>
      </c>
    </row>
    <row r="112">
      <c r="A112" s="98" t="str">
        <f>'Закупка'!A112</f>
        <v/>
      </c>
      <c r="B112" s="81" t="str">
        <f>'Закупка'!B112</f>
        <v/>
      </c>
      <c r="C112" s="163" t="str">
        <f>'Закупка'!L112</f>
        <v/>
      </c>
      <c r="D112" s="164" t="str">
        <f>'Закупка'!G112</f>
        <v/>
      </c>
      <c r="E112" s="163" t="str">
        <f>Muntaner!G112</f>
        <v/>
      </c>
      <c r="F112" s="165" t="str">
        <f>Muntaner!H112</f>
        <v/>
      </c>
      <c r="G112" s="164" t="str">
        <f>'Закупка'!H112</f>
        <v/>
      </c>
      <c r="H112" s="163" t="str">
        <f>Plaza!G112</f>
        <v/>
      </c>
      <c r="I112" s="165" t="str">
        <f>Plaza!H112</f>
        <v/>
      </c>
      <c r="J112" s="164" t="str">
        <f>'Закупка'!I112</f>
        <v/>
      </c>
      <c r="K112" s="163" t="str">
        <f>Augusta!G112</f>
        <v/>
      </c>
      <c r="L112" s="165" t="str">
        <f>Augusta!H112</f>
        <v/>
      </c>
      <c r="M112" s="164" t="str">
        <f>'Закупка'!J112</f>
        <v/>
      </c>
      <c r="N112" s="163" t="str">
        <f>Gloria!G112</f>
        <v/>
      </c>
      <c r="O112" s="165" t="str">
        <f>Gloria!H112</f>
        <v/>
      </c>
      <c r="P112" s="164" t="str">
        <f>'Закупка'!K112</f>
        <v/>
      </c>
      <c r="Q112" s="163" t="str">
        <f>Blau!G112</f>
        <v/>
      </c>
      <c r="R112" s="165" t="str">
        <f>Blau!H112</f>
        <v/>
      </c>
      <c r="S112" s="166" t="str">
        <f>'Закупка'!E112</f>
        <v/>
      </c>
      <c r="T112" s="166" t="str">
        <f t="shared" si="1"/>
        <v/>
      </c>
      <c r="U112" s="34" t="str">
        <f>'Закупка'!F112</f>
        <v/>
      </c>
      <c r="V112" s="167" t="str">
        <f>'Закупка'!O112</f>
        <v/>
      </c>
      <c r="W112" s="167" t="str">
        <f t="shared" si="2"/>
        <v/>
      </c>
      <c r="X112" s="168"/>
      <c r="Y112" s="169" t="str">
        <f>'Закупка'!P112</f>
        <v/>
      </c>
      <c r="Z112" s="170" t="str">
        <f>'Закупка'!Q112</f>
        <v/>
      </c>
      <c r="AA112" s="171" t="str">
        <f>'Закупка'!R112</f>
        <v/>
      </c>
      <c r="AB112" s="172" t="str">
        <f>'Закупка'!T112</f>
        <v/>
      </c>
      <c r="AC112" s="173" t="str">
        <f>'Закупка'!S112</f>
        <v/>
      </c>
      <c r="AD112" s="174" t="str">
        <f>'Закупка'!W112</f>
        <v/>
      </c>
      <c r="AE112" s="87" t="str">
        <f>'Закупка'!Y112</f>
        <v/>
      </c>
    </row>
    <row r="113">
      <c r="A113" s="98" t="str">
        <f>'Закупка'!A113</f>
        <v/>
      </c>
      <c r="B113" s="81" t="str">
        <f>'Закупка'!B113</f>
        <v/>
      </c>
      <c r="C113" s="163" t="str">
        <f>'Закупка'!L113</f>
        <v/>
      </c>
      <c r="D113" s="164" t="str">
        <f>'Закупка'!G113</f>
        <v/>
      </c>
      <c r="E113" s="163" t="str">
        <f>Muntaner!G113</f>
        <v/>
      </c>
      <c r="F113" s="165" t="str">
        <f>Muntaner!H113</f>
        <v/>
      </c>
      <c r="G113" s="164" t="str">
        <f>'Закупка'!H113</f>
        <v/>
      </c>
      <c r="H113" s="163" t="str">
        <f>Plaza!G113</f>
        <v/>
      </c>
      <c r="I113" s="165" t="str">
        <f>Plaza!H113</f>
        <v/>
      </c>
      <c r="J113" s="164" t="str">
        <f>'Закупка'!I113</f>
        <v/>
      </c>
      <c r="K113" s="163" t="str">
        <f>Augusta!G113</f>
        <v/>
      </c>
      <c r="L113" s="165" t="str">
        <f>Augusta!H113</f>
        <v/>
      </c>
      <c r="M113" s="164" t="str">
        <f>'Закупка'!J113</f>
        <v/>
      </c>
      <c r="N113" s="163" t="str">
        <f>Gloria!G113</f>
        <v/>
      </c>
      <c r="O113" s="165" t="str">
        <f>Gloria!H113</f>
        <v/>
      </c>
      <c r="P113" s="164" t="str">
        <f>'Закупка'!K113</f>
        <v/>
      </c>
      <c r="Q113" s="163" t="str">
        <f>Blau!G113</f>
        <v/>
      </c>
      <c r="R113" s="165" t="str">
        <f>Blau!H113</f>
        <v/>
      </c>
      <c r="S113" s="166" t="str">
        <f>'Закупка'!E113</f>
        <v/>
      </c>
      <c r="T113" s="166" t="str">
        <f t="shared" si="1"/>
        <v/>
      </c>
      <c r="U113" s="34" t="str">
        <f>'Закупка'!F113</f>
        <v/>
      </c>
      <c r="V113" s="167" t="str">
        <f>'Закупка'!O113</f>
        <v/>
      </c>
      <c r="W113" s="167" t="str">
        <f t="shared" si="2"/>
        <v/>
      </c>
      <c r="X113" s="168"/>
      <c r="Y113" s="169" t="str">
        <f>'Закупка'!P113</f>
        <v/>
      </c>
      <c r="Z113" s="170" t="str">
        <f>'Закупка'!Q113</f>
        <v/>
      </c>
      <c r="AA113" s="171" t="str">
        <f>'Закупка'!R113</f>
        <v/>
      </c>
      <c r="AB113" s="172" t="str">
        <f>'Закупка'!T113</f>
        <v/>
      </c>
      <c r="AC113" s="173" t="str">
        <f>'Закупка'!S113</f>
        <v/>
      </c>
      <c r="AD113" s="174" t="str">
        <f>'Закупка'!W113</f>
        <v/>
      </c>
      <c r="AE113" s="87" t="str">
        <f>'Закупка'!Y113</f>
        <v/>
      </c>
    </row>
    <row r="114">
      <c r="A114" s="98" t="str">
        <f>'Закупка'!A114</f>
        <v/>
      </c>
      <c r="B114" s="81" t="str">
        <f>'Закупка'!B114</f>
        <v/>
      </c>
      <c r="C114" s="163" t="str">
        <f>'Закупка'!L114</f>
        <v/>
      </c>
      <c r="D114" s="164" t="str">
        <f>'Закупка'!G114</f>
        <v/>
      </c>
      <c r="E114" s="163" t="str">
        <f>Muntaner!G114</f>
        <v/>
      </c>
      <c r="F114" s="165" t="str">
        <f>Muntaner!H114</f>
        <v/>
      </c>
      <c r="G114" s="164" t="str">
        <f>'Закупка'!H114</f>
        <v/>
      </c>
      <c r="H114" s="163" t="str">
        <f>Plaza!G114</f>
        <v/>
      </c>
      <c r="I114" s="165" t="str">
        <f>Plaza!H114</f>
        <v/>
      </c>
      <c r="J114" s="164" t="str">
        <f>'Закупка'!I114</f>
        <v/>
      </c>
      <c r="K114" s="163" t="str">
        <f>Augusta!G114</f>
        <v/>
      </c>
      <c r="L114" s="165" t="str">
        <f>Augusta!H114</f>
        <v/>
      </c>
      <c r="M114" s="164" t="str">
        <f>'Закупка'!J114</f>
        <v/>
      </c>
      <c r="N114" s="163" t="str">
        <f>Gloria!G114</f>
        <v/>
      </c>
      <c r="O114" s="165" t="str">
        <f>Gloria!H114</f>
        <v/>
      </c>
      <c r="P114" s="164" t="str">
        <f>'Закупка'!K114</f>
        <v/>
      </c>
      <c r="Q114" s="163" t="str">
        <f>Blau!G114</f>
        <v/>
      </c>
      <c r="R114" s="165" t="str">
        <f>Blau!H114</f>
        <v/>
      </c>
      <c r="S114" s="166" t="str">
        <f>'Закупка'!E114</f>
        <v/>
      </c>
      <c r="T114" s="166" t="str">
        <f t="shared" si="1"/>
        <v/>
      </c>
      <c r="U114" s="34" t="str">
        <f>'Закупка'!F114</f>
        <v/>
      </c>
      <c r="V114" s="167" t="str">
        <f>'Закупка'!O114</f>
        <v/>
      </c>
      <c r="W114" s="167" t="str">
        <f t="shared" si="2"/>
        <v/>
      </c>
      <c r="X114" s="168"/>
      <c r="Y114" s="169" t="str">
        <f>'Закупка'!P114</f>
        <v/>
      </c>
      <c r="Z114" s="170" t="str">
        <f>'Закупка'!Q114</f>
        <v/>
      </c>
      <c r="AA114" s="171" t="str">
        <f>'Закупка'!R114</f>
        <v/>
      </c>
      <c r="AB114" s="172" t="str">
        <f>'Закупка'!T114</f>
        <v/>
      </c>
      <c r="AC114" s="173" t="str">
        <f>'Закупка'!S114</f>
        <v/>
      </c>
      <c r="AD114" s="174" t="str">
        <f>'Закупка'!W114</f>
        <v/>
      </c>
      <c r="AE114" s="87" t="str">
        <f>'Закупка'!Y114</f>
        <v/>
      </c>
    </row>
    <row r="115">
      <c r="A115" s="98" t="str">
        <f>'Закупка'!A115</f>
        <v/>
      </c>
      <c r="B115" s="81" t="str">
        <f>'Закупка'!B115</f>
        <v/>
      </c>
      <c r="C115" s="163" t="str">
        <f>'Закупка'!L115</f>
        <v/>
      </c>
      <c r="D115" s="164" t="str">
        <f>'Закупка'!G115</f>
        <v/>
      </c>
      <c r="E115" s="163" t="str">
        <f>Muntaner!G115</f>
        <v/>
      </c>
      <c r="F115" s="165" t="str">
        <f>Muntaner!H115</f>
        <v/>
      </c>
      <c r="G115" s="164" t="str">
        <f>'Закупка'!H115</f>
        <v/>
      </c>
      <c r="H115" s="163" t="str">
        <f>Plaza!G115</f>
        <v/>
      </c>
      <c r="I115" s="165" t="str">
        <f>Plaza!H115</f>
        <v/>
      </c>
      <c r="J115" s="164" t="str">
        <f>'Закупка'!I115</f>
        <v/>
      </c>
      <c r="K115" s="163" t="str">
        <f>Augusta!G115</f>
        <v/>
      </c>
      <c r="L115" s="165" t="str">
        <f>Augusta!H115</f>
        <v/>
      </c>
      <c r="M115" s="164" t="str">
        <f>'Закупка'!J115</f>
        <v/>
      </c>
      <c r="N115" s="163" t="str">
        <f>Gloria!G115</f>
        <v/>
      </c>
      <c r="O115" s="165" t="str">
        <f>Gloria!H115</f>
        <v/>
      </c>
      <c r="P115" s="164" t="str">
        <f>'Закупка'!K115</f>
        <v/>
      </c>
      <c r="Q115" s="163" t="str">
        <f>Blau!G115</f>
        <v/>
      </c>
      <c r="R115" s="165" t="str">
        <f>Blau!H115</f>
        <v/>
      </c>
      <c r="S115" s="166" t="str">
        <f>'Закупка'!E115</f>
        <v/>
      </c>
      <c r="T115" s="166" t="str">
        <f t="shared" si="1"/>
        <v/>
      </c>
      <c r="U115" s="34" t="str">
        <f>'Закупка'!F115</f>
        <v/>
      </c>
      <c r="V115" s="167" t="str">
        <f>'Закупка'!O115</f>
        <v/>
      </c>
      <c r="W115" s="167" t="str">
        <f t="shared" si="2"/>
        <v/>
      </c>
      <c r="X115" s="168"/>
      <c r="Y115" s="169" t="str">
        <f>'Закупка'!P115</f>
        <v/>
      </c>
      <c r="Z115" s="170" t="str">
        <f>'Закупка'!Q115</f>
        <v/>
      </c>
      <c r="AA115" s="171" t="str">
        <f>'Закупка'!R115</f>
        <v/>
      </c>
      <c r="AB115" s="172" t="str">
        <f>'Закупка'!T115</f>
        <v/>
      </c>
      <c r="AC115" s="173" t="str">
        <f>'Закупка'!S115</f>
        <v/>
      </c>
      <c r="AD115" s="174" t="str">
        <f>'Закупка'!W115</f>
        <v/>
      </c>
      <c r="AE115" s="87" t="str">
        <f>'Закупка'!Y115</f>
        <v/>
      </c>
    </row>
    <row r="116">
      <c r="A116" s="98" t="str">
        <f>'Закупка'!A116</f>
        <v/>
      </c>
      <c r="B116" s="81" t="str">
        <f>'Закупка'!B116</f>
        <v/>
      </c>
      <c r="C116" s="163" t="str">
        <f>'Закупка'!L116</f>
        <v/>
      </c>
      <c r="D116" s="164" t="str">
        <f>'Закупка'!G116</f>
        <v/>
      </c>
      <c r="E116" s="163" t="str">
        <f>Muntaner!G116</f>
        <v/>
      </c>
      <c r="F116" s="165" t="str">
        <f>Muntaner!H116</f>
        <v/>
      </c>
      <c r="G116" s="164" t="str">
        <f>'Закупка'!H116</f>
        <v/>
      </c>
      <c r="H116" s="163" t="str">
        <f>Plaza!G116</f>
        <v/>
      </c>
      <c r="I116" s="165" t="str">
        <f>Plaza!H116</f>
        <v/>
      </c>
      <c r="J116" s="164" t="str">
        <f>'Закупка'!I116</f>
        <v/>
      </c>
      <c r="K116" s="163" t="str">
        <f>Augusta!G116</f>
        <v/>
      </c>
      <c r="L116" s="165" t="str">
        <f>Augusta!H116</f>
        <v/>
      </c>
      <c r="M116" s="164" t="str">
        <f>'Закупка'!J116</f>
        <v/>
      </c>
      <c r="N116" s="163" t="str">
        <f>Gloria!G116</f>
        <v/>
      </c>
      <c r="O116" s="165" t="str">
        <f>Gloria!H116</f>
        <v/>
      </c>
      <c r="P116" s="164" t="str">
        <f>'Закупка'!K116</f>
        <v/>
      </c>
      <c r="Q116" s="163" t="str">
        <f>Blau!G116</f>
        <v/>
      </c>
      <c r="R116" s="165" t="str">
        <f>Blau!H116</f>
        <v/>
      </c>
      <c r="S116" s="166" t="str">
        <f>'Закупка'!E116</f>
        <v/>
      </c>
      <c r="T116" s="166" t="str">
        <f t="shared" si="1"/>
        <v/>
      </c>
      <c r="U116" s="34" t="str">
        <f>'Закупка'!F116</f>
        <v/>
      </c>
      <c r="V116" s="167" t="str">
        <f>'Закупка'!O116</f>
        <v/>
      </c>
      <c r="W116" s="167" t="str">
        <f t="shared" si="2"/>
        <v/>
      </c>
      <c r="X116" s="168"/>
      <c r="Y116" s="169" t="str">
        <f>'Закупка'!P116</f>
        <v/>
      </c>
      <c r="Z116" s="170" t="str">
        <f>'Закупка'!Q116</f>
        <v/>
      </c>
      <c r="AA116" s="171" t="str">
        <f>'Закупка'!R116</f>
        <v/>
      </c>
      <c r="AB116" s="172" t="str">
        <f>'Закупка'!T116</f>
        <v/>
      </c>
      <c r="AC116" s="173" t="str">
        <f>'Закупка'!S116</f>
        <v/>
      </c>
      <c r="AD116" s="174" t="str">
        <f>'Закупка'!W116</f>
        <v/>
      </c>
      <c r="AE116" s="87" t="str">
        <f>'Закупка'!Y116</f>
        <v/>
      </c>
    </row>
    <row r="117">
      <c r="A117" s="98" t="str">
        <f>'Закупка'!A117</f>
        <v/>
      </c>
      <c r="B117" s="81" t="str">
        <f>'Закупка'!B117</f>
        <v/>
      </c>
      <c r="C117" s="163" t="str">
        <f>'Закупка'!L117</f>
        <v/>
      </c>
      <c r="D117" s="164" t="str">
        <f>'Закупка'!G117</f>
        <v/>
      </c>
      <c r="E117" s="163" t="str">
        <f>Muntaner!G117</f>
        <v/>
      </c>
      <c r="F117" s="165" t="str">
        <f>Muntaner!H117</f>
        <v/>
      </c>
      <c r="G117" s="164" t="str">
        <f>'Закупка'!H117</f>
        <v/>
      </c>
      <c r="H117" s="163" t="str">
        <f>Plaza!G117</f>
        <v/>
      </c>
      <c r="I117" s="165" t="str">
        <f>Plaza!H117</f>
        <v/>
      </c>
      <c r="J117" s="164" t="str">
        <f>'Закупка'!I117</f>
        <v/>
      </c>
      <c r="K117" s="163" t="str">
        <f>Augusta!G117</f>
        <v/>
      </c>
      <c r="L117" s="165" t="str">
        <f>Augusta!H117</f>
        <v/>
      </c>
      <c r="M117" s="164" t="str">
        <f>'Закупка'!J117</f>
        <v/>
      </c>
      <c r="N117" s="163" t="str">
        <f>Gloria!G117</f>
        <v/>
      </c>
      <c r="O117" s="165" t="str">
        <f>Gloria!H117</f>
        <v/>
      </c>
      <c r="P117" s="164" t="str">
        <f>'Закупка'!K117</f>
        <v/>
      </c>
      <c r="Q117" s="163" t="str">
        <f>Blau!G117</f>
        <v/>
      </c>
      <c r="R117" s="165" t="str">
        <f>Blau!H117</f>
        <v/>
      </c>
      <c r="S117" s="166" t="str">
        <f>'Закупка'!E117</f>
        <v/>
      </c>
      <c r="T117" s="166" t="str">
        <f t="shared" si="1"/>
        <v/>
      </c>
      <c r="U117" s="34" t="str">
        <f>'Закупка'!F117</f>
        <v/>
      </c>
      <c r="V117" s="167" t="str">
        <f>'Закупка'!O117</f>
        <v/>
      </c>
      <c r="W117" s="167" t="str">
        <f t="shared" si="2"/>
        <v/>
      </c>
      <c r="X117" s="168"/>
      <c r="Y117" s="169" t="str">
        <f>'Закупка'!P117</f>
        <v/>
      </c>
      <c r="Z117" s="170" t="str">
        <f>'Закупка'!Q117</f>
        <v/>
      </c>
      <c r="AA117" s="171" t="str">
        <f>'Закупка'!R117</f>
        <v/>
      </c>
      <c r="AB117" s="172" t="str">
        <f>'Закупка'!T117</f>
        <v/>
      </c>
      <c r="AC117" s="173" t="str">
        <f>'Закупка'!S117</f>
        <v/>
      </c>
      <c r="AD117" s="174" t="str">
        <f>'Закупка'!W117</f>
        <v/>
      </c>
      <c r="AE117" s="87" t="str">
        <f>'Закупка'!Y117</f>
        <v/>
      </c>
    </row>
    <row r="118">
      <c r="A118" s="98" t="str">
        <f>'Закупка'!A118</f>
        <v/>
      </c>
      <c r="B118" s="81" t="str">
        <f>'Закупка'!B118</f>
        <v/>
      </c>
      <c r="C118" s="163" t="str">
        <f>'Закупка'!L118</f>
        <v/>
      </c>
      <c r="D118" s="164" t="str">
        <f>'Закупка'!G118</f>
        <v/>
      </c>
      <c r="E118" s="163" t="str">
        <f>Muntaner!G118</f>
        <v/>
      </c>
      <c r="F118" s="165" t="str">
        <f>Muntaner!H118</f>
        <v/>
      </c>
      <c r="G118" s="164" t="str">
        <f>'Закупка'!H118</f>
        <v/>
      </c>
      <c r="H118" s="163" t="str">
        <f>Plaza!G118</f>
        <v/>
      </c>
      <c r="I118" s="165" t="str">
        <f>Plaza!H118</f>
        <v/>
      </c>
      <c r="J118" s="164" t="str">
        <f>'Закупка'!I118</f>
        <v/>
      </c>
      <c r="K118" s="163" t="str">
        <f>Augusta!G118</f>
        <v/>
      </c>
      <c r="L118" s="165" t="str">
        <f>Augusta!H118</f>
        <v/>
      </c>
      <c r="M118" s="164" t="str">
        <f>'Закупка'!J118</f>
        <v/>
      </c>
      <c r="N118" s="163" t="str">
        <f>Gloria!G118</f>
        <v/>
      </c>
      <c r="O118" s="165" t="str">
        <f>Gloria!H118</f>
        <v/>
      </c>
      <c r="P118" s="164" t="str">
        <f>'Закупка'!K118</f>
        <v/>
      </c>
      <c r="Q118" s="163" t="str">
        <f>Blau!G118</f>
        <v/>
      </c>
      <c r="R118" s="165" t="str">
        <f>Blau!H118</f>
        <v/>
      </c>
      <c r="S118" s="166" t="str">
        <f>'Закупка'!E118</f>
        <v/>
      </c>
      <c r="T118" s="166" t="str">
        <f t="shared" si="1"/>
        <v/>
      </c>
      <c r="U118" s="34" t="str">
        <f>'Закупка'!F118</f>
        <v/>
      </c>
      <c r="V118" s="167" t="str">
        <f>'Закупка'!O118</f>
        <v/>
      </c>
      <c r="W118" s="167" t="str">
        <f t="shared" si="2"/>
        <v/>
      </c>
      <c r="X118" s="168"/>
      <c r="Y118" s="169" t="str">
        <f>'Закупка'!P118</f>
        <v/>
      </c>
      <c r="Z118" s="170" t="str">
        <f>'Закупка'!Q118</f>
        <v/>
      </c>
      <c r="AA118" s="171" t="str">
        <f>'Закупка'!R118</f>
        <v/>
      </c>
      <c r="AB118" s="172" t="str">
        <f>'Закупка'!T118</f>
        <v/>
      </c>
      <c r="AC118" s="173" t="str">
        <f>'Закупка'!S118</f>
        <v/>
      </c>
      <c r="AD118" s="174" t="str">
        <f>'Закупка'!W118</f>
        <v/>
      </c>
      <c r="AE118" s="87" t="str">
        <f>'Закупка'!Y118</f>
        <v/>
      </c>
    </row>
    <row r="119">
      <c r="A119" s="98" t="str">
        <f>'Закупка'!A119</f>
        <v/>
      </c>
      <c r="B119" s="81" t="str">
        <f>'Закупка'!B119</f>
        <v/>
      </c>
      <c r="C119" s="163" t="str">
        <f>'Закупка'!L119</f>
        <v/>
      </c>
      <c r="D119" s="164" t="str">
        <f>'Закупка'!G119</f>
        <v/>
      </c>
      <c r="E119" s="163" t="str">
        <f>Muntaner!G119</f>
        <v/>
      </c>
      <c r="F119" s="165" t="str">
        <f>Muntaner!H119</f>
        <v/>
      </c>
      <c r="G119" s="164" t="str">
        <f>'Закупка'!H119</f>
        <v/>
      </c>
      <c r="H119" s="163" t="str">
        <f>Plaza!G119</f>
        <v/>
      </c>
      <c r="I119" s="165" t="str">
        <f>Plaza!H119</f>
        <v/>
      </c>
      <c r="J119" s="164" t="str">
        <f>'Закупка'!I119</f>
        <v/>
      </c>
      <c r="K119" s="163" t="str">
        <f>Augusta!G119</f>
        <v/>
      </c>
      <c r="L119" s="165" t="str">
        <f>Augusta!H119</f>
        <v/>
      </c>
      <c r="M119" s="164" t="str">
        <f>'Закупка'!J119</f>
        <v/>
      </c>
      <c r="N119" s="163" t="str">
        <f>Gloria!G119</f>
        <v/>
      </c>
      <c r="O119" s="165" t="str">
        <f>Gloria!H119</f>
        <v/>
      </c>
      <c r="P119" s="164" t="str">
        <f>'Закупка'!K119</f>
        <v/>
      </c>
      <c r="Q119" s="163" t="str">
        <f>Blau!G119</f>
        <v/>
      </c>
      <c r="R119" s="165" t="str">
        <f>Blau!H119</f>
        <v/>
      </c>
      <c r="S119" s="166" t="str">
        <f>'Закупка'!E119</f>
        <v/>
      </c>
      <c r="T119" s="166" t="str">
        <f t="shared" si="1"/>
        <v/>
      </c>
      <c r="U119" s="34" t="str">
        <f>'Закупка'!F119</f>
        <v/>
      </c>
      <c r="V119" s="167" t="str">
        <f>'Закупка'!O119</f>
        <v/>
      </c>
      <c r="W119" s="167" t="str">
        <f t="shared" si="2"/>
        <v/>
      </c>
      <c r="X119" s="168"/>
      <c r="Y119" s="169" t="str">
        <f>'Закупка'!P119</f>
        <v/>
      </c>
      <c r="Z119" s="170" t="str">
        <f>'Закупка'!Q119</f>
        <v/>
      </c>
      <c r="AA119" s="171" t="str">
        <f>'Закупка'!R119</f>
        <v/>
      </c>
      <c r="AB119" s="172" t="str">
        <f>'Закупка'!T119</f>
        <v/>
      </c>
      <c r="AC119" s="173" t="str">
        <f>'Закупка'!S119</f>
        <v/>
      </c>
      <c r="AD119" s="174" t="str">
        <f>'Закупка'!W119</f>
        <v/>
      </c>
      <c r="AE119" s="87" t="str">
        <f>'Закупка'!Y119</f>
        <v/>
      </c>
    </row>
    <row r="120">
      <c r="A120" s="98" t="str">
        <f>'Закупка'!A120</f>
        <v/>
      </c>
      <c r="B120" s="81" t="str">
        <f>'Закупка'!B120</f>
        <v/>
      </c>
      <c r="C120" s="163" t="str">
        <f>'Закупка'!L120</f>
        <v/>
      </c>
      <c r="D120" s="164" t="str">
        <f>'Закупка'!G120</f>
        <v/>
      </c>
      <c r="E120" s="163" t="str">
        <f>Muntaner!G120</f>
        <v/>
      </c>
      <c r="F120" s="165" t="str">
        <f>Muntaner!H120</f>
        <v/>
      </c>
      <c r="G120" s="164" t="str">
        <f>'Закупка'!H120</f>
        <v/>
      </c>
      <c r="H120" s="163" t="str">
        <f>Plaza!G120</f>
        <v/>
      </c>
      <c r="I120" s="165" t="str">
        <f>Plaza!H120</f>
        <v/>
      </c>
      <c r="J120" s="164" t="str">
        <f>'Закупка'!I120</f>
        <v/>
      </c>
      <c r="K120" s="163" t="str">
        <f>Augusta!G120</f>
        <v/>
      </c>
      <c r="L120" s="165" t="str">
        <f>Augusta!H120</f>
        <v/>
      </c>
      <c r="M120" s="164" t="str">
        <f>'Закупка'!J120</f>
        <v/>
      </c>
      <c r="N120" s="163" t="str">
        <f>Gloria!G120</f>
        <v/>
      </c>
      <c r="O120" s="165" t="str">
        <f>Gloria!H120</f>
        <v/>
      </c>
      <c r="P120" s="164" t="str">
        <f>'Закупка'!K120</f>
        <v/>
      </c>
      <c r="Q120" s="163" t="str">
        <f>Blau!G120</f>
        <v/>
      </c>
      <c r="R120" s="165" t="str">
        <f>Blau!H120</f>
        <v/>
      </c>
      <c r="S120" s="166" t="str">
        <f>'Закупка'!E120</f>
        <v/>
      </c>
      <c r="T120" s="166" t="str">
        <f t="shared" si="1"/>
        <v/>
      </c>
      <c r="U120" s="34" t="str">
        <f>'Закупка'!F120</f>
        <v/>
      </c>
      <c r="V120" s="167" t="str">
        <f>'Закупка'!O120</f>
        <v/>
      </c>
      <c r="W120" s="167" t="str">
        <f t="shared" si="2"/>
        <v/>
      </c>
      <c r="X120" s="168"/>
      <c r="Y120" s="169" t="str">
        <f>'Закупка'!P120</f>
        <v/>
      </c>
      <c r="Z120" s="170" t="str">
        <f>'Закупка'!Q120</f>
        <v/>
      </c>
      <c r="AA120" s="171" t="str">
        <f>'Закупка'!R120</f>
        <v/>
      </c>
      <c r="AB120" s="172" t="str">
        <f>'Закупка'!T120</f>
        <v/>
      </c>
      <c r="AC120" s="173" t="str">
        <f>'Закупка'!S120</f>
        <v/>
      </c>
      <c r="AD120" s="174" t="str">
        <f>'Закупка'!W120</f>
        <v/>
      </c>
      <c r="AE120" s="87" t="str">
        <f>'Закупка'!Y120</f>
        <v/>
      </c>
    </row>
    <row r="121">
      <c r="A121" s="98" t="str">
        <f>'Закупка'!A121</f>
        <v/>
      </c>
      <c r="B121" s="81" t="str">
        <f>'Закупка'!B121</f>
        <v/>
      </c>
      <c r="C121" s="163" t="str">
        <f>'Закупка'!L121</f>
        <v/>
      </c>
      <c r="D121" s="164" t="str">
        <f>'Закупка'!G121</f>
        <v/>
      </c>
      <c r="E121" s="163" t="str">
        <f>Muntaner!G121</f>
        <v/>
      </c>
      <c r="F121" s="165" t="str">
        <f>Muntaner!H121</f>
        <v/>
      </c>
      <c r="G121" s="164" t="str">
        <f>'Закупка'!H121</f>
        <v/>
      </c>
      <c r="H121" s="163" t="str">
        <f>Plaza!G121</f>
        <v/>
      </c>
      <c r="I121" s="165" t="str">
        <f>Plaza!H121</f>
        <v/>
      </c>
      <c r="J121" s="164" t="str">
        <f>'Закупка'!I121</f>
        <v/>
      </c>
      <c r="K121" s="163" t="str">
        <f>Augusta!G121</f>
        <v/>
      </c>
      <c r="L121" s="165" t="str">
        <f>Augusta!H121</f>
        <v/>
      </c>
      <c r="M121" s="164" t="str">
        <f>'Закупка'!J121</f>
        <v/>
      </c>
      <c r="N121" s="163" t="str">
        <f>Gloria!G121</f>
        <v/>
      </c>
      <c r="O121" s="165" t="str">
        <f>Gloria!H121</f>
        <v/>
      </c>
      <c r="P121" s="164" t="str">
        <f>'Закупка'!K121</f>
        <v/>
      </c>
      <c r="Q121" s="163" t="str">
        <f>Blau!G121</f>
        <v/>
      </c>
      <c r="R121" s="165" t="str">
        <f>Blau!H121</f>
        <v/>
      </c>
      <c r="S121" s="166" t="str">
        <f>'Закупка'!E121</f>
        <v/>
      </c>
      <c r="T121" s="166" t="str">
        <f t="shared" si="1"/>
        <v/>
      </c>
      <c r="U121" s="34" t="str">
        <f>'Закупка'!F121</f>
        <v/>
      </c>
      <c r="V121" s="167" t="str">
        <f>'Закупка'!O121</f>
        <v/>
      </c>
      <c r="W121" s="167" t="str">
        <f t="shared" si="2"/>
        <v/>
      </c>
      <c r="X121" s="168"/>
      <c r="Y121" s="169" t="str">
        <f>'Закупка'!P121</f>
        <v/>
      </c>
      <c r="Z121" s="170" t="str">
        <f>'Закупка'!Q121</f>
        <v/>
      </c>
      <c r="AA121" s="171" t="str">
        <f>'Закупка'!R121</f>
        <v/>
      </c>
      <c r="AB121" s="172" t="str">
        <f>'Закупка'!T121</f>
        <v/>
      </c>
      <c r="AC121" s="173" t="str">
        <f>'Закупка'!S121</f>
        <v/>
      </c>
      <c r="AD121" s="174" t="str">
        <f>'Закупка'!W121</f>
        <v/>
      </c>
      <c r="AE121" s="87" t="str">
        <f>'Закупка'!Y121</f>
        <v/>
      </c>
    </row>
    <row r="122">
      <c r="A122" s="98" t="str">
        <f>'Закупка'!A122</f>
        <v/>
      </c>
      <c r="B122" s="81" t="str">
        <f>'Закупка'!B122</f>
        <v/>
      </c>
      <c r="C122" s="163" t="str">
        <f>'Закупка'!L122</f>
        <v/>
      </c>
      <c r="D122" s="164" t="str">
        <f>'Закупка'!G122</f>
        <v/>
      </c>
      <c r="E122" s="163" t="str">
        <f>Muntaner!G122</f>
        <v/>
      </c>
      <c r="F122" s="165" t="str">
        <f>Muntaner!H122</f>
        <v/>
      </c>
      <c r="G122" s="164" t="str">
        <f>'Закупка'!H122</f>
        <v/>
      </c>
      <c r="H122" s="163" t="str">
        <f>Plaza!G122</f>
        <v/>
      </c>
      <c r="I122" s="165" t="str">
        <f>Plaza!H122</f>
        <v/>
      </c>
      <c r="J122" s="164" t="str">
        <f>'Закупка'!I122</f>
        <v/>
      </c>
      <c r="K122" s="163" t="str">
        <f>Augusta!G122</f>
        <v/>
      </c>
      <c r="L122" s="165" t="str">
        <f>Augusta!H122</f>
        <v/>
      </c>
      <c r="M122" s="164" t="str">
        <f>'Закупка'!J122</f>
        <v/>
      </c>
      <c r="N122" s="163" t="str">
        <f>Gloria!G122</f>
        <v/>
      </c>
      <c r="O122" s="165" t="str">
        <f>Gloria!H122</f>
        <v/>
      </c>
      <c r="P122" s="164" t="str">
        <f>'Закупка'!K122</f>
        <v/>
      </c>
      <c r="Q122" s="163" t="str">
        <f>Blau!G122</f>
        <v/>
      </c>
      <c r="R122" s="165" t="str">
        <f>Blau!H122</f>
        <v/>
      </c>
      <c r="S122" s="166" t="str">
        <f>'Закупка'!E122</f>
        <v/>
      </c>
      <c r="T122" s="166" t="str">
        <f t="shared" si="1"/>
        <v/>
      </c>
      <c r="U122" s="34" t="str">
        <f>'Закупка'!F122</f>
        <v/>
      </c>
      <c r="V122" s="167" t="str">
        <f>'Закупка'!O122</f>
        <v/>
      </c>
      <c r="W122" s="167" t="str">
        <f t="shared" si="2"/>
        <v/>
      </c>
      <c r="X122" s="168"/>
      <c r="Y122" s="169" t="str">
        <f>'Закупка'!P122</f>
        <v/>
      </c>
      <c r="Z122" s="170" t="str">
        <f>'Закупка'!Q122</f>
        <v/>
      </c>
      <c r="AA122" s="171" t="str">
        <f>'Закупка'!R122</f>
        <v/>
      </c>
      <c r="AB122" s="172" t="str">
        <f>'Закупка'!T122</f>
        <v/>
      </c>
      <c r="AC122" s="173" t="str">
        <f>'Закупка'!S122</f>
        <v/>
      </c>
      <c r="AD122" s="174" t="str">
        <f>'Закупка'!W122</f>
        <v/>
      </c>
      <c r="AE122" s="87" t="str">
        <f>'Закупка'!Y122</f>
        <v/>
      </c>
    </row>
    <row r="123">
      <c r="A123" s="98" t="str">
        <f>'Закупка'!A123</f>
        <v/>
      </c>
      <c r="B123" s="81" t="str">
        <f>'Закупка'!B123</f>
        <v/>
      </c>
      <c r="C123" s="163" t="str">
        <f>'Закупка'!L123</f>
        <v/>
      </c>
      <c r="D123" s="164" t="str">
        <f>'Закупка'!G123</f>
        <v/>
      </c>
      <c r="E123" s="163" t="str">
        <f>Muntaner!G123</f>
        <v/>
      </c>
      <c r="F123" s="165" t="str">
        <f>Muntaner!H123</f>
        <v/>
      </c>
      <c r="G123" s="164" t="str">
        <f>'Закупка'!H123</f>
        <v/>
      </c>
      <c r="H123" s="163" t="str">
        <f>Plaza!G123</f>
        <v/>
      </c>
      <c r="I123" s="165" t="str">
        <f>Plaza!H123</f>
        <v/>
      </c>
      <c r="J123" s="164" t="str">
        <f>'Закупка'!I123</f>
        <v/>
      </c>
      <c r="K123" s="163" t="str">
        <f>Augusta!G123</f>
        <v/>
      </c>
      <c r="L123" s="165" t="str">
        <f>Augusta!H123</f>
        <v/>
      </c>
      <c r="M123" s="164" t="str">
        <f>'Закупка'!J123</f>
        <v/>
      </c>
      <c r="N123" s="163" t="str">
        <f>Gloria!G123</f>
        <v/>
      </c>
      <c r="O123" s="165" t="str">
        <f>Gloria!H123</f>
        <v/>
      </c>
      <c r="P123" s="164" t="str">
        <f>'Закупка'!K123</f>
        <v/>
      </c>
      <c r="Q123" s="163" t="str">
        <f>Blau!G123</f>
        <v/>
      </c>
      <c r="R123" s="165" t="str">
        <f>Blau!H123</f>
        <v/>
      </c>
      <c r="S123" s="166" t="str">
        <f>'Закупка'!E123</f>
        <v/>
      </c>
      <c r="T123" s="166" t="str">
        <f t="shared" si="1"/>
        <v/>
      </c>
      <c r="U123" s="34" t="str">
        <f>'Закупка'!F123</f>
        <v/>
      </c>
      <c r="V123" s="167" t="str">
        <f>'Закупка'!O123</f>
        <v/>
      </c>
      <c r="W123" s="167" t="str">
        <f t="shared" si="2"/>
        <v/>
      </c>
      <c r="X123" s="168"/>
      <c r="Y123" s="169" t="str">
        <f>'Закупка'!P123</f>
        <v/>
      </c>
      <c r="Z123" s="170" t="str">
        <f>'Закупка'!Q123</f>
        <v/>
      </c>
      <c r="AA123" s="171" t="str">
        <f>'Закупка'!R123</f>
        <v/>
      </c>
      <c r="AB123" s="172" t="str">
        <f>'Закупка'!T123</f>
        <v/>
      </c>
      <c r="AC123" s="173" t="str">
        <f>'Закупка'!S123</f>
        <v/>
      </c>
      <c r="AD123" s="174" t="str">
        <f>'Закупка'!W123</f>
        <v/>
      </c>
      <c r="AE123" s="87" t="str">
        <f>'Закупка'!Y123</f>
        <v/>
      </c>
    </row>
    <row r="124">
      <c r="A124" s="98" t="str">
        <f>'Закупка'!A124</f>
        <v/>
      </c>
      <c r="B124" s="81" t="str">
        <f>'Закупка'!B124</f>
        <v/>
      </c>
      <c r="C124" s="163" t="str">
        <f>'Закупка'!L124</f>
        <v/>
      </c>
      <c r="D124" s="164" t="str">
        <f>'Закупка'!G124</f>
        <v/>
      </c>
      <c r="E124" s="163" t="str">
        <f>Muntaner!G124</f>
        <v/>
      </c>
      <c r="F124" s="165" t="str">
        <f>Muntaner!H124</f>
        <v/>
      </c>
      <c r="G124" s="164" t="str">
        <f>'Закупка'!H124</f>
        <v/>
      </c>
      <c r="H124" s="163" t="str">
        <f>Plaza!G124</f>
        <v/>
      </c>
      <c r="I124" s="165" t="str">
        <f>Plaza!H124</f>
        <v/>
      </c>
      <c r="J124" s="164" t="str">
        <f>'Закупка'!I124</f>
        <v/>
      </c>
      <c r="K124" s="163" t="str">
        <f>Augusta!G124</f>
        <v/>
      </c>
      <c r="L124" s="165" t="str">
        <f>Augusta!H124</f>
        <v/>
      </c>
      <c r="M124" s="164" t="str">
        <f>'Закупка'!J124</f>
        <v/>
      </c>
      <c r="N124" s="163" t="str">
        <f>Gloria!G124</f>
        <v/>
      </c>
      <c r="O124" s="165" t="str">
        <f>Gloria!H124</f>
        <v/>
      </c>
      <c r="P124" s="164" t="str">
        <f>'Закупка'!K124</f>
        <v/>
      </c>
      <c r="Q124" s="163" t="str">
        <f>Blau!G124</f>
        <v/>
      </c>
      <c r="R124" s="165" t="str">
        <f>Blau!H124</f>
        <v/>
      </c>
      <c r="S124" s="166" t="str">
        <f>'Закупка'!E124</f>
        <v/>
      </c>
      <c r="T124" s="166" t="str">
        <f t="shared" si="1"/>
        <v/>
      </c>
      <c r="U124" s="34" t="str">
        <f>'Закупка'!F124</f>
        <v/>
      </c>
      <c r="V124" s="167" t="str">
        <f>'Закупка'!O124</f>
        <v/>
      </c>
      <c r="W124" s="167" t="str">
        <f t="shared" si="2"/>
        <v/>
      </c>
      <c r="X124" s="168"/>
      <c r="Y124" s="169" t="str">
        <f>'Закупка'!P124</f>
        <v/>
      </c>
      <c r="Z124" s="170" t="str">
        <f>'Закупка'!Q124</f>
        <v/>
      </c>
      <c r="AA124" s="171" t="str">
        <f>'Закупка'!R124</f>
        <v/>
      </c>
      <c r="AB124" s="172" t="str">
        <f>'Закупка'!T124</f>
        <v/>
      </c>
      <c r="AC124" s="173" t="str">
        <f>'Закупка'!S124</f>
        <v/>
      </c>
      <c r="AD124" s="174" t="str">
        <f>'Закупка'!W124</f>
        <v/>
      </c>
      <c r="AE124" s="87" t="str">
        <f>'Закупка'!Y124</f>
        <v/>
      </c>
    </row>
    <row r="125">
      <c r="A125" s="98" t="str">
        <f>'Закупка'!A125</f>
        <v/>
      </c>
      <c r="B125" s="81" t="str">
        <f>'Закупка'!B125</f>
        <v/>
      </c>
      <c r="C125" s="163" t="str">
        <f>'Закупка'!L125</f>
        <v/>
      </c>
      <c r="D125" s="164" t="str">
        <f>'Закупка'!G125</f>
        <v/>
      </c>
      <c r="E125" s="163" t="str">
        <f>Muntaner!G125</f>
        <v/>
      </c>
      <c r="F125" s="165" t="str">
        <f>Muntaner!H125</f>
        <v/>
      </c>
      <c r="G125" s="164" t="str">
        <f>'Закупка'!H125</f>
        <v/>
      </c>
      <c r="H125" s="163" t="str">
        <f>Plaza!G125</f>
        <v/>
      </c>
      <c r="I125" s="165" t="str">
        <f>Plaza!H125</f>
        <v/>
      </c>
      <c r="J125" s="164" t="str">
        <f>'Закупка'!I125</f>
        <v/>
      </c>
      <c r="K125" s="163" t="str">
        <f>Augusta!G125</f>
        <v/>
      </c>
      <c r="L125" s="165" t="str">
        <f>Augusta!H125</f>
        <v/>
      </c>
      <c r="M125" s="164" t="str">
        <f>'Закупка'!J125</f>
        <v/>
      </c>
      <c r="N125" s="163" t="str">
        <f>Gloria!G125</f>
        <v/>
      </c>
      <c r="O125" s="165" t="str">
        <f>Gloria!H125</f>
        <v/>
      </c>
      <c r="P125" s="164" t="str">
        <f>'Закупка'!K125</f>
        <v/>
      </c>
      <c r="Q125" s="163" t="str">
        <f>Blau!G125</f>
        <v/>
      </c>
      <c r="R125" s="165" t="str">
        <f>Blau!H125</f>
        <v/>
      </c>
      <c r="S125" s="166" t="str">
        <f>'Закупка'!E125</f>
        <v/>
      </c>
      <c r="T125" s="166" t="str">
        <f t="shared" si="1"/>
        <v/>
      </c>
      <c r="U125" s="34" t="str">
        <f>'Закупка'!F125</f>
        <v/>
      </c>
      <c r="V125" s="167" t="str">
        <f>'Закупка'!O125</f>
        <v/>
      </c>
      <c r="W125" s="167" t="str">
        <f t="shared" si="2"/>
        <v/>
      </c>
      <c r="X125" s="168"/>
      <c r="Y125" s="169" t="str">
        <f>'Закупка'!P125</f>
        <v/>
      </c>
      <c r="Z125" s="170" t="str">
        <f>'Закупка'!Q125</f>
        <v/>
      </c>
      <c r="AA125" s="171" t="str">
        <f>'Закупка'!R125</f>
        <v/>
      </c>
      <c r="AB125" s="172" t="str">
        <f>'Закупка'!T125</f>
        <v/>
      </c>
      <c r="AC125" s="173" t="str">
        <f>'Закупка'!S125</f>
        <v/>
      </c>
      <c r="AD125" s="174" t="str">
        <f>'Закупка'!W125</f>
        <v/>
      </c>
      <c r="AE125" s="87" t="str">
        <f>'Закупка'!Y125</f>
        <v/>
      </c>
    </row>
    <row r="126">
      <c r="A126" s="98" t="str">
        <f>'Закупка'!A126</f>
        <v/>
      </c>
      <c r="B126" s="81" t="str">
        <f>'Закупка'!B126</f>
        <v/>
      </c>
      <c r="C126" s="163" t="str">
        <f>'Закупка'!L126</f>
        <v/>
      </c>
      <c r="D126" s="164" t="str">
        <f>'Закупка'!G126</f>
        <v/>
      </c>
      <c r="E126" s="163" t="str">
        <f>Muntaner!G126</f>
        <v/>
      </c>
      <c r="F126" s="165" t="str">
        <f>Muntaner!H126</f>
        <v/>
      </c>
      <c r="G126" s="164" t="str">
        <f>'Закупка'!H126</f>
        <v/>
      </c>
      <c r="H126" s="163" t="str">
        <f>Plaza!G126</f>
        <v/>
      </c>
      <c r="I126" s="165" t="str">
        <f>Plaza!H126</f>
        <v/>
      </c>
      <c r="J126" s="164" t="str">
        <f>'Закупка'!I126</f>
        <v/>
      </c>
      <c r="K126" s="163" t="str">
        <f>Augusta!G126</f>
        <v/>
      </c>
      <c r="L126" s="165" t="str">
        <f>Augusta!H126</f>
        <v/>
      </c>
      <c r="M126" s="164" t="str">
        <f>'Закупка'!J126</f>
        <v/>
      </c>
      <c r="N126" s="163" t="str">
        <f>Gloria!G126</f>
        <v/>
      </c>
      <c r="O126" s="165" t="str">
        <f>Gloria!H126</f>
        <v/>
      </c>
      <c r="P126" s="164" t="str">
        <f>'Закупка'!K126</f>
        <v/>
      </c>
      <c r="Q126" s="163" t="str">
        <f>Blau!G126</f>
        <v/>
      </c>
      <c r="R126" s="165" t="str">
        <f>Blau!H126</f>
        <v/>
      </c>
      <c r="S126" s="166" t="str">
        <f>'Закупка'!E126</f>
        <v/>
      </c>
      <c r="T126" s="166" t="str">
        <f t="shared" si="1"/>
        <v/>
      </c>
      <c r="U126" s="34" t="str">
        <f>'Закупка'!F126</f>
        <v/>
      </c>
      <c r="V126" s="167" t="str">
        <f>'Закупка'!O126</f>
        <v/>
      </c>
      <c r="W126" s="167" t="str">
        <f t="shared" si="2"/>
        <v/>
      </c>
      <c r="X126" s="168"/>
      <c r="Y126" s="169" t="str">
        <f>'Закупка'!P126</f>
        <v/>
      </c>
      <c r="Z126" s="170" t="str">
        <f>'Закупка'!Q126</f>
        <v/>
      </c>
      <c r="AA126" s="171" t="str">
        <f>'Закупка'!R126</f>
        <v/>
      </c>
      <c r="AB126" s="172" t="str">
        <f>'Закупка'!T126</f>
        <v/>
      </c>
      <c r="AC126" s="173" t="str">
        <f>'Закупка'!S126</f>
        <v/>
      </c>
      <c r="AD126" s="174" t="str">
        <f>'Закупка'!W126</f>
        <v/>
      </c>
      <c r="AE126" s="87" t="str">
        <f>'Закупка'!Y126</f>
        <v/>
      </c>
    </row>
    <row r="127">
      <c r="A127" s="98" t="str">
        <f>'Закупка'!A127</f>
        <v/>
      </c>
      <c r="B127" s="81" t="str">
        <f>'Закупка'!B127</f>
        <v/>
      </c>
      <c r="C127" s="163" t="str">
        <f>'Закупка'!L127</f>
        <v/>
      </c>
      <c r="D127" s="164" t="str">
        <f>'Закупка'!G127</f>
        <v/>
      </c>
      <c r="E127" s="163" t="str">
        <f>Muntaner!G127</f>
        <v/>
      </c>
      <c r="F127" s="165" t="str">
        <f>Muntaner!H127</f>
        <v/>
      </c>
      <c r="G127" s="164" t="str">
        <f>'Закупка'!H127</f>
        <v/>
      </c>
      <c r="H127" s="163" t="str">
        <f>Plaza!G127</f>
        <v/>
      </c>
      <c r="I127" s="165" t="str">
        <f>Plaza!H127</f>
        <v/>
      </c>
      <c r="J127" s="164" t="str">
        <f>'Закупка'!I127</f>
        <v/>
      </c>
      <c r="K127" s="163" t="str">
        <f>Augusta!G127</f>
        <v/>
      </c>
      <c r="L127" s="165" t="str">
        <f>Augusta!H127</f>
        <v/>
      </c>
      <c r="M127" s="164" t="str">
        <f>'Закупка'!J127</f>
        <v/>
      </c>
      <c r="N127" s="163" t="str">
        <f>Gloria!G127</f>
        <v/>
      </c>
      <c r="O127" s="165" t="str">
        <f>Gloria!H127</f>
        <v/>
      </c>
      <c r="P127" s="164" t="str">
        <f>'Закупка'!K127</f>
        <v/>
      </c>
      <c r="Q127" s="163" t="str">
        <f>Blau!G127</f>
        <v/>
      </c>
      <c r="R127" s="165" t="str">
        <f>Blau!H127</f>
        <v/>
      </c>
      <c r="S127" s="166" t="str">
        <f>'Закупка'!E127</f>
        <v/>
      </c>
      <c r="T127" s="166" t="str">
        <f t="shared" si="1"/>
        <v/>
      </c>
      <c r="U127" s="34" t="str">
        <f>'Закупка'!F127</f>
        <v/>
      </c>
      <c r="V127" s="167" t="str">
        <f>'Закупка'!O127</f>
        <v/>
      </c>
      <c r="W127" s="167" t="str">
        <f t="shared" si="2"/>
        <v/>
      </c>
      <c r="X127" s="168"/>
      <c r="Y127" s="169" t="str">
        <f>'Закупка'!P127</f>
        <v/>
      </c>
      <c r="Z127" s="170" t="str">
        <f>'Закупка'!Q127</f>
        <v/>
      </c>
      <c r="AA127" s="171" t="str">
        <f>'Закупка'!R127</f>
        <v/>
      </c>
      <c r="AB127" s="172" t="str">
        <f>'Закупка'!T127</f>
        <v/>
      </c>
      <c r="AC127" s="173" t="str">
        <f>'Закупка'!S127</f>
        <v/>
      </c>
      <c r="AD127" s="174" t="str">
        <f>'Закупка'!W127</f>
        <v/>
      </c>
      <c r="AE127" s="87" t="str">
        <f>'Закупка'!Y127</f>
        <v/>
      </c>
    </row>
    <row r="128">
      <c r="A128" s="98" t="str">
        <f>'Закупка'!A128</f>
        <v/>
      </c>
      <c r="B128" s="81" t="str">
        <f>'Закупка'!B128</f>
        <v/>
      </c>
      <c r="C128" s="163" t="str">
        <f>'Закупка'!L128</f>
        <v/>
      </c>
      <c r="D128" s="164" t="str">
        <f>'Закупка'!G128</f>
        <v/>
      </c>
      <c r="E128" s="163" t="str">
        <f>Muntaner!G128</f>
        <v/>
      </c>
      <c r="F128" s="165" t="str">
        <f>Muntaner!H128</f>
        <v/>
      </c>
      <c r="G128" s="164" t="str">
        <f>'Закупка'!H128</f>
        <v/>
      </c>
      <c r="H128" s="163" t="str">
        <f>Plaza!G128</f>
        <v/>
      </c>
      <c r="I128" s="165" t="str">
        <f>Plaza!H128</f>
        <v/>
      </c>
      <c r="J128" s="164" t="str">
        <f>'Закупка'!I128</f>
        <v/>
      </c>
      <c r="K128" s="163" t="str">
        <f>Augusta!G128</f>
        <v/>
      </c>
      <c r="L128" s="165" t="str">
        <f>Augusta!H128</f>
        <v/>
      </c>
      <c r="M128" s="164" t="str">
        <f>'Закупка'!J128</f>
        <v/>
      </c>
      <c r="N128" s="163" t="str">
        <f>Gloria!G128</f>
        <v/>
      </c>
      <c r="O128" s="165" t="str">
        <f>Gloria!H128</f>
        <v/>
      </c>
      <c r="P128" s="164" t="str">
        <f>'Закупка'!K128</f>
        <v/>
      </c>
      <c r="Q128" s="163" t="str">
        <f>Blau!G128</f>
        <v/>
      </c>
      <c r="R128" s="165" t="str">
        <f>Blau!H128</f>
        <v/>
      </c>
      <c r="S128" s="166" t="str">
        <f>'Закупка'!E128</f>
        <v/>
      </c>
      <c r="T128" s="166" t="str">
        <f t="shared" si="1"/>
        <v/>
      </c>
      <c r="U128" s="34" t="str">
        <f>'Закупка'!F128</f>
        <v/>
      </c>
      <c r="V128" s="167" t="str">
        <f>'Закупка'!O128</f>
        <v/>
      </c>
      <c r="W128" s="167" t="str">
        <f t="shared" si="2"/>
        <v/>
      </c>
      <c r="X128" s="168"/>
      <c r="Y128" s="169" t="str">
        <f>'Закупка'!P128</f>
        <v/>
      </c>
      <c r="Z128" s="170" t="str">
        <f>'Закупка'!Q128</f>
        <v/>
      </c>
      <c r="AA128" s="171" t="str">
        <f>'Закупка'!R128</f>
        <v/>
      </c>
      <c r="AB128" s="172" t="str">
        <f>'Закупка'!T128</f>
        <v/>
      </c>
      <c r="AC128" s="173" t="str">
        <f>'Закупка'!S128</f>
        <v/>
      </c>
      <c r="AD128" s="174" t="str">
        <f>'Закупка'!W128</f>
        <v/>
      </c>
      <c r="AE128" s="87" t="str">
        <f>'Закупка'!Y128</f>
        <v/>
      </c>
    </row>
    <row r="129">
      <c r="A129" s="98" t="str">
        <f>'Закупка'!A129</f>
        <v/>
      </c>
      <c r="B129" s="81" t="str">
        <f>'Закупка'!B129</f>
        <v/>
      </c>
      <c r="C129" s="163" t="str">
        <f>'Закупка'!L129</f>
        <v/>
      </c>
      <c r="D129" s="164" t="str">
        <f>'Закупка'!G129</f>
        <v/>
      </c>
      <c r="E129" s="163" t="str">
        <f>Muntaner!G129</f>
        <v/>
      </c>
      <c r="F129" s="165" t="str">
        <f>Muntaner!H129</f>
        <v/>
      </c>
      <c r="G129" s="164" t="str">
        <f>'Закупка'!H129</f>
        <v/>
      </c>
      <c r="H129" s="163" t="str">
        <f>Plaza!G129</f>
        <v/>
      </c>
      <c r="I129" s="165" t="str">
        <f>Plaza!H129</f>
        <v/>
      </c>
      <c r="J129" s="164" t="str">
        <f>'Закупка'!I129</f>
        <v/>
      </c>
      <c r="K129" s="163" t="str">
        <f>Augusta!G129</f>
        <v/>
      </c>
      <c r="L129" s="165" t="str">
        <f>Augusta!H129</f>
        <v/>
      </c>
      <c r="M129" s="164" t="str">
        <f>'Закупка'!J129</f>
        <v/>
      </c>
      <c r="N129" s="163" t="str">
        <f>Gloria!G129</f>
        <v/>
      </c>
      <c r="O129" s="165" t="str">
        <f>Gloria!H129</f>
        <v/>
      </c>
      <c r="P129" s="164" t="str">
        <f>'Закупка'!K129</f>
        <v/>
      </c>
      <c r="Q129" s="163" t="str">
        <f>Blau!G129</f>
        <v/>
      </c>
      <c r="R129" s="165" t="str">
        <f>Blau!H129</f>
        <v/>
      </c>
      <c r="S129" s="166" t="str">
        <f>'Закупка'!E129</f>
        <v/>
      </c>
      <c r="T129" s="166" t="str">
        <f t="shared" si="1"/>
        <v/>
      </c>
      <c r="U129" s="34" t="str">
        <f>'Закупка'!F129</f>
        <v/>
      </c>
      <c r="V129" s="167" t="str">
        <f>'Закупка'!O129</f>
        <v/>
      </c>
      <c r="W129" s="167" t="str">
        <f t="shared" si="2"/>
        <v/>
      </c>
      <c r="X129" s="168"/>
      <c r="Y129" s="169" t="str">
        <f>'Закупка'!P129</f>
        <v/>
      </c>
      <c r="Z129" s="170" t="str">
        <f>'Закупка'!Q129</f>
        <v/>
      </c>
      <c r="AA129" s="171" t="str">
        <f>'Закупка'!R129</f>
        <v/>
      </c>
      <c r="AB129" s="172" t="str">
        <f>'Закупка'!T129</f>
        <v/>
      </c>
      <c r="AC129" s="173" t="str">
        <f>'Закупка'!S129</f>
        <v/>
      </c>
      <c r="AD129" s="174" t="str">
        <f>'Закупка'!W129</f>
        <v/>
      </c>
      <c r="AE129" s="87" t="str">
        <f>'Закупка'!Y129</f>
        <v/>
      </c>
    </row>
    <row r="130">
      <c r="A130" s="98" t="str">
        <f>'Закупка'!A130</f>
        <v/>
      </c>
      <c r="B130" s="81" t="str">
        <f>'Закупка'!B130</f>
        <v/>
      </c>
      <c r="C130" s="163" t="str">
        <f>'Закупка'!L130</f>
        <v/>
      </c>
      <c r="D130" s="164" t="str">
        <f>'Закупка'!G130</f>
        <v/>
      </c>
      <c r="E130" s="163" t="str">
        <f>Muntaner!G130</f>
        <v/>
      </c>
      <c r="F130" s="165" t="str">
        <f>Muntaner!H130</f>
        <v/>
      </c>
      <c r="G130" s="164" t="str">
        <f>'Закупка'!H130</f>
        <v/>
      </c>
      <c r="H130" s="163" t="str">
        <f>Plaza!G130</f>
        <v/>
      </c>
      <c r="I130" s="165" t="str">
        <f>Plaza!H130</f>
        <v/>
      </c>
      <c r="J130" s="164" t="str">
        <f>'Закупка'!I130</f>
        <v/>
      </c>
      <c r="K130" s="163" t="str">
        <f>Augusta!G130</f>
        <v/>
      </c>
      <c r="L130" s="165" t="str">
        <f>Augusta!H130</f>
        <v/>
      </c>
      <c r="M130" s="164" t="str">
        <f>'Закупка'!J130</f>
        <v/>
      </c>
      <c r="N130" s="163" t="str">
        <f>Gloria!G130</f>
        <v/>
      </c>
      <c r="O130" s="165" t="str">
        <f>Gloria!H130</f>
        <v/>
      </c>
      <c r="P130" s="164" t="str">
        <f>'Закупка'!K130</f>
        <v/>
      </c>
      <c r="Q130" s="163" t="str">
        <f>Blau!G130</f>
        <v/>
      </c>
      <c r="R130" s="165" t="str">
        <f>Blau!H130</f>
        <v/>
      </c>
      <c r="S130" s="166" t="str">
        <f>'Закупка'!E130</f>
        <v/>
      </c>
      <c r="T130" s="166" t="str">
        <f t="shared" si="1"/>
        <v/>
      </c>
      <c r="U130" s="34" t="str">
        <f>'Закупка'!F130</f>
        <v/>
      </c>
      <c r="V130" s="167" t="str">
        <f>'Закупка'!O130</f>
        <v/>
      </c>
      <c r="W130" s="167" t="str">
        <f t="shared" si="2"/>
        <v/>
      </c>
      <c r="X130" s="168"/>
      <c r="Y130" s="169" t="str">
        <f>'Закупка'!P130</f>
        <v/>
      </c>
      <c r="Z130" s="170" t="str">
        <f>'Закупка'!Q130</f>
        <v/>
      </c>
      <c r="AA130" s="171" t="str">
        <f>'Закупка'!R130</f>
        <v/>
      </c>
      <c r="AB130" s="172" t="str">
        <f>'Закупка'!T130</f>
        <v/>
      </c>
      <c r="AC130" s="173" t="str">
        <f>'Закупка'!S130</f>
        <v/>
      </c>
      <c r="AD130" s="174" t="str">
        <f>'Закупка'!W130</f>
        <v/>
      </c>
      <c r="AE130" s="87" t="str">
        <f>'Закупка'!Y130</f>
        <v/>
      </c>
    </row>
    <row r="131">
      <c r="A131" s="98" t="str">
        <f>'Закупка'!A131</f>
        <v/>
      </c>
      <c r="B131" s="81" t="str">
        <f>'Закупка'!B131</f>
        <v/>
      </c>
      <c r="C131" s="163" t="str">
        <f>'Закупка'!L131</f>
        <v/>
      </c>
      <c r="D131" s="164" t="str">
        <f>'Закупка'!G131</f>
        <v/>
      </c>
      <c r="E131" s="163" t="str">
        <f>Muntaner!G131</f>
        <v/>
      </c>
      <c r="F131" s="165" t="str">
        <f>Muntaner!H131</f>
        <v/>
      </c>
      <c r="G131" s="164" t="str">
        <f>'Закупка'!H131</f>
        <v/>
      </c>
      <c r="H131" s="163" t="str">
        <f>Plaza!G131</f>
        <v/>
      </c>
      <c r="I131" s="165" t="str">
        <f>Plaza!H131</f>
        <v/>
      </c>
      <c r="J131" s="164" t="str">
        <f>'Закупка'!I131</f>
        <v/>
      </c>
      <c r="K131" s="163" t="str">
        <f>Augusta!G131</f>
        <v/>
      </c>
      <c r="L131" s="165" t="str">
        <f>Augusta!H131</f>
        <v/>
      </c>
      <c r="M131" s="164" t="str">
        <f>'Закупка'!J131</f>
        <v/>
      </c>
      <c r="N131" s="163" t="str">
        <f>Gloria!G131</f>
        <v/>
      </c>
      <c r="O131" s="165" t="str">
        <f>Gloria!H131</f>
        <v/>
      </c>
      <c r="P131" s="164" t="str">
        <f>'Закупка'!K131</f>
        <v/>
      </c>
      <c r="Q131" s="163" t="str">
        <f>Blau!G131</f>
        <v/>
      </c>
      <c r="R131" s="165" t="str">
        <f>Blau!H131</f>
        <v/>
      </c>
      <c r="S131" s="166" t="str">
        <f>'Закупка'!E131</f>
        <v/>
      </c>
      <c r="T131" s="166" t="str">
        <f t="shared" si="1"/>
        <v/>
      </c>
      <c r="U131" s="34" t="str">
        <f>'Закупка'!F131</f>
        <v/>
      </c>
      <c r="V131" s="167" t="str">
        <f>'Закупка'!O131</f>
        <v/>
      </c>
      <c r="W131" s="167" t="str">
        <f t="shared" si="2"/>
        <v/>
      </c>
      <c r="X131" s="168"/>
      <c r="Y131" s="169" t="str">
        <f>'Закупка'!P131</f>
        <v/>
      </c>
      <c r="Z131" s="170" t="str">
        <f>'Закупка'!Q131</f>
        <v/>
      </c>
      <c r="AA131" s="171" t="str">
        <f>'Закупка'!R131</f>
        <v/>
      </c>
      <c r="AB131" s="172" t="str">
        <f>'Закупка'!T131</f>
        <v/>
      </c>
      <c r="AC131" s="173" t="str">
        <f>'Закупка'!S131</f>
        <v/>
      </c>
      <c r="AD131" s="174" t="str">
        <f>'Закупка'!W131</f>
        <v/>
      </c>
      <c r="AE131" s="87" t="str">
        <f>'Закупка'!Y131</f>
        <v/>
      </c>
    </row>
    <row r="132">
      <c r="A132" s="98" t="str">
        <f>'Закупка'!A132</f>
        <v/>
      </c>
      <c r="B132" s="81" t="str">
        <f>'Закупка'!B132</f>
        <v/>
      </c>
      <c r="C132" s="163" t="str">
        <f>'Закупка'!L132</f>
        <v/>
      </c>
      <c r="D132" s="164" t="str">
        <f>'Закупка'!G132</f>
        <v/>
      </c>
      <c r="E132" s="163" t="str">
        <f>Muntaner!G132</f>
        <v/>
      </c>
      <c r="F132" s="165" t="str">
        <f>Muntaner!H132</f>
        <v/>
      </c>
      <c r="G132" s="164" t="str">
        <f>'Закупка'!H132</f>
        <v/>
      </c>
      <c r="H132" s="163" t="str">
        <f>Plaza!G132</f>
        <v/>
      </c>
      <c r="I132" s="165" t="str">
        <f>Plaza!H132</f>
        <v/>
      </c>
      <c r="J132" s="164" t="str">
        <f>'Закупка'!I132</f>
        <v/>
      </c>
      <c r="K132" s="163" t="str">
        <f>Augusta!G132</f>
        <v/>
      </c>
      <c r="L132" s="165" t="str">
        <f>Augusta!H132</f>
        <v/>
      </c>
      <c r="M132" s="164" t="str">
        <f>'Закупка'!J132</f>
        <v/>
      </c>
      <c r="N132" s="163" t="str">
        <f>Gloria!G132</f>
        <v/>
      </c>
      <c r="O132" s="165" t="str">
        <f>Gloria!H132</f>
        <v/>
      </c>
      <c r="P132" s="164" t="str">
        <f>'Закупка'!K132</f>
        <v/>
      </c>
      <c r="Q132" s="163" t="str">
        <f>Blau!G132</f>
        <v/>
      </c>
      <c r="R132" s="165" t="str">
        <f>Blau!H132</f>
        <v/>
      </c>
      <c r="S132" s="166" t="str">
        <f>'Закупка'!E132</f>
        <v/>
      </c>
      <c r="T132" s="166" t="str">
        <f t="shared" si="1"/>
        <v/>
      </c>
      <c r="U132" s="34" t="str">
        <f>'Закупка'!F132</f>
        <v/>
      </c>
      <c r="V132" s="167" t="str">
        <f>'Закупка'!O132</f>
        <v/>
      </c>
      <c r="W132" s="167" t="str">
        <f t="shared" si="2"/>
        <v/>
      </c>
      <c r="X132" s="168"/>
      <c r="Y132" s="169" t="str">
        <f>'Закупка'!P132</f>
        <v/>
      </c>
      <c r="Z132" s="170" t="str">
        <f>'Закупка'!Q132</f>
        <v/>
      </c>
      <c r="AA132" s="171" t="str">
        <f>'Закупка'!R132</f>
        <v/>
      </c>
      <c r="AB132" s="172" t="str">
        <f>'Закупка'!T132</f>
        <v/>
      </c>
      <c r="AC132" s="173" t="str">
        <f>'Закупка'!S132</f>
        <v/>
      </c>
      <c r="AD132" s="174" t="str">
        <f>'Закупка'!W132</f>
        <v/>
      </c>
      <c r="AE132" s="87" t="str">
        <f>'Закупка'!Y132</f>
        <v/>
      </c>
    </row>
    <row r="133">
      <c r="A133" s="98" t="str">
        <f>'Закупка'!A133</f>
        <v/>
      </c>
      <c r="B133" s="81" t="str">
        <f>'Закупка'!B133</f>
        <v/>
      </c>
      <c r="C133" s="163" t="str">
        <f>'Закупка'!L133</f>
        <v/>
      </c>
      <c r="D133" s="164" t="str">
        <f>'Закупка'!G133</f>
        <v/>
      </c>
      <c r="E133" s="163" t="str">
        <f>Muntaner!G133</f>
        <v/>
      </c>
      <c r="F133" s="165" t="str">
        <f>Muntaner!H133</f>
        <v/>
      </c>
      <c r="G133" s="164" t="str">
        <f>'Закупка'!H133</f>
        <v/>
      </c>
      <c r="H133" s="163" t="str">
        <f>Plaza!G133</f>
        <v/>
      </c>
      <c r="I133" s="165" t="str">
        <f>Plaza!H133</f>
        <v/>
      </c>
      <c r="J133" s="164" t="str">
        <f>'Закупка'!I133</f>
        <v/>
      </c>
      <c r="K133" s="163" t="str">
        <f>Augusta!G133</f>
        <v/>
      </c>
      <c r="L133" s="165" t="str">
        <f>Augusta!H133</f>
        <v/>
      </c>
      <c r="M133" s="164" t="str">
        <f>'Закупка'!J133</f>
        <v/>
      </c>
      <c r="N133" s="163" t="str">
        <f>Gloria!G133</f>
        <v/>
      </c>
      <c r="O133" s="165" t="str">
        <f>Gloria!H133</f>
        <v/>
      </c>
      <c r="P133" s="164" t="str">
        <f>'Закупка'!K133</f>
        <v/>
      </c>
      <c r="Q133" s="163" t="str">
        <f>Blau!G133</f>
        <v/>
      </c>
      <c r="R133" s="165" t="str">
        <f>Blau!H133</f>
        <v/>
      </c>
      <c r="S133" s="166" t="str">
        <f>'Закупка'!E133</f>
        <v/>
      </c>
      <c r="T133" s="166" t="str">
        <f t="shared" si="1"/>
        <v/>
      </c>
      <c r="U133" s="34" t="str">
        <f>'Закупка'!F133</f>
        <v/>
      </c>
      <c r="V133" s="167" t="str">
        <f>'Закупка'!O133</f>
        <v/>
      </c>
      <c r="W133" s="167" t="str">
        <f t="shared" si="2"/>
        <v/>
      </c>
      <c r="X133" s="168"/>
      <c r="Y133" s="169" t="str">
        <f>'Закупка'!P133</f>
        <v/>
      </c>
      <c r="Z133" s="170" t="str">
        <f>'Закупка'!Q133</f>
        <v/>
      </c>
      <c r="AA133" s="171" t="str">
        <f>'Закупка'!R133</f>
        <v/>
      </c>
      <c r="AB133" s="172" t="str">
        <f>'Закупка'!T133</f>
        <v/>
      </c>
      <c r="AC133" s="173" t="str">
        <f>'Закупка'!S133</f>
        <v/>
      </c>
      <c r="AD133" s="174" t="str">
        <f>'Закупка'!W133</f>
        <v/>
      </c>
      <c r="AE133" s="87" t="str">
        <f>'Закупка'!Y133</f>
        <v/>
      </c>
    </row>
    <row r="134">
      <c r="A134" s="98" t="str">
        <f>'Закупка'!A134</f>
        <v/>
      </c>
      <c r="B134" s="81" t="str">
        <f>'Закупка'!B134</f>
        <v/>
      </c>
      <c r="C134" s="163" t="str">
        <f>'Закупка'!L134</f>
        <v/>
      </c>
      <c r="D134" s="164" t="str">
        <f>'Закупка'!G134</f>
        <v/>
      </c>
      <c r="E134" s="163" t="str">
        <f>Muntaner!G134</f>
        <v/>
      </c>
      <c r="F134" s="165" t="str">
        <f>Muntaner!H134</f>
        <v/>
      </c>
      <c r="G134" s="164" t="str">
        <f>'Закупка'!H134</f>
        <v/>
      </c>
      <c r="H134" s="163" t="str">
        <f>Plaza!G134</f>
        <v/>
      </c>
      <c r="I134" s="165" t="str">
        <f>Plaza!H134</f>
        <v/>
      </c>
      <c r="J134" s="164" t="str">
        <f>'Закупка'!I134</f>
        <v/>
      </c>
      <c r="K134" s="163" t="str">
        <f>Augusta!G134</f>
        <v/>
      </c>
      <c r="L134" s="165" t="str">
        <f>Augusta!H134</f>
        <v/>
      </c>
      <c r="M134" s="164" t="str">
        <f>'Закупка'!J134</f>
        <v/>
      </c>
      <c r="N134" s="163" t="str">
        <f>Gloria!G134</f>
        <v/>
      </c>
      <c r="O134" s="165" t="str">
        <f>Gloria!H134</f>
        <v/>
      </c>
      <c r="P134" s="164" t="str">
        <f>'Закупка'!K134</f>
        <v/>
      </c>
      <c r="Q134" s="163" t="str">
        <f>Blau!G134</f>
        <v/>
      </c>
      <c r="R134" s="165" t="str">
        <f>Blau!H134</f>
        <v/>
      </c>
      <c r="S134" s="166" t="str">
        <f>'Закупка'!E134</f>
        <v/>
      </c>
      <c r="T134" s="166" t="str">
        <f t="shared" si="1"/>
        <v/>
      </c>
      <c r="U134" s="34" t="str">
        <f>'Закупка'!F134</f>
        <v/>
      </c>
      <c r="V134" s="167" t="str">
        <f>'Закупка'!O134</f>
        <v/>
      </c>
      <c r="W134" s="167" t="str">
        <f t="shared" si="2"/>
        <v/>
      </c>
      <c r="X134" s="168"/>
      <c r="Y134" s="169" t="str">
        <f>'Закупка'!P134</f>
        <v/>
      </c>
      <c r="Z134" s="170" t="str">
        <f>'Закупка'!Q134</f>
        <v/>
      </c>
      <c r="AA134" s="171" t="str">
        <f>'Закупка'!R134</f>
        <v/>
      </c>
      <c r="AB134" s="172" t="str">
        <f>'Закупка'!T134</f>
        <v/>
      </c>
      <c r="AC134" s="173" t="str">
        <f>'Закупка'!S134</f>
        <v/>
      </c>
      <c r="AD134" s="174" t="str">
        <f>'Закупка'!W134</f>
        <v/>
      </c>
      <c r="AE134" s="87" t="str">
        <f>'Закупка'!Y134</f>
        <v/>
      </c>
    </row>
    <row r="135">
      <c r="A135" s="98" t="str">
        <f>'Закупка'!A135</f>
        <v/>
      </c>
      <c r="B135" s="81" t="str">
        <f>'Закупка'!B135</f>
        <v/>
      </c>
      <c r="C135" s="163" t="str">
        <f>'Закупка'!L135</f>
        <v/>
      </c>
      <c r="D135" s="164" t="str">
        <f>'Закупка'!G135</f>
        <v/>
      </c>
      <c r="E135" s="163" t="str">
        <f>Muntaner!G135</f>
        <v/>
      </c>
      <c r="F135" s="165" t="str">
        <f>Muntaner!H135</f>
        <v/>
      </c>
      <c r="G135" s="164" t="str">
        <f>'Закупка'!H135</f>
        <v/>
      </c>
      <c r="H135" s="163" t="str">
        <f>Plaza!G135</f>
        <v/>
      </c>
      <c r="I135" s="165" t="str">
        <f>Plaza!H135</f>
        <v/>
      </c>
      <c r="J135" s="164" t="str">
        <f>'Закупка'!I135</f>
        <v/>
      </c>
      <c r="K135" s="163" t="str">
        <f>Augusta!G135</f>
        <v/>
      </c>
      <c r="L135" s="165" t="str">
        <f>Augusta!H135</f>
        <v/>
      </c>
      <c r="M135" s="164" t="str">
        <f>'Закупка'!J135</f>
        <v/>
      </c>
      <c r="N135" s="163" t="str">
        <f>Gloria!G135</f>
        <v/>
      </c>
      <c r="O135" s="165" t="str">
        <f>Gloria!H135</f>
        <v/>
      </c>
      <c r="P135" s="164" t="str">
        <f>'Закупка'!K135</f>
        <v/>
      </c>
      <c r="Q135" s="163" t="str">
        <f>Blau!G135</f>
        <v/>
      </c>
      <c r="R135" s="165" t="str">
        <f>Blau!H135</f>
        <v/>
      </c>
      <c r="S135" s="166" t="str">
        <f>'Закупка'!E135</f>
        <v/>
      </c>
      <c r="T135" s="166" t="str">
        <f t="shared" si="1"/>
        <v/>
      </c>
      <c r="U135" s="34" t="str">
        <f>'Закупка'!F135</f>
        <v/>
      </c>
      <c r="V135" s="167" t="str">
        <f>'Закупка'!O135</f>
        <v/>
      </c>
      <c r="W135" s="167" t="str">
        <f t="shared" si="2"/>
        <v/>
      </c>
      <c r="X135" s="168"/>
      <c r="Y135" s="169" t="str">
        <f>'Закупка'!P135</f>
        <v/>
      </c>
      <c r="Z135" s="170" t="str">
        <f>'Закупка'!Q135</f>
        <v/>
      </c>
      <c r="AA135" s="171" t="str">
        <f>'Закупка'!R135</f>
        <v/>
      </c>
      <c r="AB135" s="172" t="str">
        <f>'Закупка'!T135</f>
        <v/>
      </c>
      <c r="AC135" s="173" t="str">
        <f>'Закупка'!S135</f>
        <v/>
      </c>
      <c r="AD135" s="174" t="str">
        <f>'Закупка'!W135</f>
        <v/>
      </c>
      <c r="AE135" s="87" t="str">
        <f>'Закупка'!Y135</f>
        <v/>
      </c>
    </row>
    <row r="136">
      <c r="A136" s="98" t="str">
        <f>'Закупка'!A136</f>
        <v/>
      </c>
      <c r="B136" s="81" t="str">
        <f>'Закупка'!B136</f>
        <v/>
      </c>
      <c r="C136" s="163" t="str">
        <f>'Закупка'!L136</f>
        <v/>
      </c>
      <c r="D136" s="164" t="str">
        <f>'Закупка'!G136</f>
        <v/>
      </c>
      <c r="E136" s="163" t="str">
        <f>Muntaner!G136</f>
        <v/>
      </c>
      <c r="F136" s="165" t="str">
        <f>Muntaner!H136</f>
        <v/>
      </c>
      <c r="G136" s="164" t="str">
        <f>'Закупка'!H136</f>
        <v/>
      </c>
      <c r="H136" s="163" t="str">
        <f>Plaza!G136</f>
        <v/>
      </c>
      <c r="I136" s="165" t="str">
        <f>Plaza!H136</f>
        <v/>
      </c>
      <c r="J136" s="164" t="str">
        <f>'Закупка'!I136</f>
        <v/>
      </c>
      <c r="K136" s="163" t="str">
        <f>Augusta!G136</f>
        <v/>
      </c>
      <c r="L136" s="165" t="str">
        <f>Augusta!H136</f>
        <v/>
      </c>
      <c r="M136" s="164" t="str">
        <f>'Закупка'!J136</f>
        <v/>
      </c>
      <c r="N136" s="163" t="str">
        <f>Gloria!G136</f>
        <v/>
      </c>
      <c r="O136" s="165" t="str">
        <f>Gloria!H136</f>
        <v/>
      </c>
      <c r="P136" s="164" t="str">
        <f>'Закупка'!K136</f>
        <v/>
      </c>
      <c r="Q136" s="163" t="str">
        <f>Blau!G136</f>
        <v/>
      </c>
      <c r="R136" s="165" t="str">
        <f>Blau!H136</f>
        <v/>
      </c>
      <c r="S136" s="166" t="str">
        <f>'Закупка'!E136</f>
        <v/>
      </c>
      <c r="T136" s="166" t="str">
        <f t="shared" si="1"/>
        <v/>
      </c>
      <c r="U136" s="34" t="str">
        <f>'Закупка'!F136</f>
        <v/>
      </c>
      <c r="V136" s="167" t="str">
        <f>'Закупка'!O136</f>
        <v/>
      </c>
      <c r="W136" s="167" t="str">
        <f t="shared" si="2"/>
        <v/>
      </c>
      <c r="X136" s="168"/>
      <c r="Y136" s="169" t="str">
        <f>'Закупка'!P136</f>
        <v/>
      </c>
      <c r="Z136" s="170" t="str">
        <f>'Закупка'!Q136</f>
        <v/>
      </c>
      <c r="AA136" s="171" t="str">
        <f>'Закупка'!R136</f>
        <v/>
      </c>
      <c r="AB136" s="172" t="str">
        <f>'Закупка'!T136</f>
        <v/>
      </c>
      <c r="AC136" s="173" t="str">
        <f>'Закупка'!S136</f>
        <v/>
      </c>
      <c r="AD136" s="174" t="str">
        <f>'Закупка'!W136</f>
        <v/>
      </c>
      <c r="AE136" s="87" t="str">
        <f>'Закупка'!Y136</f>
        <v/>
      </c>
    </row>
    <row r="137">
      <c r="A137" s="98" t="str">
        <f>'Закупка'!A137</f>
        <v/>
      </c>
      <c r="B137" s="81" t="str">
        <f>'Закупка'!B137</f>
        <v/>
      </c>
      <c r="C137" s="163" t="str">
        <f>'Закупка'!L137</f>
        <v/>
      </c>
      <c r="D137" s="164" t="str">
        <f>'Закупка'!G137</f>
        <v/>
      </c>
      <c r="E137" s="163" t="str">
        <f>Muntaner!G137</f>
        <v/>
      </c>
      <c r="F137" s="165" t="str">
        <f>Muntaner!H137</f>
        <v/>
      </c>
      <c r="G137" s="164" t="str">
        <f>'Закупка'!H137</f>
        <v/>
      </c>
      <c r="H137" s="163" t="str">
        <f>Plaza!G137</f>
        <v/>
      </c>
      <c r="I137" s="165" t="str">
        <f>Plaza!H137</f>
        <v/>
      </c>
      <c r="J137" s="164" t="str">
        <f>'Закупка'!I137</f>
        <v/>
      </c>
      <c r="K137" s="163" t="str">
        <f>Augusta!G137</f>
        <v/>
      </c>
      <c r="L137" s="165" t="str">
        <f>Augusta!H137</f>
        <v/>
      </c>
      <c r="M137" s="164" t="str">
        <f>'Закупка'!J137</f>
        <v/>
      </c>
      <c r="N137" s="163" t="str">
        <f>Gloria!G137</f>
        <v/>
      </c>
      <c r="O137" s="165" t="str">
        <f>Gloria!H137</f>
        <v/>
      </c>
      <c r="P137" s="164" t="str">
        <f>'Закупка'!K137</f>
        <v/>
      </c>
      <c r="Q137" s="163" t="str">
        <f>Blau!G137</f>
        <v/>
      </c>
      <c r="R137" s="165" t="str">
        <f>Blau!H137</f>
        <v/>
      </c>
      <c r="S137" s="166" t="str">
        <f>'Закупка'!E137</f>
        <v/>
      </c>
      <c r="T137" s="166" t="str">
        <f t="shared" si="1"/>
        <v/>
      </c>
      <c r="U137" s="34" t="str">
        <f>'Закупка'!F137</f>
        <v/>
      </c>
      <c r="V137" s="167" t="str">
        <f>'Закупка'!O137</f>
        <v/>
      </c>
      <c r="W137" s="167" t="str">
        <f t="shared" si="2"/>
        <v/>
      </c>
      <c r="X137" s="168"/>
      <c r="Y137" s="169" t="str">
        <f>'Закупка'!P137</f>
        <v/>
      </c>
      <c r="Z137" s="170" t="str">
        <f>'Закупка'!Q137</f>
        <v/>
      </c>
      <c r="AA137" s="171" t="str">
        <f>'Закупка'!R137</f>
        <v/>
      </c>
      <c r="AB137" s="172" t="str">
        <f>'Закупка'!T137</f>
        <v/>
      </c>
      <c r="AC137" s="173" t="str">
        <f>'Закупка'!S137</f>
        <v/>
      </c>
      <c r="AD137" s="174" t="str">
        <f>'Закупка'!W137</f>
        <v/>
      </c>
      <c r="AE137" s="87" t="str">
        <f>'Закупка'!Y137</f>
        <v/>
      </c>
    </row>
    <row r="138">
      <c r="A138" s="98" t="str">
        <f>'Закупка'!A138</f>
        <v/>
      </c>
      <c r="B138" s="81" t="str">
        <f>'Закупка'!B138</f>
        <v/>
      </c>
      <c r="C138" s="163" t="str">
        <f>'Закупка'!L138</f>
        <v/>
      </c>
      <c r="D138" s="164" t="str">
        <f>'Закупка'!G138</f>
        <v/>
      </c>
      <c r="E138" s="163" t="str">
        <f>Muntaner!G138</f>
        <v/>
      </c>
      <c r="F138" s="165" t="str">
        <f>Muntaner!H138</f>
        <v/>
      </c>
      <c r="G138" s="164" t="str">
        <f>'Закупка'!H138</f>
        <v/>
      </c>
      <c r="H138" s="163" t="str">
        <f>Plaza!G138</f>
        <v/>
      </c>
      <c r="I138" s="165" t="str">
        <f>Plaza!H138</f>
        <v/>
      </c>
      <c r="J138" s="164" t="str">
        <f>'Закупка'!I138</f>
        <v/>
      </c>
      <c r="K138" s="163" t="str">
        <f>Augusta!G138</f>
        <v/>
      </c>
      <c r="L138" s="165" t="str">
        <f>Augusta!H138</f>
        <v/>
      </c>
      <c r="M138" s="164" t="str">
        <f>'Закупка'!J138</f>
        <v/>
      </c>
      <c r="N138" s="163" t="str">
        <f>Gloria!G138</f>
        <v/>
      </c>
      <c r="O138" s="165" t="str">
        <f>Gloria!H138</f>
        <v/>
      </c>
      <c r="P138" s="164" t="str">
        <f>'Закупка'!K138</f>
        <v/>
      </c>
      <c r="Q138" s="163" t="str">
        <f>Blau!G138</f>
        <v/>
      </c>
      <c r="R138" s="165" t="str">
        <f>Blau!H138</f>
        <v/>
      </c>
      <c r="S138" s="166" t="str">
        <f>'Закупка'!E138</f>
        <v/>
      </c>
      <c r="T138" s="166" t="str">
        <f t="shared" si="1"/>
        <v/>
      </c>
      <c r="U138" s="34" t="str">
        <f>'Закупка'!F138</f>
        <v/>
      </c>
      <c r="V138" s="167" t="str">
        <f>'Закупка'!O138</f>
        <v/>
      </c>
      <c r="W138" s="167" t="str">
        <f t="shared" si="2"/>
        <v/>
      </c>
      <c r="X138" s="168"/>
      <c r="Y138" s="169" t="str">
        <f>'Закупка'!P138</f>
        <v/>
      </c>
      <c r="Z138" s="170" t="str">
        <f>'Закупка'!Q138</f>
        <v/>
      </c>
      <c r="AA138" s="171" t="str">
        <f>'Закупка'!R138</f>
        <v/>
      </c>
      <c r="AB138" s="172" t="str">
        <f>'Закупка'!T138</f>
        <v/>
      </c>
      <c r="AC138" s="173" t="str">
        <f>'Закупка'!S138</f>
        <v/>
      </c>
      <c r="AD138" s="174" t="str">
        <f>'Закупка'!W138</f>
        <v/>
      </c>
      <c r="AE138" s="87" t="str">
        <f>'Закупка'!Y138</f>
        <v/>
      </c>
    </row>
    <row r="139">
      <c r="A139" s="98" t="str">
        <f>'Закупка'!A139</f>
        <v/>
      </c>
      <c r="B139" s="81" t="str">
        <f>'Закупка'!B139</f>
        <v/>
      </c>
      <c r="C139" s="163" t="str">
        <f>'Закупка'!L139</f>
        <v/>
      </c>
      <c r="D139" s="164" t="str">
        <f>'Закупка'!G139</f>
        <v/>
      </c>
      <c r="E139" s="163" t="str">
        <f>Muntaner!G139</f>
        <v/>
      </c>
      <c r="F139" s="165" t="str">
        <f>Muntaner!H139</f>
        <v/>
      </c>
      <c r="G139" s="164" t="str">
        <f>'Закупка'!H139</f>
        <v/>
      </c>
      <c r="H139" s="163" t="str">
        <f>Plaza!G139</f>
        <v/>
      </c>
      <c r="I139" s="165" t="str">
        <f>Plaza!H139</f>
        <v/>
      </c>
      <c r="J139" s="164" t="str">
        <f>'Закупка'!I139</f>
        <v/>
      </c>
      <c r="K139" s="163" t="str">
        <f>Augusta!G139</f>
        <v/>
      </c>
      <c r="L139" s="165" t="str">
        <f>Augusta!H139</f>
        <v/>
      </c>
      <c r="M139" s="164" t="str">
        <f>'Закупка'!J139</f>
        <v/>
      </c>
      <c r="N139" s="163" t="str">
        <f>Gloria!G139</f>
        <v/>
      </c>
      <c r="O139" s="165" t="str">
        <f>Gloria!H139</f>
        <v/>
      </c>
      <c r="P139" s="164" t="str">
        <f>'Закупка'!K139</f>
        <v/>
      </c>
      <c r="Q139" s="163" t="str">
        <f>Blau!G139</f>
        <v/>
      </c>
      <c r="R139" s="165" t="str">
        <f>Blau!H139</f>
        <v/>
      </c>
      <c r="S139" s="166" t="str">
        <f>'Закупка'!E139</f>
        <v/>
      </c>
      <c r="T139" s="166" t="str">
        <f t="shared" si="1"/>
        <v/>
      </c>
      <c r="U139" s="34" t="str">
        <f>'Закупка'!F139</f>
        <v/>
      </c>
      <c r="V139" s="167" t="str">
        <f>'Закупка'!O139</f>
        <v/>
      </c>
      <c r="W139" s="167" t="str">
        <f t="shared" si="2"/>
        <v/>
      </c>
      <c r="X139" s="168"/>
      <c r="Y139" s="169" t="str">
        <f>'Закупка'!P139</f>
        <v/>
      </c>
      <c r="Z139" s="170" t="str">
        <f>'Закупка'!Q139</f>
        <v/>
      </c>
      <c r="AA139" s="171" t="str">
        <f>'Закупка'!R139</f>
        <v/>
      </c>
      <c r="AB139" s="172" t="str">
        <f>'Закупка'!T139</f>
        <v/>
      </c>
      <c r="AC139" s="173" t="str">
        <f>'Закупка'!S139</f>
        <v/>
      </c>
      <c r="AD139" s="174" t="str">
        <f>'Закупка'!W139</f>
        <v/>
      </c>
      <c r="AE139" s="87" t="str">
        <f>'Закупка'!Y139</f>
        <v/>
      </c>
    </row>
    <row r="140">
      <c r="A140" s="98" t="str">
        <f>'Закупка'!A140</f>
        <v/>
      </c>
      <c r="B140" s="81" t="str">
        <f>'Закупка'!B140</f>
        <v/>
      </c>
      <c r="C140" s="163" t="str">
        <f>'Закупка'!L140</f>
        <v/>
      </c>
      <c r="D140" s="164" t="str">
        <f>'Закупка'!G140</f>
        <v/>
      </c>
      <c r="E140" s="163" t="str">
        <f>Muntaner!G140</f>
        <v/>
      </c>
      <c r="F140" s="165" t="str">
        <f>Muntaner!H140</f>
        <v/>
      </c>
      <c r="G140" s="164" t="str">
        <f>'Закупка'!H140</f>
        <v/>
      </c>
      <c r="H140" s="163" t="str">
        <f>Plaza!G140</f>
        <v/>
      </c>
      <c r="I140" s="165" t="str">
        <f>Plaza!H140</f>
        <v/>
      </c>
      <c r="J140" s="164" t="str">
        <f>'Закупка'!I140</f>
        <v/>
      </c>
      <c r="K140" s="163" t="str">
        <f>Augusta!G140</f>
        <v/>
      </c>
      <c r="L140" s="165" t="str">
        <f>Augusta!H140</f>
        <v/>
      </c>
      <c r="M140" s="164" t="str">
        <f>'Закупка'!J140</f>
        <v/>
      </c>
      <c r="N140" s="163" t="str">
        <f>Gloria!G140</f>
        <v/>
      </c>
      <c r="O140" s="165" t="str">
        <f>Gloria!H140</f>
        <v/>
      </c>
      <c r="P140" s="164" t="str">
        <f>'Закупка'!K140</f>
        <v/>
      </c>
      <c r="Q140" s="163" t="str">
        <f>Blau!G140</f>
        <v/>
      </c>
      <c r="R140" s="165" t="str">
        <f>Blau!H140</f>
        <v/>
      </c>
      <c r="S140" s="166" t="str">
        <f>'Закупка'!E140</f>
        <v/>
      </c>
      <c r="T140" s="166" t="str">
        <f t="shared" si="1"/>
        <v/>
      </c>
      <c r="U140" s="34" t="str">
        <f>'Закупка'!F140</f>
        <v/>
      </c>
      <c r="V140" s="167" t="str">
        <f>'Закупка'!O140</f>
        <v/>
      </c>
      <c r="W140" s="167" t="str">
        <f t="shared" si="2"/>
        <v/>
      </c>
      <c r="X140" s="168"/>
      <c r="Y140" s="169" t="str">
        <f>'Закупка'!P140</f>
        <v/>
      </c>
      <c r="Z140" s="170" t="str">
        <f>'Закупка'!Q140</f>
        <v/>
      </c>
      <c r="AA140" s="171" t="str">
        <f>'Закупка'!R140</f>
        <v/>
      </c>
      <c r="AB140" s="172" t="str">
        <f>'Закупка'!T140</f>
        <v/>
      </c>
      <c r="AC140" s="173" t="str">
        <f>'Закупка'!S140</f>
        <v/>
      </c>
      <c r="AD140" s="174" t="str">
        <f>'Закупка'!W140</f>
        <v/>
      </c>
      <c r="AE140" s="87" t="str">
        <f>'Закупка'!Y140</f>
        <v/>
      </c>
    </row>
    <row r="141">
      <c r="A141" s="98" t="str">
        <f>'Закупка'!A141</f>
        <v/>
      </c>
      <c r="B141" s="81" t="str">
        <f>'Закупка'!B141</f>
        <v/>
      </c>
      <c r="C141" s="163" t="str">
        <f>'Закупка'!L141</f>
        <v/>
      </c>
      <c r="D141" s="164" t="str">
        <f>'Закупка'!G141</f>
        <v/>
      </c>
      <c r="E141" s="163" t="str">
        <f>Muntaner!G141</f>
        <v/>
      </c>
      <c r="F141" s="165" t="str">
        <f>Muntaner!H141</f>
        <v/>
      </c>
      <c r="G141" s="164" t="str">
        <f>'Закупка'!H141</f>
        <v/>
      </c>
      <c r="H141" s="163" t="str">
        <f>Plaza!G141</f>
        <v/>
      </c>
      <c r="I141" s="165" t="str">
        <f>Plaza!H141</f>
        <v/>
      </c>
      <c r="J141" s="164" t="str">
        <f>'Закупка'!I141</f>
        <v/>
      </c>
      <c r="K141" s="163" t="str">
        <f>Augusta!G141</f>
        <v/>
      </c>
      <c r="L141" s="165" t="str">
        <f>Augusta!H141</f>
        <v/>
      </c>
      <c r="M141" s="164" t="str">
        <f>'Закупка'!J141</f>
        <v/>
      </c>
      <c r="N141" s="163" t="str">
        <f>Gloria!G141</f>
        <v/>
      </c>
      <c r="O141" s="165" t="str">
        <f>Gloria!H141</f>
        <v/>
      </c>
      <c r="P141" s="164" t="str">
        <f>'Закупка'!K141</f>
        <v/>
      </c>
      <c r="Q141" s="163" t="str">
        <f>Blau!G141</f>
        <v/>
      </c>
      <c r="R141" s="165" t="str">
        <f>Blau!H141</f>
        <v/>
      </c>
      <c r="S141" s="166" t="str">
        <f>'Закупка'!E141</f>
        <v/>
      </c>
      <c r="T141" s="166" t="str">
        <f t="shared" si="1"/>
        <v/>
      </c>
      <c r="U141" s="34" t="str">
        <f>'Закупка'!F141</f>
        <v/>
      </c>
      <c r="V141" s="167" t="str">
        <f>'Закупка'!O141</f>
        <v/>
      </c>
      <c r="W141" s="167" t="str">
        <f t="shared" si="2"/>
        <v/>
      </c>
      <c r="X141" s="168"/>
      <c r="Y141" s="169" t="str">
        <f>'Закупка'!P141</f>
        <v/>
      </c>
      <c r="Z141" s="170" t="str">
        <f>'Закупка'!Q141</f>
        <v/>
      </c>
      <c r="AA141" s="171" t="str">
        <f>'Закупка'!R141</f>
        <v/>
      </c>
      <c r="AB141" s="172" t="str">
        <f>'Закупка'!T141</f>
        <v/>
      </c>
      <c r="AC141" s="173" t="str">
        <f>'Закупка'!S141</f>
        <v/>
      </c>
      <c r="AD141" s="174" t="str">
        <f>'Закупка'!W141</f>
        <v/>
      </c>
      <c r="AE141" s="87" t="str">
        <f>'Закупка'!Y141</f>
        <v/>
      </c>
    </row>
    <row r="142">
      <c r="A142" s="98" t="str">
        <f>'Закупка'!A142</f>
        <v/>
      </c>
      <c r="B142" s="81" t="str">
        <f>'Закупка'!B142</f>
        <v/>
      </c>
      <c r="C142" s="163" t="str">
        <f>'Закупка'!L142</f>
        <v/>
      </c>
      <c r="D142" s="164" t="str">
        <f>'Закупка'!G142</f>
        <v/>
      </c>
      <c r="E142" s="163" t="str">
        <f>Muntaner!G142</f>
        <v/>
      </c>
      <c r="F142" s="165" t="str">
        <f>Muntaner!H142</f>
        <v/>
      </c>
      <c r="G142" s="164" t="str">
        <f>'Закупка'!H142</f>
        <v/>
      </c>
      <c r="H142" s="163" t="str">
        <f>Plaza!G142</f>
        <v/>
      </c>
      <c r="I142" s="165" t="str">
        <f>Plaza!H142</f>
        <v/>
      </c>
      <c r="J142" s="164" t="str">
        <f>'Закупка'!I142</f>
        <v/>
      </c>
      <c r="K142" s="163" t="str">
        <f>Augusta!G142</f>
        <v/>
      </c>
      <c r="L142" s="165" t="str">
        <f>Augusta!H142</f>
        <v/>
      </c>
      <c r="M142" s="164" t="str">
        <f>'Закупка'!J142</f>
        <v/>
      </c>
      <c r="N142" s="163" t="str">
        <f>Gloria!G142</f>
        <v/>
      </c>
      <c r="O142" s="165" t="str">
        <f>Gloria!H142</f>
        <v/>
      </c>
      <c r="P142" s="164" t="str">
        <f>'Закупка'!K142</f>
        <v/>
      </c>
      <c r="Q142" s="163" t="str">
        <f>Blau!G142</f>
        <v/>
      </c>
      <c r="R142" s="165" t="str">
        <f>Blau!H142</f>
        <v/>
      </c>
      <c r="S142" s="166" t="str">
        <f>'Закупка'!E142</f>
        <v/>
      </c>
      <c r="T142" s="166" t="str">
        <f t="shared" si="1"/>
        <v/>
      </c>
      <c r="U142" s="34" t="str">
        <f>'Закупка'!F142</f>
        <v/>
      </c>
      <c r="V142" s="167" t="str">
        <f>'Закупка'!O142</f>
        <v/>
      </c>
      <c r="W142" s="167" t="str">
        <f t="shared" si="2"/>
        <v/>
      </c>
      <c r="X142" s="168"/>
      <c r="Y142" s="169" t="str">
        <f>'Закупка'!P142</f>
        <v/>
      </c>
      <c r="Z142" s="170" t="str">
        <f>'Закупка'!Q142</f>
        <v/>
      </c>
      <c r="AA142" s="171" t="str">
        <f>'Закупка'!R142</f>
        <v/>
      </c>
      <c r="AB142" s="172" t="str">
        <f>'Закупка'!T142</f>
        <v/>
      </c>
      <c r="AC142" s="173" t="str">
        <f>'Закупка'!S142</f>
        <v/>
      </c>
      <c r="AD142" s="174" t="str">
        <f>'Закупка'!W142</f>
        <v/>
      </c>
      <c r="AE142" s="87" t="str">
        <f>'Закупка'!Y142</f>
        <v/>
      </c>
    </row>
    <row r="143">
      <c r="A143" s="98" t="str">
        <f>'Закупка'!A143</f>
        <v/>
      </c>
      <c r="B143" s="81" t="str">
        <f>'Закупка'!B143</f>
        <v/>
      </c>
      <c r="C143" s="163" t="str">
        <f>'Закупка'!L143</f>
        <v/>
      </c>
      <c r="D143" s="164" t="str">
        <f>'Закупка'!G143</f>
        <v/>
      </c>
      <c r="E143" s="163" t="str">
        <f>Muntaner!G143</f>
        <v/>
      </c>
      <c r="F143" s="165" t="str">
        <f>Muntaner!H143</f>
        <v/>
      </c>
      <c r="G143" s="164" t="str">
        <f>'Закупка'!H143</f>
        <v/>
      </c>
      <c r="H143" s="163" t="str">
        <f>Plaza!G143</f>
        <v/>
      </c>
      <c r="I143" s="165" t="str">
        <f>Plaza!H143</f>
        <v/>
      </c>
      <c r="J143" s="164" t="str">
        <f>'Закупка'!I143</f>
        <v/>
      </c>
      <c r="K143" s="163" t="str">
        <f>Augusta!G143</f>
        <v/>
      </c>
      <c r="L143" s="165" t="str">
        <f>Augusta!H143</f>
        <v/>
      </c>
      <c r="M143" s="164" t="str">
        <f>'Закупка'!J143</f>
        <v/>
      </c>
      <c r="N143" s="163" t="str">
        <f>Gloria!G143</f>
        <v/>
      </c>
      <c r="O143" s="165" t="str">
        <f>Gloria!H143</f>
        <v/>
      </c>
      <c r="P143" s="164" t="str">
        <f>'Закупка'!K143</f>
        <v/>
      </c>
      <c r="Q143" s="163" t="str">
        <f>Blau!G143</f>
        <v/>
      </c>
      <c r="R143" s="165" t="str">
        <f>Blau!H143</f>
        <v/>
      </c>
      <c r="S143" s="166" t="str">
        <f>'Закупка'!E143</f>
        <v/>
      </c>
      <c r="T143" s="166" t="str">
        <f t="shared" si="1"/>
        <v/>
      </c>
      <c r="U143" s="34" t="str">
        <f>'Закупка'!F143</f>
        <v/>
      </c>
      <c r="V143" s="167" t="str">
        <f>'Закупка'!O143</f>
        <v/>
      </c>
      <c r="W143" s="167" t="str">
        <f t="shared" si="2"/>
        <v/>
      </c>
      <c r="X143" s="168"/>
      <c r="Y143" s="169" t="str">
        <f>'Закупка'!P143</f>
        <v/>
      </c>
      <c r="Z143" s="170" t="str">
        <f>'Закупка'!Q143</f>
        <v/>
      </c>
      <c r="AA143" s="171" t="str">
        <f>'Закупка'!R143</f>
        <v/>
      </c>
      <c r="AB143" s="172" t="str">
        <f>'Закупка'!T143</f>
        <v/>
      </c>
      <c r="AC143" s="173" t="str">
        <f>'Закупка'!S143</f>
        <v/>
      </c>
      <c r="AD143" s="174" t="str">
        <f>'Закупка'!W143</f>
        <v/>
      </c>
      <c r="AE143" s="87" t="str">
        <f>'Закупка'!Y143</f>
        <v/>
      </c>
    </row>
    <row r="144">
      <c r="A144" s="98" t="str">
        <f>'Закупка'!A144</f>
        <v/>
      </c>
      <c r="B144" s="81" t="str">
        <f>'Закупка'!B144</f>
        <v/>
      </c>
      <c r="C144" s="163" t="str">
        <f>'Закупка'!L144</f>
        <v/>
      </c>
      <c r="D144" s="164" t="str">
        <f>'Закупка'!G144</f>
        <v/>
      </c>
      <c r="E144" s="163" t="str">
        <f>Muntaner!G144</f>
        <v/>
      </c>
      <c r="F144" s="165" t="str">
        <f>Muntaner!H144</f>
        <v/>
      </c>
      <c r="G144" s="164" t="str">
        <f>'Закупка'!H144</f>
        <v/>
      </c>
      <c r="H144" s="163" t="str">
        <f>Plaza!G144</f>
        <v/>
      </c>
      <c r="I144" s="165" t="str">
        <f>Plaza!H144</f>
        <v/>
      </c>
      <c r="J144" s="164" t="str">
        <f>'Закупка'!I144</f>
        <v/>
      </c>
      <c r="K144" s="163" t="str">
        <f>Augusta!G144</f>
        <v/>
      </c>
      <c r="L144" s="165" t="str">
        <f>Augusta!H144</f>
        <v/>
      </c>
      <c r="M144" s="164" t="str">
        <f>'Закупка'!J144</f>
        <v/>
      </c>
      <c r="N144" s="163" t="str">
        <f>Gloria!G144</f>
        <v/>
      </c>
      <c r="O144" s="165" t="str">
        <f>Gloria!H144</f>
        <v/>
      </c>
      <c r="P144" s="164" t="str">
        <f>'Закупка'!K144</f>
        <v/>
      </c>
      <c r="Q144" s="163" t="str">
        <f>Blau!G144</f>
        <v/>
      </c>
      <c r="R144" s="165" t="str">
        <f>Blau!H144</f>
        <v/>
      </c>
      <c r="S144" s="166" t="str">
        <f>'Закупка'!E144</f>
        <v/>
      </c>
      <c r="T144" s="166" t="str">
        <f t="shared" si="1"/>
        <v/>
      </c>
      <c r="U144" s="34" t="str">
        <f>'Закупка'!F144</f>
        <v/>
      </c>
      <c r="V144" s="167" t="str">
        <f>'Закупка'!O144</f>
        <v/>
      </c>
      <c r="W144" s="167" t="str">
        <f t="shared" si="2"/>
        <v/>
      </c>
      <c r="X144" s="168"/>
      <c r="Y144" s="169" t="str">
        <f>'Закупка'!P144</f>
        <v/>
      </c>
      <c r="Z144" s="170" t="str">
        <f>'Закупка'!Q144</f>
        <v/>
      </c>
      <c r="AA144" s="171" t="str">
        <f>'Закупка'!R144</f>
        <v/>
      </c>
      <c r="AB144" s="172" t="str">
        <f>'Закупка'!T144</f>
        <v/>
      </c>
      <c r="AC144" s="173" t="str">
        <f>'Закупка'!S144</f>
        <v/>
      </c>
      <c r="AD144" s="174" t="str">
        <f>'Закупка'!W144</f>
        <v/>
      </c>
      <c r="AE144" s="87" t="str">
        <f>'Закупка'!Y144</f>
        <v/>
      </c>
    </row>
    <row r="145">
      <c r="A145" s="98" t="str">
        <f>'Закупка'!A145</f>
        <v/>
      </c>
      <c r="B145" s="81" t="str">
        <f>'Закупка'!B145</f>
        <v/>
      </c>
      <c r="C145" s="163" t="str">
        <f>'Закупка'!L145</f>
        <v/>
      </c>
      <c r="D145" s="164" t="str">
        <f>'Закупка'!G145</f>
        <v/>
      </c>
      <c r="E145" s="163" t="str">
        <f>Muntaner!G145</f>
        <v/>
      </c>
      <c r="F145" s="165" t="str">
        <f>Muntaner!H145</f>
        <v/>
      </c>
      <c r="G145" s="164" t="str">
        <f>'Закупка'!H145</f>
        <v/>
      </c>
      <c r="H145" s="163" t="str">
        <f>Plaza!G145</f>
        <v/>
      </c>
      <c r="I145" s="165" t="str">
        <f>Plaza!H145</f>
        <v/>
      </c>
      <c r="J145" s="164" t="str">
        <f>'Закупка'!I145</f>
        <v/>
      </c>
      <c r="K145" s="163" t="str">
        <f>Augusta!G145</f>
        <v/>
      </c>
      <c r="L145" s="165" t="str">
        <f>Augusta!H145</f>
        <v/>
      </c>
      <c r="M145" s="164" t="str">
        <f>'Закупка'!J145</f>
        <v/>
      </c>
      <c r="N145" s="163" t="str">
        <f>Gloria!G145</f>
        <v/>
      </c>
      <c r="O145" s="165" t="str">
        <f>Gloria!H145</f>
        <v/>
      </c>
      <c r="P145" s="164" t="str">
        <f>'Закупка'!K145</f>
        <v/>
      </c>
      <c r="Q145" s="163" t="str">
        <f>Blau!G145</f>
        <v/>
      </c>
      <c r="R145" s="165" t="str">
        <f>Blau!H145</f>
        <v/>
      </c>
      <c r="S145" s="166" t="str">
        <f>'Закупка'!E145</f>
        <v/>
      </c>
      <c r="T145" s="166" t="str">
        <f t="shared" si="1"/>
        <v/>
      </c>
      <c r="U145" s="34" t="str">
        <f>'Закупка'!F145</f>
        <v/>
      </c>
      <c r="V145" s="167" t="str">
        <f>'Закупка'!O145</f>
        <v/>
      </c>
      <c r="W145" s="167" t="str">
        <f t="shared" si="2"/>
        <v/>
      </c>
      <c r="X145" s="168"/>
      <c r="Y145" s="169" t="str">
        <f>'Закупка'!P145</f>
        <v/>
      </c>
      <c r="Z145" s="170" t="str">
        <f>'Закупка'!Q145</f>
        <v/>
      </c>
      <c r="AA145" s="171" t="str">
        <f>'Закупка'!R145</f>
        <v/>
      </c>
      <c r="AB145" s="172" t="str">
        <f>'Закупка'!T145</f>
        <v/>
      </c>
      <c r="AC145" s="173" t="str">
        <f>'Закупка'!S145</f>
        <v/>
      </c>
      <c r="AD145" s="174" t="str">
        <f>'Закупка'!W145</f>
        <v/>
      </c>
      <c r="AE145" s="87" t="str">
        <f>'Закупка'!Y145</f>
        <v/>
      </c>
    </row>
    <row r="146">
      <c r="A146" s="98" t="str">
        <f>'Закупка'!A146</f>
        <v/>
      </c>
      <c r="B146" s="81" t="str">
        <f>'Закупка'!B146</f>
        <v/>
      </c>
      <c r="C146" s="163" t="str">
        <f>'Закупка'!L146</f>
        <v/>
      </c>
      <c r="D146" s="164" t="str">
        <f>'Закупка'!G146</f>
        <v/>
      </c>
      <c r="E146" s="163" t="str">
        <f>Muntaner!G146</f>
        <v/>
      </c>
      <c r="F146" s="165" t="str">
        <f>Muntaner!H146</f>
        <v/>
      </c>
      <c r="G146" s="164" t="str">
        <f>'Закупка'!H146</f>
        <v/>
      </c>
      <c r="H146" s="163" t="str">
        <f>Plaza!G146</f>
        <v/>
      </c>
      <c r="I146" s="165" t="str">
        <f>Plaza!H146</f>
        <v/>
      </c>
      <c r="J146" s="164" t="str">
        <f>'Закупка'!I146</f>
        <v/>
      </c>
      <c r="K146" s="163" t="str">
        <f>Augusta!G146</f>
        <v/>
      </c>
      <c r="L146" s="165" t="str">
        <f>Augusta!H146</f>
        <v/>
      </c>
      <c r="M146" s="164" t="str">
        <f>'Закупка'!J146</f>
        <v/>
      </c>
      <c r="N146" s="163" t="str">
        <f>Gloria!G146</f>
        <v/>
      </c>
      <c r="O146" s="165" t="str">
        <f>Gloria!H146</f>
        <v/>
      </c>
      <c r="P146" s="164" t="str">
        <f>'Закупка'!K146</f>
        <v/>
      </c>
      <c r="Q146" s="163" t="str">
        <f>Blau!G146</f>
        <v/>
      </c>
      <c r="R146" s="165" t="str">
        <f>Blau!H146</f>
        <v/>
      </c>
      <c r="S146" s="166" t="str">
        <f>'Закупка'!E146</f>
        <v/>
      </c>
      <c r="T146" s="166" t="str">
        <f t="shared" si="1"/>
        <v/>
      </c>
      <c r="U146" s="34" t="str">
        <f>'Закупка'!F146</f>
        <v/>
      </c>
      <c r="V146" s="167" t="str">
        <f>'Закупка'!O146</f>
        <v/>
      </c>
      <c r="W146" s="167" t="str">
        <f t="shared" si="2"/>
        <v/>
      </c>
      <c r="X146" s="168"/>
      <c r="Y146" s="169" t="str">
        <f>'Закупка'!P146</f>
        <v/>
      </c>
      <c r="Z146" s="170" t="str">
        <f>'Закупка'!Q146</f>
        <v/>
      </c>
      <c r="AA146" s="171" t="str">
        <f>'Закупка'!R146</f>
        <v/>
      </c>
      <c r="AB146" s="172" t="str">
        <f>'Закупка'!T146</f>
        <v/>
      </c>
      <c r="AC146" s="173" t="str">
        <f>'Закупка'!S146</f>
        <v/>
      </c>
      <c r="AD146" s="174" t="str">
        <f>'Закупка'!W146</f>
        <v/>
      </c>
      <c r="AE146" s="87" t="str">
        <f>'Закупка'!Y146</f>
        <v/>
      </c>
    </row>
    <row r="147">
      <c r="A147" s="98" t="str">
        <f>'Закупка'!A147</f>
        <v/>
      </c>
      <c r="B147" s="81" t="str">
        <f>'Закупка'!B147</f>
        <v/>
      </c>
      <c r="C147" s="163" t="str">
        <f>'Закупка'!L147</f>
        <v/>
      </c>
      <c r="D147" s="164" t="str">
        <f>'Закупка'!G147</f>
        <v/>
      </c>
      <c r="E147" s="163" t="str">
        <f>Muntaner!G147</f>
        <v/>
      </c>
      <c r="F147" s="165" t="str">
        <f>Muntaner!H147</f>
        <v/>
      </c>
      <c r="G147" s="164" t="str">
        <f>'Закупка'!H147</f>
        <v/>
      </c>
      <c r="H147" s="163" t="str">
        <f>Plaza!G147</f>
        <v/>
      </c>
      <c r="I147" s="165" t="str">
        <f>Plaza!H147</f>
        <v/>
      </c>
      <c r="J147" s="164" t="str">
        <f>'Закупка'!I147</f>
        <v/>
      </c>
      <c r="K147" s="163" t="str">
        <f>Augusta!G147</f>
        <v/>
      </c>
      <c r="L147" s="165" t="str">
        <f>Augusta!H147</f>
        <v/>
      </c>
      <c r="M147" s="164" t="str">
        <f>'Закупка'!J147</f>
        <v/>
      </c>
      <c r="N147" s="163" t="str">
        <f>Gloria!G147</f>
        <v/>
      </c>
      <c r="O147" s="165" t="str">
        <f>Gloria!H147</f>
        <v/>
      </c>
      <c r="P147" s="164" t="str">
        <f>'Закупка'!K147</f>
        <v/>
      </c>
      <c r="Q147" s="163" t="str">
        <f>Blau!G147</f>
        <v/>
      </c>
      <c r="R147" s="165" t="str">
        <f>Blau!H147</f>
        <v/>
      </c>
      <c r="S147" s="166" t="str">
        <f>'Закупка'!E147</f>
        <v/>
      </c>
      <c r="T147" s="166" t="str">
        <f t="shared" si="1"/>
        <v/>
      </c>
      <c r="U147" s="34" t="str">
        <f>'Закупка'!F147</f>
        <v/>
      </c>
      <c r="V147" s="167" t="str">
        <f>'Закупка'!O147</f>
        <v/>
      </c>
      <c r="W147" s="167" t="str">
        <f t="shared" si="2"/>
        <v/>
      </c>
      <c r="X147" s="168"/>
      <c r="Y147" s="169" t="str">
        <f>'Закупка'!P147</f>
        <v/>
      </c>
      <c r="Z147" s="170" t="str">
        <f>'Закупка'!Q147</f>
        <v/>
      </c>
      <c r="AA147" s="171" t="str">
        <f>'Закупка'!R147</f>
        <v/>
      </c>
      <c r="AB147" s="172" t="str">
        <f>'Закупка'!T147</f>
        <v/>
      </c>
      <c r="AC147" s="173" t="str">
        <f>'Закупка'!S147</f>
        <v/>
      </c>
      <c r="AD147" s="174" t="str">
        <f>'Закупка'!W147</f>
        <v/>
      </c>
      <c r="AE147" s="87" t="str">
        <f>'Закупка'!Y147</f>
        <v/>
      </c>
    </row>
    <row r="148">
      <c r="A148" s="98" t="str">
        <f>'Закупка'!A148</f>
        <v/>
      </c>
      <c r="B148" s="81" t="str">
        <f>'Закупка'!B148</f>
        <v/>
      </c>
      <c r="C148" s="163" t="str">
        <f>'Закупка'!L148</f>
        <v/>
      </c>
      <c r="D148" s="164" t="str">
        <f>'Закупка'!G148</f>
        <v/>
      </c>
      <c r="E148" s="163" t="str">
        <f>Muntaner!G148</f>
        <v/>
      </c>
      <c r="F148" s="165" t="str">
        <f>Muntaner!H148</f>
        <v/>
      </c>
      <c r="G148" s="164" t="str">
        <f>'Закупка'!H148</f>
        <v/>
      </c>
      <c r="H148" s="163" t="str">
        <f>Plaza!G148</f>
        <v/>
      </c>
      <c r="I148" s="165" t="str">
        <f>Plaza!H148</f>
        <v/>
      </c>
      <c r="J148" s="164" t="str">
        <f>'Закупка'!I148</f>
        <v/>
      </c>
      <c r="K148" s="163" t="str">
        <f>Augusta!G148</f>
        <v/>
      </c>
      <c r="L148" s="165" t="str">
        <f>Augusta!H148</f>
        <v/>
      </c>
      <c r="M148" s="164" t="str">
        <f>'Закупка'!J148</f>
        <v/>
      </c>
      <c r="N148" s="163" t="str">
        <f>Gloria!G148</f>
        <v/>
      </c>
      <c r="O148" s="165" t="str">
        <f>Gloria!H148</f>
        <v/>
      </c>
      <c r="P148" s="164" t="str">
        <f>'Закупка'!K148</f>
        <v/>
      </c>
      <c r="Q148" s="163" t="str">
        <f>Blau!G148</f>
        <v/>
      </c>
      <c r="R148" s="165" t="str">
        <f>Blau!H148</f>
        <v/>
      </c>
      <c r="S148" s="166" t="str">
        <f>'Закупка'!E148</f>
        <v/>
      </c>
      <c r="T148" s="166" t="str">
        <f t="shared" si="1"/>
        <v/>
      </c>
      <c r="U148" s="34" t="str">
        <f>'Закупка'!F148</f>
        <v/>
      </c>
      <c r="V148" s="167" t="str">
        <f>'Закупка'!O148</f>
        <v/>
      </c>
      <c r="W148" s="167" t="str">
        <f t="shared" si="2"/>
        <v/>
      </c>
      <c r="X148" s="168"/>
      <c r="Y148" s="169" t="str">
        <f>'Закупка'!P148</f>
        <v/>
      </c>
      <c r="Z148" s="170" t="str">
        <f>'Закупка'!Q148</f>
        <v/>
      </c>
      <c r="AA148" s="171" t="str">
        <f>'Закупка'!R148</f>
        <v/>
      </c>
      <c r="AB148" s="172" t="str">
        <f>'Закупка'!T148</f>
        <v/>
      </c>
      <c r="AC148" s="173" t="str">
        <f>'Закупка'!S148</f>
        <v/>
      </c>
      <c r="AD148" s="174" t="str">
        <f>'Закупка'!W148</f>
        <v/>
      </c>
      <c r="AE148" s="87" t="str">
        <f>'Закупка'!Y148</f>
        <v/>
      </c>
    </row>
    <row r="149">
      <c r="A149" s="98" t="str">
        <f>'Закупка'!A149</f>
        <v/>
      </c>
      <c r="B149" s="81" t="str">
        <f>'Закупка'!B149</f>
        <v/>
      </c>
      <c r="C149" s="163" t="str">
        <f>'Закупка'!L149</f>
        <v/>
      </c>
      <c r="D149" s="164" t="str">
        <f>'Закупка'!G149</f>
        <v/>
      </c>
      <c r="E149" s="163" t="str">
        <f>Muntaner!G149</f>
        <v/>
      </c>
      <c r="F149" s="165" t="str">
        <f>Muntaner!H149</f>
        <v/>
      </c>
      <c r="G149" s="164" t="str">
        <f>'Закупка'!H149</f>
        <v/>
      </c>
      <c r="H149" s="163" t="str">
        <f>Plaza!G149</f>
        <v/>
      </c>
      <c r="I149" s="165" t="str">
        <f>Plaza!H149</f>
        <v/>
      </c>
      <c r="J149" s="164" t="str">
        <f>'Закупка'!I149</f>
        <v/>
      </c>
      <c r="K149" s="163" t="str">
        <f>Augusta!G149</f>
        <v/>
      </c>
      <c r="L149" s="165" t="str">
        <f>Augusta!H149</f>
        <v/>
      </c>
      <c r="M149" s="164" t="str">
        <f>'Закупка'!J149</f>
        <v/>
      </c>
      <c r="N149" s="163" t="str">
        <f>Gloria!G149</f>
        <v/>
      </c>
      <c r="O149" s="165" t="str">
        <f>Gloria!H149</f>
        <v/>
      </c>
      <c r="P149" s="164" t="str">
        <f>'Закупка'!K149</f>
        <v/>
      </c>
      <c r="Q149" s="163" t="str">
        <f>Blau!G149</f>
        <v/>
      </c>
      <c r="R149" s="165" t="str">
        <f>Blau!H149</f>
        <v/>
      </c>
      <c r="S149" s="166" t="str">
        <f>'Закупка'!E149</f>
        <v/>
      </c>
      <c r="T149" s="166" t="str">
        <f t="shared" si="1"/>
        <v/>
      </c>
      <c r="U149" s="34" t="str">
        <f>'Закупка'!F149</f>
        <v/>
      </c>
      <c r="V149" s="167" t="str">
        <f>'Закупка'!O149</f>
        <v/>
      </c>
      <c r="W149" s="167" t="str">
        <f t="shared" si="2"/>
        <v/>
      </c>
      <c r="X149" s="168"/>
      <c r="Y149" s="169" t="str">
        <f>'Закупка'!P149</f>
        <v/>
      </c>
      <c r="Z149" s="170" t="str">
        <f>'Закупка'!Q149</f>
        <v/>
      </c>
      <c r="AA149" s="171" t="str">
        <f>'Закупка'!R149</f>
        <v/>
      </c>
      <c r="AB149" s="172" t="str">
        <f>'Закупка'!T149</f>
        <v/>
      </c>
      <c r="AC149" s="173" t="str">
        <f>'Закупка'!S149</f>
        <v/>
      </c>
      <c r="AD149" s="174" t="str">
        <f>'Закупка'!W149</f>
        <v/>
      </c>
      <c r="AE149" s="87" t="str">
        <f>'Закупка'!Y149</f>
        <v/>
      </c>
    </row>
    <row r="150">
      <c r="A150" s="98" t="str">
        <f>'Закупка'!A150</f>
        <v/>
      </c>
      <c r="B150" s="81" t="str">
        <f>'Закупка'!B150</f>
        <v/>
      </c>
      <c r="C150" s="163" t="str">
        <f>'Закупка'!L150</f>
        <v/>
      </c>
      <c r="D150" s="164" t="str">
        <f>'Закупка'!G150</f>
        <v/>
      </c>
      <c r="E150" s="163" t="str">
        <f>Muntaner!G150</f>
        <v/>
      </c>
      <c r="F150" s="165" t="str">
        <f>Muntaner!H150</f>
        <v/>
      </c>
      <c r="G150" s="164" t="str">
        <f>'Закупка'!H150</f>
        <v/>
      </c>
      <c r="H150" s="163" t="str">
        <f>Plaza!G150</f>
        <v/>
      </c>
      <c r="I150" s="165" t="str">
        <f>Plaza!H150</f>
        <v/>
      </c>
      <c r="J150" s="164" t="str">
        <f>'Закупка'!I150</f>
        <v/>
      </c>
      <c r="K150" s="163" t="str">
        <f>Augusta!G150</f>
        <v/>
      </c>
      <c r="L150" s="165" t="str">
        <f>Augusta!H150</f>
        <v/>
      </c>
      <c r="M150" s="164" t="str">
        <f>'Закупка'!J150</f>
        <v/>
      </c>
      <c r="N150" s="163" t="str">
        <f>Gloria!G150</f>
        <v/>
      </c>
      <c r="O150" s="165" t="str">
        <f>Gloria!H150</f>
        <v/>
      </c>
      <c r="P150" s="164" t="str">
        <f>'Закупка'!K150</f>
        <v/>
      </c>
      <c r="Q150" s="163" t="str">
        <f>Blau!G150</f>
        <v/>
      </c>
      <c r="R150" s="165" t="str">
        <f>Blau!H150</f>
        <v/>
      </c>
      <c r="S150" s="166" t="str">
        <f>'Закупка'!E150</f>
        <v/>
      </c>
      <c r="T150" s="166" t="str">
        <f t="shared" si="1"/>
        <v/>
      </c>
      <c r="U150" s="34" t="str">
        <f>'Закупка'!F150</f>
        <v/>
      </c>
      <c r="V150" s="167" t="str">
        <f>'Закупка'!O150</f>
        <v/>
      </c>
      <c r="W150" s="167" t="str">
        <f t="shared" si="2"/>
        <v/>
      </c>
      <c r="X150" s="168"/>
      <c r="Y150" s="169" t="str">
        <f>'Закупка'!P150</f>
        <v/>
      </c>
      <c r="Z150" s="170" t="str">
        <f>'Закупка'!Q150</f>
        <v/>
      </c>
      <c r="AA150" s="171" t="str">
        <f>'Закупка'!R150</f>
        <v/>
      </c>
      <c r="AB150" s="172" t="str">
        <f>'Закупка'!T150</f>
        <v/>
      </c>
      <c r="AC150" s="173" t="str">
        <f>'Закупка'!S150</f>
        <v/>
      </c>
      <c r="AD150" s="174" t="str">
        <f>'Закупка'!W150</f>
        <v/>
      </c>
      <c r="AE150" s="87" t="str">
        <f>'Закупка'!Y150</f>
        <v/>
      </c>
    </row>
    <row r="151">
      <c r="A151" s="98" t="str">
        <f>'Закупка'!A151</f>
        <v/>
      </c>
      <c r="B151" s="81" t="str">
        <f>'Закупка'!B151</f>
        <v/>
      </c>
      <c r="C151" s="163" t="str">
        <f>'Закупка'!L151</f>
        <v/>
      </c>
      <c r="D151" s="164" t="str">
        <f>'Закупка'!G151</f>
        <v/>
      </c>
      <c r="E151" s="163" t="str">
        <f>Muntaner!G151</f>
        <v/>
      </c>
      <c r="F151" s="165" t="str">
        <f>Muntaner!H151</f>
        <v/>
      </c>
      <c r="G151" s="164" t="str">
        <f>'Закупка'!H151</f>
        <v/>
      </c>
      <c r="H151" s="163" t="str">
        <f>Plaza!G151</f>
        <v/>
      </c>
      <c r="I151" s="165" t="str">
        <f>Plaza!H151</f>
        <v/>
      </c>
      <c r="J151" s="164" t="str">
        <f>'Закупка'!I151</f>
        <v/>
      </c>
      <c r="K151" s="163" t="str">
        <f>Augusta!G151</f>
        <v/>
      </c>
      <c r="L151" s="165" t="str">
        <f>Augusta!H151</f>
        <v/>
      </c>
      <c r="M151" s="164" t="str">
        <f>'Закупка'!J151</f>
        <v/>
      </c>
      <c r="N151" s="163" t="str">
        <f>Gloria!G151</f>
        <v/>
      </c>
      <c r="O151" s="165" t="str">
        <f>Gloria!H151</f>
        <v/>
      </c>
      <c r="P151" s="164" t="str">
        <f>'Закупка'!K151</f>
        <v/>
      </c>
      <c r="Q151" s="163" t="str">
        <f>Blau!G151</f>
        <v/>
      </c>
      <c r="R151" s="165" t="str">
        <f>Blau!H151</f>
        <v/>
      </c>
      <c r="S151" s="166" t="str">
        <f>'Закупка'!E151</f>
        <v/>
      </c>
      <c r="T151" s="166" t="str">
        <f t="shared" si="1"/>
        <v/>
      </c>
      <c r="U151" s="34" t="str">
        <f>'Закупка'!F151</f>
        <v/>
      </c>
      <c r="V151" s="167" t="str">
        <f>'Закупка'!O151</f>
        <v/>
      </c>
      <c r="W151" s="167" t="str">
        <f t="shared" si="2"/>
        <v/>
      </c>
      <c r="X151" s="168"/>
      <c r="Y151" s="169" t="str">
        <f>'Закупка'!P151</f>
        <v/>
      </c>
      <c r="Z151" s="170" t="str">
        <f>'Закупка'!Q151</f>
        <v/>
      </c>
      <c r="AA151" s="171" t="str">
        <f>'Закупка'!R151</f>
        <v/>
      </c>
      <c r="AB151" s="172" t="str">
        <f>'Закупка'!T151</f>
        <v/>
      </c>
      <c r="AC151" s="173" t="str">
        <f>'Закупка'!S151</f>
        <v/>
      </c>
      <c r="AD151" s="174" t="str">
        <f>'Закупка'!W151</f>
        <v/>
      </c>
      <c r="AE151" s="87" t="str">
        <f>'Закупка'!Y151</f>
        <v/>
      </c>
    </row>
    <row r="152">
      <c r="A152" s="98" t="str">
        <f>'Закупка'!A152</f>
        <v/>
      </c>
      <c r="B152" s="81" t="str">
        <f>'Закупка'!B152</f>
        <v/>
      </c>
      <c r="C152" s="163" t="str">
        <f>'Закупка'!L152</f>
        <v/>
      </c>
      <c r="D152" s="164" t="str">
        <f>'Закупка'!G152</f>
        <v/>
      </c>
      <c r="E152" s="163" t="str">
        <f>Muntaner!G152</f>
        <v/>
      </c>
      <c r="F152" s="165" t="str">
        <f>Muntaner!H152</f>
        <v/>
      </c>
      <c r="G152" s="164" t="str">
        <f>'Закупка'!H152</f>
        <v/>
      </c>
      <c r="H152" s="163" t="str">
        <f>Plaza!G152</f>
        <v/>
      </c>
      <c r="I152" s="165" t="str">
        <f>Plaza!H152</f>
        <v/>
      </c>
      <c r="J152" s="164" t="str">
        <f>'Закупка'!I152</f>
        <v/>
      </c>
      <c r="K152" s="163" t="str">
        <f>Augusta!G152</f>
        <v/>
      </c>
      <c r="L152" s="165" t="str">
        <f>Augusta!H152</f>
        <v/>
      </c>
      <c r="M152" s="164" t="str">
        <f>'Закупка'!J152</f>
        <v/>
      </c>
      <c r="N152" s="163" t="str">
        <f>Gloria!G152</f>
        <v/>
      </c>
      <c r="O152" s="165" t="str">
        <f>Gloria!H152</f>
        <v/>
      </c>
      <c r="P152" s="164" t="str">
        <f>'Закупка'!K152</f>
        <v/>
      </c>
      <c r="Q152" s="163" t="str">
        <f>Blau!G152</f>
        <v/>
      </c>
      <c r="R152" s="165" t="str">
        <f>Blau!H152</f>
        <v/>
      </c>
      <c r="S152" s="166" t="str">
        <f>'Закупка'!E152</f>
        <v/>
      </c>
      <c r="T152" s="166" t="str">
        <f t="shared" si="1"/>
        <v/>
      </c>
      <c r="U152" s="34" t="str">
        <f>'Закупка'!F152</f>
        <v/>
      </c>
      <c r="V152" s="167" t="str">
        <f>'Закупка'!O152</f>
        <v/>
      </c>
      <c r="W152" s="167" t="str">
        <f t="shared" si="2"/>
        <v/>
      </c>
      <c r="X152" s="168"/>
      <c r="Y152" s="169" t="str">
        <f>'Закупка'!P152</f>
        <v/>
      </c>
      <c r="Z152" s="170" t="str">
        <f>'Закупка'!Q152</f>
        <v/>
      </c>
      <c r="AA152" s="171" t="str">
        <f>'Закупка'!R152</f>
        <v/>
      </c>
      <c r="AB152" s="172" t="str">
        <f>'Закупка'!T152</f>
        <v/>
      </c>
      <c r="AC152" s="173" t="str">
        <f>'Закупка'!S152</f>
        <v/>
      </c>
      <c r="AD152" s="174" t="str">
        <f>'Закупка'!W152</f>
        <v/>
      </c>
      <c r="AE152" s="87" t="str">
        <f>'Закупка'!Y152</f>
        <v/>
      </c>
    </row>
    <row r="153">
      <c r="A153" s="98" t="str">
        <f>'Закупка'!A153</f>
        <v/>
      </c>
      <c r="B153" s="81" t="str">
        <f>'Закупка'!B153</f>
        <v/>
      </c>
      <c r="C153" s="163" t="str">
        <f>'Закупка'!L153</f>
        <v/>
      </c>
      <c r="D153" s="164" t="str">
        <f>'Закупка'!G153</f>
        <v/>
      </c>
      <c r="E153" s="163" t="str">
        <f>Muntaner!G153</f>
        <v/>
      </c>
      <c r="F153" s="165" t="str">
        <f>Muntaner!H153</f>
        <v/>
      </c>
      <c r="G153" s="164" t="str">
        <f>'Закупка'!H153</f>
        <v/>
      </c>
      <c r="H153" s="163" t="str">
        <f>Plaza!G153</f>
        <v/>
      </c>
      <c r="I153" s="165" t="str">
        <f>Plaza!H153</f>
        <v/>
      </c>
      <c r="J153" s="164" t="str">
        <f>'Закупка'!I153</f>
        <v/>
      </c>
      <c r="K153" s="163" t="str">
        <f>Augusta!G153</f>
        <v/>
      </c>
      <c r="L153" s="165" t="str">
        <f>Augusta!H153</f>
        <v/>
      </c>
      <c r="M153" s="164" t="str">
        <f>'Закупка'!J153</f>
        <v/>
      </c>
      <c r="N153" s="163" t="str">
        <f>Gloria!G153</f>
        <v/>
      </c>
      <c r="O153" s="165" t="str">
        <f>Gloria!H153</f>
        <v/>
      </c>
      <c r="P153" s="164" t="str">
        <f>'Закупка'!K153</f>
        <v/>
      </c>
      <c r="Q153" s="163" t="str">
        <f>Blau!G153</f>
        <v/>
      </c>
      <c r="R153" s="165" t="str">
        <f>Blau!H153</f>
        <v/>
      </c>
      <c r="S153" s="166" t="str">
        <f>'Закупка'!E153</f>
        <v/>
      </c>
      <c r="T153" s="166" t="str">
        <f t="shared" si="1"/>
        <v/>
      </c>
      <c r="U153" s="34" t="str">
        <f>'Закупка'!F153</f>
        <v/>
      </c>
      <c r="V153" s="167" t="str">
        <f>'Закупка'!O153</f>
        <v/>
      </c>
      <c r="W153" s="167" t="str">
        <f t="shared" si="2"/>
        <v/>
      </c>
      <c r="X153" s="168"/>
      <c r="Y153" s="169" t="str">
        <f>'Закупка'!P153</f>
        <v/>
      </c>
      <c r="Z153" s="170" t="str">
        <f>'Закупка'!Q153</f>
        <v/>
      </c>
      <c r="AA153" s="171" t="str">
        <f>'Закупка'!R153</f>
        <v/>
      </c>
      <c r="AB153" s="172" t="str">
        <f>'Закупка'!T153</f>
        <v/>
      </c>
      <c r="AC153" s="173" t="str">
        <f>'Закупка'!S153</f>
        <v/>
      </c>
      <c r="AD153" s="174" t="str">
        <f>'Закупка'!W153</f>
        <v/>
      </c>
      <c r="AE153" s="87" t="str">
        <f>'Закупка'!Y153</f>
        <v/>
      </c>
    </row>
    <row r="154">
      <c r="A154" s="98" t="str">
        <f>'Закупка'!A154</f>
        <v/>
      </c>
      <c r="B154" s="81" t="str">
        <f>'Закупка'!B154</f>
        <v/>
      </c>
      <c r="C154" s="163" t="str">
        <f>'Закупка'!L154</f>
        <v/>
      </c>
      <c r="D154" s="164" t="str">
        <f>'Закупка'!G154</f>
        <v/>
      </c>
      <c r="E154" s="163" t="str">
        <f>Muntaner!G154</f>
        <v/>
      </c>
      <c r="F154" s="165" t="str">
        <f>Muntaner!H154</f>
        <v/>
      </c>
      <c r="G154" s="164" t="str">
        <f>'Закупка'!H154</f>
        <v/>
      </c>
      <c r="H154" s="163" t="str">
        <f>Plaza!G154</f>
        <v/>
      </c>
      <c r="I154" s="165" t="str">
        <f>Plaza!H154</f>
        <v/>
      </c>
      <c r="J154" s="164" t="str">
        <f>'Закупка'!I154</f>
        <v/>
      </c>
      <c r="K154" s="163" t="str">
        <f>Augusta!G154</f>
        <v/>
      </c>
      <c r="L154" s="165" t="str">
        <f>Augusta!H154</f>
        <v/>
      </c>
      <c r="M154" s="164" t="str">
        <f>'Закупка'!J154</f>
        <v/>
      </c>
      <c r="N154" s="163" t="str">
        <f>Gloria!G154</f>
        <v/>
      </c>
      <c r="O154" s="165" t="str">
        <f>Gloria!H154</f>
        <v/>
      </c>
      <c r="P154" s="164" t="str">
        <f>'Закупка'!K154</f>
        <v/>
      </c>
      <c r="Q154" s="163" t="str">
        <f>Blau!G154</f>
        <v/>
      </c>
      <c r="R154" s="165" t="str">
        <f>Blau!H154</f>
        <v/>
      </c>
      <c r="S154" s="166" t="str">
        <f>'Закупка'!E154</f>
        <v/>
      </c>
      <c r="T154" s="166" t="str">
        <f t="shared" si="1"/>
        <v/>
      </c>
      <c r="U154" s="34" t="str">
        <f>'Закупка'!F154</f>
        <v/>
      </c>
      <c r="V154" s="167" t="str">
        <f>'Закупка'!O154</f>
        <v/>
      </c>
      <c r="W154" s="167" t="str">
        <f t="shared" si="2"/>
        <v/>
      </c>
      <c r="X154" s="168"/>
      <c r="Y154" s="169" t="str">
        <f>'Закупка'!P154</f>
        <v/>
      </c>
      <c r="Z154" s="170" t="str">
        <f>'Закупка'!Q154</f>
        <v/>
      </c>
      <c r="AA154" s="171" t="str">
        <f>'Закупка'!R154</f>
        <v/>
      </c>
      <c r="AB154" s="172" t="str">
        <f>'Закупка'!T154</f>
        <v/>
      </c>
      <c r="AC154" s="173" t="str">
        <f>'Закупка'!S154</f>
        <v/>
      </c>
      <c r="AD154" s="174" t="str">
        <f>'Закупка'!W154</f>
        <v/>
      </c>
      <c r="AE154" s="87" t="str">
        <f>'Закупка'!Y154</f>
        <v/>
      </c>
    </row>
    <row r="155">
      <c r="A155" s="98" t="str">
        <f>'Закупка'!A155</f>
        <v/>
      </c>
      <c r="B155" s="81" t="str">
        <f>'Закупка'!B155</f>
        <v/>
      </c>
      <c r="C155" s="163" t="str">
        <f>'Закупка'!L155</f>
        <v/>
      </c>
      <c r="D155" s="164" t="str">
        <f>'Закупка'!G155</f>
        <v/>
      </c>
      <c r="E155" s="163" t="str">
        <f>Muntaner!G155</f>
        <v/>
      </c>
      <c r="F155" s="165" t="str">
        <f>Muntaner!H155</f>
        <v/>
      </c>
      <c r="G155" s="164" t="str">
        <f>'Закупка'!H155</f>
        <v/>
      </c>
      <c r="H155" s="163" t="str">
        <f>Plaza!G155</f>
        <v/>
      </c>
      <c r="I155" s="165" t="str">
        <f>Plaza!H155</f>
        <v/>
      </c>
      <c r="J155" s="164" t="str">
        <f>'Закупка'!I155</f>
        <v/>
      </c>
      <c r="K155" s="163" t="str">
        <f>Augusta!G155</f>
        <v/>
      </c>
      <c r="L155" s="165" t="str">
        <f>Augusta!H155</f>
        <v/>
      </c>
      <c r="M155" s="164" t="str">
        <f>'Закупка'!J155</f>
        <v/>
      </c>
      <c r="N155" s="163" t="str">
        <f>Gloria!G155</f>
        <v/>
      </c>
      <c r="O155" s="165" t="str">
        <f>Gloria!H155</f>
        <v/>
      </c>
      <c r="P155" s="164" t="str">
        <f>'Закупка'!K155</f>
        <v/>
      </c>
      <c r="Q155" s="163" t="str">
        <f>Blau!G155</f>
        <v/>
      </c>
      <c r="R155" s="165" t="str">
        <f>Blau!H155</f>
        <v/>
      </c>
      <c r="S155" s="166" t="str">
        <f>'Закупка'!E155</f>
        <v/>
      </c>
      <c r="T155" s="166" t="str">
        <f t="shared" si="1"/>
        <v/>
      </c>
      <c r="U155" s="34" t="str">
        <f>'Закупка'!F155</f>
        <v/>
      </c>
      <c r="V155" s="167" t="str">
        <f>'Закупка'!O155</f>
        <v/>
      </c>
      <c r="W155" s="167" t="str">
        <f t="shared" si="2"/>
        <v/>
      </c>
      <c r="X155" s="168"/>
      <c r="Y155" s="169" t="str">
        <f>'Закупка'!P155</f>
        <v/>
      </c>
      <c r="Z155" s="170" t="str">
        <f>'Закупка'!Q155</f>
        <v/>
      </c>
      <c r="AA155" s="171" t="str">
        <f>'Закупка'!R155</f>
        <v/>
      </c>
      <c r="AB155" s="172" t="str">
        <f>'Закупка'!T155</f>
        <v/>
      </c>
      <c r="AC155" s="173" t="str">
        <f>'Закупка'!S155</f>
        <v/>
      </c>
      <c r="AD155" s="174" t="str">
        <f>'Закупка'!W155</f>
        <v/>
      </c>
      <c r="AE155" s="87" t="str">
        <f>'Закупка'!Y155</f>
        <v/>
      </c>
    </row>
    <row r="156">
      <c r="A156" s="98" t="str">
        <f>'Закупка'!A156</f>
        <v/>
      </c>
      <c r="B156" s="81" t="str">
        <f>'Закупка'!B156</f>
        <v/>
      </c>
      <c r="C156" s="163" t="str">
        <f>'Закупка'!L156</f>
        <v/>
      </c>
      <c r="D156" s="164" t="str">
        <f>'Закупка'!G156</f>
        <v/>
      </c>
      <c r="E156" s="163" t="str">
        <f>Muntaner!G156</f>
        <v/>
      </c>
      <c r="F156" s="165" t="str">
        <f>Muntaner!H156</f>
        <v/>
      </c>
      <c r="G156" s="164" t="str">
        <f>'Закупка'!H156</f>
        <v/>
      </c>
      <c r="H156" s="163" t="str">
        <f>Plaza!G156</f>
        <v/>
      </c>
      <c r="I156" s="165" t="str">
        <f>Plaza!H156</f>
        <v/>
      </c>
      <c r="J156" s="164" t="str">
        <f>'Закупка'!I156</f>
        <v/>
      </c>
      <c r="K156" s="163" t="str">
        <f>Augusta!G156</f>
        <v/>
      </c>
      <c r="L156" s="165" t="str">
        <f>Augusta!H156</f>
        <v/>
      </c>
      <c r="M156" s="164" t="str">
        <f>'Закупка'!J156</f>
        <v/>
      </c>
      <c r="N156" s="163" t="str">
        <f>Gloria!G156</f>
        <v/>
      </c>
      <c r="O156" s="165" t="str">
        <f>Gloria!H156</f>
        <v/>
      </c>
      <c r="P156" s="164" t="str">
        <f>'Закупка'!K156</f>
        <v/>
      </c>
      <c r="Q156" s="163" t="str">
        <f>Blau!G156</f>
        <v/>
      </c>
      <c r="R156" s="165" t="str">
        <f>Blau!H156</f>
        <v/>
      </c>
      <c r="S156" s="166" t="str">
        <f>'Закупка'!E156</f>
        <v/>
      </c>
      <c r="T156" s="166" t="str">
        <f t="shared" si="1"/>
        <v/>
      </c>
      <c r="U156" s="34" t="str">
        <f>'Закупка'!F156</f>
        <v/>
      </c>
      <c r="V156" s="167" t="str">
        <f>'Закупка'!O156</f>
        <v/>
      </c>
      <c r="W156" s="167" t="str">
        <f t="shared" si="2"/>
        <v/>
      </c>
      <c r="X156" s="168"/>
      <c r="Y156" s="169" t="str">
        <f>'Закупка'!P156</f>
        <v/>
      </c>
      <c r="Z156" s="170" t="str">
        <f>'Закупка'!Q156</f>
        <v/>
      </c>
      <c r="AA156" s="171" t="str">
        <f>'Закупка'!R156</f>
        <v/>
      </c>
      <c r="AB156" s="172" t="str">
        <f>'Закупка'!T156</f>
        <v/>
      </c>
      <c r="AC156" s="173" t="str">
        <f>'Закупка'!S156</f>
        <v/>
      </c>
      <c r="AD156" s="174" t="str">
        <f>'Закупка'!W156</f>
        <v/>
      </c>
      <c r="AE156" s="87" t="str">
        <f>'Закупка'!Y156</f>
        <v/>
      </c>
    </row>
    <row r="157">
      <c r="A157" s="98" t="str">
        <f>'Закупка'!A157</f>
        <v/>
      </c>
      <c r="B157" s="81" t="str">
        <f>'Закупка'!B157</f>
        <v/>
      </c>
      <c r="C157" s="163" t="str">
        <f>'Закупка'!L157</f>
        <v/>
      </c>
      <c r="D157" s="164" t="str">
        <f>'Закупка'!G157</f>
        <v/>
      </c>
      <c r="E157" s="163" t="str">
        <f>Muntaner!G157</f>
        <v/>
      </c>
      <c r="F157" s="165" t="str">
        <f>Muntaner!H157</f>
        <v/>
      </c>
      <c r="G157" s="164" t="str">
        <f>'Закупка'!H157</f>
        <v/>
      </c>
      <c r="H157" s="163" t="str">
        <f>Plaza!G157</f>
        <v/>
      </c>
      <c r="I157" s="165" t="str">
        <f>Plaza!H157</f>
        <v/>
      </c>
      <c r="J157" s="164" t="str">
        <f>'Закупка'!I157</f>
        <v/>
      </c>
      <c r="K157" s="163" t="str">
        <f>Augusta!G157</f>
        <v/>
      </c>
      <c r="L157" s="165" t="str">
        <f>Augusta!H157</f>
        <v/>
      </c>
      <c r="M157" s="164" t="str">
        <f>'Закупка'!J157</f>
        <v/>
      </c>
      <c r="N157" s="163" t="str">
        <f>Gloria!G157</f>
        <v/>
      </c>
      <c r="O157" s="165" t="str">
        <f>Gloria!H157</f>
        <v/>
      </c>
      <c r="P157" s="164" t="str">
        <f>'Закупка'!K157</f>
        <v/>
      </c>
      <c r="Q157" s="163" t="str">
        <f>Blau!G157</f>
        <v/>
      </c>
      <c r="R157" s="165" t="str">
        <f>Blau!H157</f>
        <v/>
      </c>
      <c r="S157" s="166" t="str">
        <f>'Закупка'!E157</f>
        <v/>
      </c>
      <c r="T157" s="166" t="str">
        <f t="shared" si="1"/>
        <v/>
      </c>
      <c r="U157" s="34" t="str">
        <f>'Закупка'!F157</f>
        <v/>
      </c>
      <c r="V157" s="167" t="str">
        <f>'Закупка'!O157</f>
        <v/>
      </c>
      <c r="W157" s="167" t="str">
        <f t="shared" si="2"/>
        <v/>
      </c>
      <c r="X157" s="168"/>
      <c r="Y157" s="169" t="str">
        <f>'Закупка'!P157</f>
        <v/>
      </c>
      <c r="Z157" s="170" t="str">
        <f>'Закупка'!Q157</f>
        <v/>
      </c>
      <c r="AA157" s="171" t="str">
        <f>'Закупка'!R157</f>
        <v/>
      </c>
      <c r="AB157" s="172" t="str">
        <f>'Закупка'!T157</f>
        <v/>
      </c>
      <c r="AC157" s="173" t="str">
        <f>'Закупка'!S157</f>
        <v/>
      </c>
      <c r="AD157" s="174" t="str">
        <f>'Закупка'!W157</f>
        <v/>
      </c>
      <c r="AE157" s="87" t="str">
        <f>'Закупка'!Y157</f>
        <v/>
      </c>
    </row>
    <row r="158">
      <c r="A158" s="98" t="str">
        <f>'Закупка'!A158</f>
        <v/>
      </c>
      <c r="B158" s="81" t="str">
        <f>'Закупка'!B158</f>
        <v/>
      </c>
      <c r="C158" s="163" t="str">
        <f>'Закупка'!L158</f>
        <v/>
      </c>
      <c r="D158" s="164" t="str">
        <f>'Закупка'!G158</f>
        <v/>
      </c>
      <c r="E158" s="163" t="str">
        <f>Muntaner!G158</f>
        <v/>
      </c>
      <c r="F158" s="165" t="str">
        <f>Muntaner!H158</f>
        <v/>
      </c>
      <c r="G158" s="164" t="str">
        <f>'Закупка'!H158</f>
        <v/>
      </c>
      <c r="H158" s="163" t="str">
        <f>Plaza!G158</f>
        <v/>
      </c>
      <c r="I158" s="165" t="str">
        <f>Plaza!H158</f>
        <v/>
      </c>
      <c r="J158" s="164" t="str">
        <f>'Закупка'!I158</f>
        <v/>
      </c>
      <c r="K158" s="163" t="str">
        <f>Augusta!G158</f>
        <v/>
      </c>
      <c r="L158" s="165" t="str">
        <f>Augusta!H158</f>
        <v/>
      </c>
      <c r="M158" s="164" t="str">
        <f>'Закупка'!J158</f>
        <v/>
      </c>
      <c r="N158" s="163" t="str">
        <f>Gloria!G158</f>
        <v/>
      </c>
      <c r="O158" s="165" t="str">
        <f>Gloria!H158</f>
        <v/>
      </c>
      <c r="P158" s="164" t="str">
        <f>'Закупка'!K158</f>
        <v/>
      </c>
      <c r="Q158" s="163" t="str">
        <f>Blau!G158</f>
        <v/>
      </c>
      <c r="R158" s="165" t="str">
        <f>Blau!H158</f>
        <v/>
      </c>
      <c r="S158" s="166" t="str">
        <f>'Закупка'!E158</f>
        <v/>
      </c>
      <c r="T158" s="166" t="str">
        <f t="shared" si="1"/>
        <v/>
      </c>
      <c r="U158" s="34" t="str">
        <f>'Закупка'!F158</f>
        <v/>
      </c>
      <c r="V158" s="167" t="str">
        <f>'Закупка'!O158</f>
        <v/>
      </c>
      <c r="W158" s="167" t="str">
        <f t="shared" si="2"/>
        <v/>
      </c>
      <c r="X158" s="168"/>
      <c r="Y158" s="169" t="str">
        <f>'Закупка'!P158</f>
        <v/>
      </c>
      <c r="Z158" s="170" t="str">
        <f>'Закупка'!Q158</f>
        <v/>
      </c>
      <c r="AA158" s="171" t="str">
        <f>'Закупка'!R158</f>
        <v/>
      </c>
      <c r="AB158" s="172" t="str">
        <f>'Закупка'!T158</f>
        <v/>
      </c>
      <c r="AC158" s="173" t="str">
        <f>'Закупка'!S158</f>
        <v/>
      </c>
      <c r="AD158" s="174" t="str">
        <f>'Закупка'!W158</f>
        <v/>
      </c>
      <c r="AE158" s="87" t="str">
        <f>'Закупка'!Y158</f>
        <v/>
      </c>
    </row>
    <row r="159">
      <c r="A159" s="98" t="str">
        <f>'Закупка'!A159</f>
        <v/>
      </c>
      <c r="B159" s="81" t="str">
        <f>'Закупка'!B159</f>
        <v/>
      </c>
      <c r="C159" s="163" t="str">
        <f>'Закупка'!L159</f>
        <v/>
      </c>
      <c r="D159" s="164" t="str">
        <f>'Закупка'!G159</f>
        <v/>
      </c>
      <c r="E159" s="163" t="str">
        <f>Muntaner!G159</f>
        <v/>
      </c>
      <c r="F159" s="165" t="str">
        <f>Muntaner!H159</f>
        <v/>
      </c>
      <c r="G159" s="164" t="str">
        <f>'Закупка'!H159</f>
        <v/>
      </c>
      <c r="H159" s="163" t="str">
        <f>Plaza!G159</f>
        <v/>
      </c>
      <c r="I159" s="165" t="str">
        <f>Plaza!H159</f>
        <v/>
      </c>
      <c r="J159" s="164" t="str">
        <f>'Закупка'!I159</f>
        <v/>
      </c>
      <c r="K159" s="163" t="str">
        <f>Augusta!G159</f>
        <v/>
      </c>
      <c r="L159" s="165" t="str">
        <f>Augusta!H159</f>
        <v/>
      </c>
      <c r="M159" s="164" t="str">
        <f>'Закупка'!J159</f>
        <v/>
      </c>
      <c r="N159" s="163" t="str">
        <f>Gloria!G159</f>
        <v/>
      </c>
      <c r="O159" s="165" t="str">
        <f>Gloria!H159</f>
        <v/>
      </c>
      <c r="P159" s="164" t="str">
        <f>'Закупка'!K159</f>
        <v/>
      </c>
      <c r="Q159" s="163" t="str">
        <f>Blau!G159</f>
        <v/>
      </c>
      <c r="R159" s="165" t="str">
        <f>Blau!H159</f>
        <v/>
      </c>
      <c r="S159" s="166" t="str">
        <f>'Закупка'!E159</f>
        <v/>
      </c>
      <c r="T159" s="166" t="str">
        <f t="shared" si="1"/>
        <v/>
      </c>
      <c r="U159" s="34" t="str">
        <f>'Закупка'!F159</f>
        <v/>
      </c>
      <c r="V159" s="167" t="str">
        <f>'Закупка'!O159</f>
        <v/>
      </c>
      <c r="W159" s="167" t="str">
        <f t="shared" si="2"/>
        <v/>
      </c>
      <c r="X159" s="168"/>
      <c r="Y159" s="169" t="str">
        <f>'Закупка'!P159</f>
        <v/>
      </c>
      <c r="Z159" s="170" t="str">
        <f>'Закупка'!Q159</f>
        <v/>
      </c>
      <c r="AA159" s="171" t="str">
        <f>'Закупка'!R159</f>
        <v/>
      </c>
      <c r="AB159" s="172" t="str">
        <f>'Закупка'!T159</f>
        <v/>
      </c>
      <c r="AC159" s="173" t="str">
        <f>'Закупка'!S159</f>
        <v/>
      </c>
      <c r="AD159" s="174" t="str">
        <f>'Закупка'!W159</f>
        <v/>
      </c>
      <c r="AE159" s="87" t="str">
        <f>'Закупка'!Y159</f>
        <v/>
      </c>
    </row>
    <row r="160">
      <c r="A160" s="98" t="str">
        <f>'Закупка'!A160</f>
        <v/>
      </c>
      <c r="B160" s="81" t="str">
        <f>'Закупка'!B160</f>
        <v/>
      </c>
      <c r="C160" s="163" t="str">
        <f>'Закупка'!L160</f>
        <v/>
      </c>
      <c r="D160" s="164" t="str">
        <f>'Закупка'!G160</f>
        <v/>
      </c>
      <c r="E160" s="163" t="str">
        <f>Muntaner!G160</f>
        <v/>
      </c>
      <c r="F160" s="165" t="str">
        <f>Muntaner!H160</f>
        <v/>
      </c>
      <c r="G160" s="164" t="str">
        <f>'Закупка'!H160</f>
        <v/>
      </c>
      <c r="H160" s="163" t="str">
        <f>Plaza!G160</f>
        <v/>
      </c>
      <c r="I160" s="165" t="str">
        <f>Plaza!H160</f>
        <v/>
      </c>
      <c r="J160" s="164" t="str">
        <f>'Закупка'!I160</f>
        <v/>
      </c>
      <c r="K160" s="163" t="str">
        <f>Augusta!G160</f>
        <v/>
      </c>
      <c r="L160" s="165" t="str">
        <f>Augusta!H160</f>
        <v/>
      </c>
      <c r="M160" s="164" t="str">
        <f>'Закупка'!J160</f>
        <v/>
      </c>
      <c r="N160" s="163" t="str">
        <f>Gloria!G160</f>
        <v/>
      </c>
      <c r="O160" s="165" t="str">
        <f>Gloria!H160</f>
        <v/>
      </c>
      <c r="P160" s="164" t="str">
        <f>'Закупка'!K160</f>
        <v/>
      </c>
      <c r="Q160" s="163" t="str">
        <f>Blau!G160</f>
        <v/>
      </c>
      <c r="R160" s="165" t="str">
        <f>Blau!H160</f>
        <v/>
      </c>
      <c r="S160" s="166" t="str">
        <f>'Закупка'!E160</f>
        <v/>
      </c>
      <c r="T160" s="166" t="str">
        <f t="shared" si="1"/>
        <v/>
      </c>
      <c r="U160" s="34" t="str">
        <f>'Закупка'!F160</f>
        <v/>
      </c>
      <c r="V160" s="167" t="str">
        <f>'Закупка'!O160</f>
        <v/>
      </c>
      <c r="W160" s="167" t="str">
        <f t="shared" si="2"/>
        <v/>
      </c>
      <c r="X160" s="168"/>
      <c r="Y160" s="169" t="str">
        <f>'Закупка'!P160</f>
        <v/>
      </c>
      <c r="Z160" s="170" t="str">
        <f>'Закупка'!Q160</f>
        <v/>
      </c>
      <c r="AA160" s="171" t="str">
        <f>'Закупка'!R160</f>
        <v/>
      </c>
      <c r="AB160" s="172" t="str">
        <f>'Закупка'!T160</f>
        <v/>
      </c>
      <c r="AC160" s="173" t="str">
        <f>'Закупка'!S160</f>
        <v/>
      </c>
      <c r="AD160" s="174" t="str">
        <f>'Закупка'!W160</f>
        <v/>
      </c>
      <c r="AE160" s="87" t="str">
        <f>'Закупка'!Y160</f>
        <v/>
      </c>
    </row>
    <row r="161">
      <c r="A161" s="98" t="str">
        <f>'Закупка'!A161</f>
        <v/>
      </c>
      <c r="B161" s="81" t="str">
        <f>'Закупка'!B161</f>
        <v/>
      </c>
      <c r="C161" s="163" t="str">
        <f>'Закупка'!L161</f>
        <v/>
      </c>
      <c r="D161" s="164" t="str">
        <f>'Закупка'!G161</f>
        <v/>
      </c>
      <c r="E161" s="163" t="str">
        <f>Muntaner!G161</f>
        <v/>
      </c>
      <c r="F161" s="165" t="str">
        <f>Muntaner!H161</f>
        <v/>
      </c>
      <c r="G161" s="164" t="str">
        <f>'Закупка'!H161</f>
        <v/>
      </c>
      <c r="H161" s="163" t="str">
        <f>Plaza!G161</f>
        <v/>
      </c>
      <c r="I161" s="165" t="str">
        <f>Plaza!H161</f>
        <v/>
      </c>
      <c r="J161" s="164" t="str">
        <f>'Закупка'!I161</f>
        <v/>
      </c>
      <c r="K161" s="163" t="str">
        <f>Augusta!G161</f>
        <v/>
      </c>
      <c r="L161" s="165" t="str">
        <f>Augusta!H161</f>
        <v/>
      </c>
      <c r="M161" s="164" t="str">
        <f>'Закупка'!J161</f>
        <v/>
      </c>
      <c r="N161" s="163" t="str">
        <f>Gloria!G161</f>
        <v/>
      </c>
      <c r="O161" s="165" t="str">
        <f>Gloria!H161</f>
        <v/>
      </c>
      <c r="P161" s="164" t="str">
        <f>'Закупка'!K161</f>
        <v/>
      </c>
      <c r="Q161" s="163" t="str">
        <f>Blau!G161</f>
        <v/>
      </c>
      <c r="R161" s="165" t="str">
        <f>Blau!H161</f>
        <v/>
      </c>
      <c r="S161" s="166" t="str">
        <f>'Закупка'!E161</f>
        <v/>
      </c>
      <c r="T161" s="166" t="str">
        <f t="shared" si="1"/>
        <v/>
      </c>
      <c r="U161" s="34" t="str">
        <f>'Закупка'!F161</f>
        <v/>
      </c>
      <c r="V161" s="167" t="str">
        <f>'Закупка'!O161</f>
        <v/>
      </c>
      <c r="W161" s="167" t="str">
        <f t="shared" si="2"/>
        <v/>
      </c>
      <c r="X161" s="168"/>
      <c r="Y161" s="169" t="str">
        <f>'Закупка'!P161</f>
        <v/>
      </c>
      <c r="Z161" s="170" t="str">
        <f>'Закупка'!Q161</f>
        <v/>
      </c>
      <c r="AA161" s="171" t="str">
        <f>'Закупка'!R161</f>
        <v/>
      </c>
      <c r="AB161" s="172" t="str">
        <f>'Закупка'!T161</f>
        <v/>
      </c>
      <c r="AC161" s="173" t="str">
        <f>'Закупка'!S161</f>
        <v/>
      </c>
      <c r="AD161" s="174" t="str">
        <f>'Закупка'!W161</f>
        <v/>
      </c>
      <c r="AE161" s="87" t="str">
        <f>'Закупка'!Y161</f>
        <v/>
      </c>
    </row>
    <row r="162">
      <c r="A162" s="98" t="str">
        <f>'Закупка'!A162</f>
        <v/>
      </c>
      <c r="B162" s="81" t="str">
        <f>'Закупка'!B162</f>
        <v/>
      </c>
      <c r="C162" s="163" t="str">
        <f>'Закупка'!L162</f>
        <v/>
      </c>
      <c r="D162" s="164" t="str">
        <f>'Закупка'!G162</f>
        <v/>
      </c>
      <c r="E162" s="163" t="str">
        <f>Muntaner!G162</f>
        <v/>
      </c>
      <c r="F162" s="165" t="str">
        <f>Muntaner!H162</f>
        <v/>
      </c>
      <c r="G162" s="164" t="str">
        <f>'Закупка'!H162</f>
        <v/>
      </c>
      <c r="H162" s="163" t="str">
        <f>Plaza!G162</f>
        <v/>
      </c>
      <c r="I162" s="165" t="str">
        <f>Plaza!H162</f>
        <v/>
      </c>
      <c r="J162" s="164" t="str">
        <f>'Закупка'!I162</f>
        <v/>
      </c>
      <c r="K162" s="163" t="str">
        <f>Augusta!G162</f>
        <v/>
      </c>
      <c r="L162" s="165" t="str">
        <f>Augusta!H162</f>
        <v/>
      </c>
      <c r="M162" s="164" t="str">
        <f>'Закупка'!J162</f>
        <v/>
      </c>
      <c r="N162" s="163" t="str">
        <f>Gloria!G162</f>
        <v/>
      </c>
      <c r="O162" s="165" t="str">
        <f>Gloria!H162</f>
        <v/>
      </c>
      <c r="P162" s="164" t="str">
        <f>'Закупка'!K162</f>
        <v/>
      </c>
      <c r="Q162" s="163" t="str">
        <f>Blau!G162</f>
        <v/>
      </c>
      <c r="R162" s="165" t="str">
        <f>Blau!H162</f>
        <v/>
      </c>
      <c r="S162" s="166" t="str">
        <f>'Закупка'!E162</f>
        <v/>
      </c>
      <c r="T162" s="166" t="str">
        <f t="shared" si="1"/>
        <v/>
      </c>
      <c r="U162" s="34" t="str">
        <f>'Закупка'!F162</f>
        <v/>
      </c>
      <c r="V162" s="167" t="str">
        <f>'Закупка'!O162</f>
        <v/>
      </c>
      <c r="W162" s="167" t="str">
        <f t="shared" si="2"/>
        <v/>
      </c>
      <c r="X162" s="168"/>
      <c r="Y162" s="169" t="str">
        <f>'Закупка'!P162</f>
        <v/>
      </c>
      <c r="Z162" s="170" t="str">
        <f>'Закупка'!Q162</f>
        <v/>
      </c>
      <c r="AA162" s="171" t="str">
        <f>'Закупка'!R162</f>
        <v/>
      </c>
      <c r="AB162" s="172" t="str">
        <f>'Закупка'!T162</f>
        <v/>
      </c>
      <c r="AC162" s="173" t="str">
        <f>'Закупка'!S162</f>
        <v/>
      </c>
      <c r="AD162" s="174" t="str">
        <f>'Закупка'!W162</f>
        <v/>
      </c>
      <c r="AE162" s="87" t="str">
        <f>'Закупка'!Y162</f>
        <v/>
      </c>
    </row>
    <row r="163">
      <c r="A163" s="98" t="str">
        <f>'Закупка'!A163</f>
        <v/>
      </c>
      <c r="B163" s="81" t="str">
        <f>'Закупка'!B163</f>
        <v/>
      </c>
      <c r="C163" s="163" t="str">
        <f>'Закупка'!L163</f>
        <v/>
      </c>
      <c r="D163" s="164" t="str">
        <f>'Закупка'!G163</f>
        <v/>
      </c>
      <c r="E163" s="163" t="str">
        <f>Muntaner!G163</f>
        <v/>
      </c>
      <c r="F163" s="165" t="str">
        <f>Muntaner!H163</f>
        <v/>
      </c>
      <c r="G163" s="164" t="str">
        <f>'Закупка'!H163</f>
        <v/>
      </c>
      <c r="H163" s="163" t="str">
        <f>Plaza!G163</f>
        <v/>
      </c>
      <c r="I163" s="165" t="str">
        <f>Plaza!H163</f>
        <v/>
      </c>
      <c r="J163" s="164" t="str">
        <f>'Закупка'!I163</f>
        <v/>
      </c>
      <c r="K163" s="163" t="str">
        <f>Augusta!G163</f>
        <v/>
      </c>
      <c r="L163" s="165" t="str">
        <f>Augusta!H163</f>
        <v/>
      </c>
      <c r="M163" s="164" t="str">
        <f>'Закупка'!J163</f>
        <v/>
      </c>
      <c r="N163" s="163" t="str">
        <f>Gloria!G163</f>
        <v/>
      </c>
      <c r="O163" s="165" t="str">
        <f>Gloria!H163</f>
        <v/>
      </c>
      <c r="P163" s="164" t="str">
        <f>'Закупка'!K163</f>
        <v/>
      </c>
      <c r="Q163" s="163" t="str">
        <f>Blau!G163</f>
        <v/>
      </c>
      <c r="R163" s="165" t="str">
        <f>Blau!H163</f>
        <v/>
      </c>
      <c r="S163" s="166" t="str">
        <f>'Закупка'!E163</f>
        <v/>
      </c>
      <c r="T163" s="166" t="str">
        <f t="shared" si="1"/>
        <v/>
      </c>
      <c r="U163" s="34" t="str">
        <f>'Закупка'!F163</f>
        <v/>
      </c>
      <c r="V163" s="167" t="str">
        <f>'Закупка'!O163</f>
        <v/>
      </c>
      <c r="W163" s="167" t="str">
        <f t="shared" si="2"/>
        <v/>
      </c>
      <c r="X163" s="168"/>
      <c r="Y163" s="169" t="str">
        <f>'Закупка'!P163</f>
        <v/>
      </c>
      <c r="Z163" s="170" t="str">
        <f>'Закупка'!Q163</f>
        <v/>
      </c>
      <c r="AA163" s="171" t="str">
        <f>'Закупка'!R163</f>
        <v/>
      </c>
      <c r="AB163" s="172" t="str">
        <f>'Закупка'!T163</f>
        <v/>
      </c>
      <c r="AC163" s="173" t="str">
        <f>'Закупка'!S163</f>
        <v/>
      </c>
      <c r="AD163" s="174" t="str">
        <f>'Закупка'!W163</f>
        <v/>
      </c>
      <c r="AE163" s="87" t="str">
        <f>'Закупка'!Y163</f>
        <v/>
      </c>
    </row>
    <row r="164">
      <c r="A164" s="98" t="str">
        <f>'Закупка'!A164</f>
        <v/>
      </c>
      <c r="B164" s="81" t="str">
        <f>'Закупка'!B164</f>
        <v/>
      </c>
      <c r="C164" s="163" t="str">
        <f>'Закупка'!L164</f>
        <v/>
      </c>
      <c r="D164" s="164" t="str">
        <f>'Закупка'!G164</f>
        <v/>
      </c>
      <c r="E164" s="163" t="str">
        <f>Muntaner!G164</f>
        <v/>
      </c>
      <c r="F164" s="165" t="str">
        <f>Muntaner!H164</f>
        <v/>
      </c>
      <c r="G164" s="164" t="str">
        <f>'Закупка'!H164</f>
        <v/>
      </c>
      <c r="H164" s="163" t="str">
        <f>Plaza!G164</f>
        <v/>
      </c>
      <c r="I164" s="165" t="str">
        <f>Plaza!H164</f>
        <v/>
      </c>
      <c r="J164" s="164" t="str">
        <f>'Закупка'!I164</f>
        <v/>
      </c>
      <c r="K164" s="163" t="str">
        <f>Augusta!G164</f>
        <v/>
      </c>
      <c r="L164" s="165" t="str">
        <f>Augusta!H164</f>
        <v/>
      </c>
      <c r="M164" s="164" t="str">
        <f>'Закупка'!J164</f>
        <v/>
      </c>
      <c r="N164" s="163" t="str">
        <f>Gloria!G164</f>
        <v/>
      </c>
      <c r="O164" s="165" t="str">
        <f>Gloria!H164</f>
        <v/>
      </c>
      <c r="P164" s="164" t="str">
        <f>'Закупка'!K164</f>
        <v/>
      </c>
      <c r="Q164" s="163" t="str">
        <f>Blau!G164</f>
        <v/>
      </c>
      <c r="R164" s="165" t="str">
        <f>Blau!H164</f>
        <v/>
      </c>
      <c r="S164" s="166" t="str">
        <f>'Закупка'!E164</f>
        <v/>
      </c>
      <c r="T164" s="166" t="str">
        <f t="shared" si="1"/>
        <v/>
      </c>
      <c r="U164" s="34" t="str">
        <f>'Закупка'!F164</f>
        <v/>
      </c>
      <c r="V164" s="167" t="str">
        <f>'Закупка'!O164</f>
        <v/>
      </c>
      <c r="W164" s="167" t="str">
        <f t="shared" si="2"/>
        <v/>
      </c>
      <c r="X164" s="168"/>
      <c r="Y164" s="169" t="str">
        <f>'Закупка'!P164</f>
        <v/>
      </c>
      <c r="Z164" s="170" t="str">
        <f>'Закупка'!Q164</f>
        <v/>
      </c>
      <c r="AA164" s="171" t="str">
        <f>'Закупка'!R164</f>
        <v/>
      </c>
      <c r="AB164" s="172" t="str">
        <f>'Закупка'!T164</f>
        <v/>
      </c>
      <c r="AC164" s="173" t="str">
        <f>'Закупка'!S164</f>
        <v/>
      </c>
      <c r="AD164" s="174" t="str">
        <f>'Закупка'!W164</f>
        <v/>
      </c>
      <c r="AE164" s="87" t="str">
        <f>'Закупка'!Y164</f>
        <v/>
      </c>
    </row>
    <row r="165">
      <c r="A165" s="98" t="str">
        <f>'Закупка'!A165</f>
        <v/>
      </c>
      <c r="B165" s="81" t="str">
        <f>'Закупка'!B165</f>
        <v/>
      </c>
      <c r="C165" s="163" t="str">
        <f>'Закупка'!L165</f>
        <v/>
      </c>
      <c r="D165" s="164" t="str">
        <f>'Закупка'!G165</f>
        <v/>
      </c>
      <c r="E165" s="163" t="str">
        <f>Muntaner!G165</f>
        <v/>
      </c>
      <c r="F165" s="165" t="str">
        <f>Muntaner!H165</f>
        <v/>
      </c>
      <c r="G165" s="164" t="str">
        <f>'Закупка'!H165</f>
        <v/>
      </c>
      <c r="H165" s="163" t="str">
        <f>Plaza!G165</f>
        <v/>
      </c>
      <c r="I165" s="165" t="str">
        <f>Plaza!H165</f>
        <v/>
      </c>
      <c r="J165" s="164" t="str">
        <f>'Закупка'!I165</f>
        <v/>
      </c>
      <c r="K165" s="163" t="str">
        <f>Augusta!G165</f>
        <v/>
      </c>
      <c r="L165" s="165" t="str">
        <f>Augusta!H165</f>
        <v/>
      </c>
      <c r="M165" s="164" t="str">
        <f>'Закупка'!J165</f>
        <v/>
      </c>
      <c r="N165" s="163" t="str">
        <f>Gloria!G165</f>
        <v/>
      </c>
      <c r="O165" s="165" t="str">
        <f>Gloria!H165</f>
        <v/>
      </c>
      <c r="P165" s="164" t="str">
        <f>'Закупка'!K165</f>
        <v/>
      </c>
      <c r="Q165" s="163" t="str">
        <f>Blau!G165</f>
        <v/>
      </c>
      <c r="R165" s="165" t="str">
        <f>Blau!H165</f>
        <v/>
      </c>
      <c r="S165" s="166" t="str">
        <f>'Закупка'!E165</f>
        <v/>
      </c>
      <c r="T165" s="166" t="str">
        <f t="shared" si="1"/>
        <v/>
      </c>
      <c r="U165" s="34" t="str">
        <f>'Закупка'!F165</f>
        <v/>
      </c>
      <c r="V165" s="167" t="str">
        <f>'Закупка'!O165</f>
        <v/>
      </c>
      <c r="W165" s="167" t="str">
        <f t="shared" si="2"/>
        <v/>
      </c>
      <c r="X165" s="168"/>
      <c r="Y165" s="169" t="str">
        <f>'Закупка'!P165</f>
        <v/>
      </c>
      <c r="Z165" s="170" t="str">
        <f>'Закупка'!Q165</f>
        <v/>
      </c>
      <c r="AA165" s="171" t="str">
        <f>'Закупка'!R165</f>
        <v/>
      </c>
      <c r="AB165" s="172" t="str">
        <f>'Закупка'!T165</f>
        <v/>
      </c>
      <c r="AC165" s="173" t="str">
        <f>'Закупка'!S165</f>
        <v/>
      </c>
      <c r="AD165" s="174" t="str">
        <f>'Закупка'!W165</f>
        <v/>
      </c>
      <c r="AE165" s="87" t="str">
        <f>'Закупка'!Y165</f>
        <v/>
      </c>
    </row>
    <row r="166">
      <c r="A166" s="98" t="str">
        <f>'Закупка'!A166</f>
        <v/>
      </c>
      <c r="B166" s="81" t="str">
        <f>'Закупка'!B166</f>
        <v/>
      </c>
      <c r="C166" s="163" t="str">
        <f>'Закупка'!L166</f>
        <v/>
      </c>
      <c r="D166" s="164" t="str">
        <f>'Закупка'!G166</f>
        <v/>
      </c>
      <c r="E166" s="163" t="str">
        <f>Muntaner!G166</f>
        <v/>
      </c>
      <c r="F166" s="165" t="str">
        <f>Muntaner!H166</f>
        <v/>
      </c>
      <c r="G166" s="164" t="str">
        <f>'Закупка'!H166</f>
        <v/>
      </c>
      <c r="H166" s="163" t="str">
        <f>Plaza!G166</f>
        <v/>
      </c>
      <c r="I166" s="165" t="str">
        <f>Plaza!H166</f>
        <v/>
      </c>
      <c r="J166" s="164" t="str">
        <f>'Закупка'!I166</f>
        <v/>
      </c>
      <c r="K166" s="163" t="str">
        <f>Augusta!G166</f>
        <v/>
      </c>
      <c r="L166" s="165" t="str">
        <f>Augusta!H166</f>
        <v/>
      </c>
      <c r="M166" s="164" t="str">
        <f>'Закупка'!J166</f>
        <v/>
      </c>
      <c r="N166" s="163" t="str">
        <f>Gloria!G166</f>
        <v/>
      </c>
      <c r="O166" s="165" t="str">
        <f>Gloria!H166</f>
        <v/>
      </c>
      <c r="P166" s="164" t="str">
        <f>'Закупка'!K166</f>
        <v/>
      </c>
      <c r="Q166" s="163" t="str">
        <f>Blau!G166</f>
        <v/>
      </c>
      <c r="R166" s="165" t="str">
        <f>Blau!H166</f>
        <v/>
      </c>
      <c r="S166" s="166" t="str">
        <f>'Закупка'!E166</f>
        <v/>
      </c>
      <c r="T166" s="166" t="str">
        <f t="shared" si="1"/>
        <v/>
      </c>
      <c r="U166" s="34" t="str">
        <f>'Закупка'!F166</f>
        <v/>
      </c>
      <c r="V166" s="167" t="str">
        <f>'Закупка'!O166</f>
        <v/>
      </c>
      <c r="W166" s="167" t="str">
        <f t="shared" si="2"/>
        <v/>
      </c>
      <c r="X166" s="168"/>
      <c r="Y166" s="169" t="str">
        <f>'Закупка'!P166</f>
        <v/>
      </c>
      <c r="Z166" s="170" t="str">
        <f>'Закупка'!Q166</f>
        <v/>
      </c>
      <c r="AA166" s="171" t="str">
        <f>'Закупка'!R166</f>
        <v/>
      </c>
      <c r="AB166" s="172" t="str">
        <f>'Закупка'!T166</f>
        <v/>
      </c>
      <c r="AC166" s="173" t="str">
        <f>'Закупка'!S166</f>
        <v/>
      </c>
      <c r="AD166" s="174" t="str">
        <f>'Закупка'!W166</f>
        <v/>
      </c>
      <c r="AE166" s="87" t="str">
        <f>'Закупка'!Y166</f>
        <v/>
      </c>
    </row>
    <row r="167">
      <c r="A167" s="98" t="str">
        <f>'Закупка'!A167</f>
        <v/>
      </c>
      <c r="B167" s="81" t="str">
        <f>'Закупка'!B167</f>
        <v/>
      </c>
      <c r="C167" s="163" t="str">
        <f>'Закупка'!L167</f>
        <v/>
      </c>
      <c r="D167" s="164" t="str">
        <f>'Закупка'!G167</f>
        <v/>
      </c>
      <c r="E167" s="163" t="str">
        <f>Muntaner!G167</f>
        <v/>
      </c>
      <c r="F167" s="165" t="str">
        <f>Muntaner!H167</f>
        <v/>
      </c>
      <c r="G167" s="164" t="str">
        <f>'Закупка'!H167</f>
        <v/>
      </c>
      <c r="H167" s="163" t="str">
        <f>Plaza!G167</f>
        <v/>
      </c>
      <c r="I167" s="165" t="str">
        <f>Plaza!H167</f>
        <v/>
      </c>
      <c r="J167" s="164" t="str">
        <f>'Закупка'!I167</f>
        <v/>
      </c>
      <c r="K167" s="163" t="str">
        <f>Augusta!G167</f>
        <v/>
      </c>
      <c r="L167" s="165" t="str">
        <f>Augusta!H167</f>
        <v/>
      </c>
      <c r="M167" s="164" t="str">
        <f>'Закупка'!J167</f>
        <v/>
      </c>
      <c r="N167" s="163" t="str">
        <f>Gloria!G167</f>
        <v/>
      </c>
      <c r="O167" s="165" t="str">
        <f>Gloria!H167</f>
        <v/>
      </c>
      <c r="P167" s="164" t="str">
        <f>'Закупка'!K167</f>
        <v/>
      </c>
      <c r="Q167" s="163" t="str">
        <f>Blau!G167</f>
        <v/>
      </c>
      <c r="R167" s="165" t="str">
        <f>Blau!H167</f>
        <v/>
      </c>
      <c r="S167" s="166" t="str">
        <f>'Закупка'!E167</f>
        <v/>
      </c>
      <c r="T167" s="166" t="str">
        <f t="shared" si="1"/>
        <v/>
      </c>
      <c r="U167" s="34" t="str">
        <f>'Закупка'!F167</f>
        <v/>
      </c>
      <c r="V167" s="167" t="str">
        <f>'Закупка'!O167</f>
        <v/>
      </c>
      <c r="W167" s="167" t="str">
        <f t="shared" si="2"/>
        <v/>
      </c>
      <c r="X167" s="168"/>
      <c r="Y167" s="169" t="str">
        <f>'Закупка'!P167</f>
        <v/>
      </c>
      <c r="Z167" s="170" t="str">
        <f>'Закупка'!Q167</f>
        <v/>
      </c>
      <c r="AA167" s="171" t="str">
        <f>'Закупка'!R167</f>
        <v/>
      </c>
      <c r="AB167" s="172" t="str">
        <f>'Закупка'!T167</f>
        <v/>
      </c>
      <c r="AC167" s="173" t="str">
        <f>'Закупка'!S167</f>
        <v/>
      </c>
      <c r="AD167" s="174" t="str">
        <f>'Закупка'!W167</f>
        <v/>
      </c>
      <c r="AE167" s="87" t="str">
        <f>'Закупка'!Y167</f>
        <v/>
      </c>
    </row>
    <row r="168">
      <c r="A168" s="98" t="str">
        <f>'Закупка'!A168</f>
        <v/>
      </c>
      <c r="B168" s="81" t="str">
        <f>'Закупка'!B168</f>
        <v/>
      </c>
      <c r="C168" s="163" t="str">
        <f>'Закупка'!L168</f>
        <v/>
      </c>
      <c r="D168" s="164" t="str">
        <f>'Закупка'!G168</f>
        <v/>
      </c>
      <c r="E168" s="163" t="str">
        <f>Muntaner!G168</f>
        <v/>
      </c>
      <c r="F168" s="165" t="str">
        <f>Muntaner!H168</f>
        <v/>
      </c>
      <c r="G168" s="164" t="str">
        <f>'Закупка'!H168</f>
        <v/>
      </c>
      <c r="H168" s="163" t="str">
        <f>Plaza!G168</f>
        <v/>
      </c>
      <c r="I168" s="165" t="str">
        <f>Plaza!H168</f>
        <v/>
      </c>
      <c r="J168" s="164" t="str">
        <f>'Закупка'!I168</f>
        <v/>
      </c>
      <c r="K168" s="163" t="str">
        <f>Augusta!G168</f>
        <v/>
      </c>
      <c r="L168" s="165" t="str">
        <f>Augusta!H168</f>
        <v/>
      </c>
      <c r="M168" s="164" t="str">
        <f>'Закупка'!J168</f>
        <v/>
      </c>
      <c r="N168" s="163" t="str">
        <f>Gloria!G168</f>
        <v/>
      </c>
      <c r="O168" s="165" t="str">
        <f>Gloria!H168</f>
        <v/>
      </c>
      <c r="P168" s="164" t="str">
        <f>'Закупка'!K168</f>
        <v/>
      </c>
      <c r="Q168" s="163" t="str">
        <f>Blau!G168</f>
        <v/>
      </c>
      <c r="R168" s="165" t="str">
        <f>Blau!H168</f>
        <v/>
      </c>
      <c r="S168" s="166" t="str">
        <f>'Закупка'!E168</f>
        <v/>
      </c>
      <c r="T168" s="166" t="str">
        <f t="shared" si="1"/>
        <v/>
      </c>
      <c r="U168" s="34" t="str">
        <f>'Закупка'!F168</f>
        <v/>
      </c>
      <c r="V168" s="167" t="str">
        <f>'Закупка'!O168</f>
        <v/>
      </c>
      <c r="W168" s="167" t="str">
        <f t="shared" si="2"/>
        <v/>
      </c>
      <c r="X168" s="168"/>
      <c r="Y168" s="169" t="str">
        <f>'Закупка'!P168</f>
        <v/>
      </c>
      <c r="Z168" s="170" t="str">
        <f>'Закупка'!Q168</f>
        <v/>
      </c>
      <c r="AA168" s="171" t="str">
        <f>'Закупка'!R168</f>
        <v/>
      </c>
      <c r="AB168" s="172" t="str">
        <f>'Закупка'!T168</f>
        <v/>
      </c>
      <c r="AC168" s="173" t="str">
        <f>'Закупка'!S168</f>
        <v/>
      </c>
      <c r="AD168" s="174" t="str">
        <f>'Закупка'!W168</f>
        <v/>
      </c>
      <c r="AE168" s="87" t="str">
        <f>'Закупка'!Y168</f>
        <v/>
      </c>
    </row>
    <row r="169">
      <c r="A169" s="98" t="str">
        <f>'Закупка'!A169</f>
        <v/>
      </c>
      <c r="B169" s="81" t="str">
        <f>'Закупка'!B169</f>
        <v/>
      </c>
      <c r="C169" s="163" t="str">
        <f>'Закупка'!L169</f>
        <v/>
      </c>
      <c r="D169" s="164" t="str">
        <f>'Закупка'!G169</f>
        <v/>
      </c>
      <c r="E169" s="163" t="str">
        <f>Muntaner!G169</f>
        <v/>
      </c>
      <c r="F169" s="165" t="str">
        <f>Muntaner!H169</f>
        <v/>
      </c>
      <c r="G169" s="164" t="str">
        <f>'Закупка'!H169</f>
        <v/>
      </c>
      <c r="H169" s="163" t="str">
        <f>Plaza!G169</f>
        <v/>
      </c>
      <c r="I169" s="165" t="str">
        <f>Plaza!H169</f>
        <v/>
      </c>
      <c r="J169" s="164" t="str">
        <f>'Закупка'!I169</f>
        <v/>
      </c>
      <c r="K169" s="163" t="str">
        <f>Augusta!G169</f>
        <v/>
      </c>
      <c r="L169" s="165" t="str">
        <f>Augusta!H169</f>
        <v/>
      </c>
      <c r="M169" s="164" t="str">
        <f>'Закупка'!J169</f>
        <v/>
      </c>
      <c r="N169" s="163" t="str">
        <f>Gloria!G169</f>
        <v/>
      </c>
      <c r="O169" s="165" t="str">
        <f>Gloria!H169</f>
        <v/>
      </c>
      <c r="P169" s="164" t="str">
        <f>'Закупка'!K169</f>
        <v/>
      </c>
      <c r="Q169" s="163" t="str">
        <f>Blau!G169</f>
        <v/>
      </c>
      <c r="R169" s="165" t="str">
        <f>Blau!H169</f>
        <v/>
      </c>
      <c r="S169" s="166" t="str">
        <f>'Закупка'!E169</f>
        <v/>
      </c>
      <c r="T169" s="166" t="str">
        <f t="shared" si="1"/>
        <v/>
      </c>
      <c r="U169" s="34" t="str">
        <f>'Закупка'!F169</f>
        <v/>
      </c>
      <c r="V169" s="167" t="str">
        <f>'Закупка'!O169</f>
        <v/>
      </c>
      <c r="W169" s="167" t="str">
        <f t="shared" si="2"/>
        <v/>
      </c>
      <c r="X169" s="168"/>
      <c r="Y169" s="169" t="str">
        <f>'Закупка'!P169</f>
        <v/>
      </c>
      <c r="Z169" s="170" t="str">
        <f>'Закупка'!Q169</f>
        <v/>
      </c>
      <c r="AA169" s="171" t="str">
        <f>'Закупка'!R169</f>
        <v/>
      </c>
      <c r="AB169" s="172" t="str">
        <f>'Закупка'!T169</f>
        <v/>
      </c>
      <c r="AC169" s="173" t="str">
        <f>'Закупка'!S169</f>
        <v/>
      </c>
      <c r="AD169" s="174" t="str">
        <f>'Закупка'!W169</f>
        <v/>
      </c>
      <c r="AE169" s="87" t="str">
        <f>'Закупка'!Y169</f>
        <v/>
      </c>
    </row>
    <row r="170">
      <c r="A170" s="98" t="str">
        <f>'Закупка'!A170</f>
        <v/>
      </c>
      <c r="B170" s="81" t="str">
        <f>'Закупка'!B170</f>
        <v/>
      </c>
      <c r="C170" s="163" t="str">
        <f>'Закупка'!L170</f>
        <v/>
      </c>
      <c r="D170" s="164" t="str">
        <f>'Закупка'!G170</f>
        <v/>
      </c>
      <c r="E170" s="163" t="str">
        <f>Muntaner!G170</f>
        <v/>
      </c>
      <c r="F170" s="165" t="str">
        <f>Muntaner!H170</f>
        <v/>
      </c>
      <c r="G170" s="164" t="str">
        <f>'Закупка'!H170</f>
        <v/>
      </c>
      <c r="H170" s="163" t="str">
        <f>Plaza!G170</f>
        <v/>
      </c>
      <c r="I170" s="165" t="str">
        <f>Plaza!H170</f>
        <v/>
      </c>
      <c r="J170" s="164" t="str">
        <f>'Закупка'!I170</f>
        <v/>
      </c>
      <c r="K170" s="163" t="str">
        <f>Augusta!G170</f>
        <v/>
      </c>
      <c r="L170" s="165" t="str">
        <f>Augusta!H170</f>
        <v/>
      </c>
      <c r="M170" s="164" t="str">
        <f>'Закупка'!J170</f>
        <v/>
      </c>
      <c r="N170" s="163" t="str">
        <f>Gloria!G170</f>
        <v/>
      </c>
      <c r="O170" s="165" t="str">
        <f>Gloria!H170</f>
        <v/>
      </c>
      <c r="P170" s="164" t="str">
        <f>'Закупка'!K170</f>
        <v/>
      </c>
      <c r="Q170" s="163" t="str">
        <f>Blau!G170</f>
        <v/>
      </c>
      <c r="R170" s="165" t="str">
        <f>Blau!H170</f>
        <v/>
      </c>
      <c r="S170" s="166" t="str">
        <f>'Закупка'!E170</f>
        <v/>
      </c>
      <c r="T170" s="166" t="str">
        <f t="shared" si="1"/>
        <v/>
      </c>
      <c r="U170" s="34" t="str">
        <f>'Закупка'!F170</f>
        <v/>
      </c>
      <c r="V170" s="167" t="str">
        <f>'Закупка'!O170</f>
        <v/>
      </c>
      <c r="W170" s="167" t="str">
        <f t="shared" si="2"/>
        <v/>
      </c>
      <c r="X170" s="168"/>
      <c r="Y170" s="169" t="str">
        <f>'Закупка'!P170</f>
        <v/>
      </c>
      <c r="Z170" s="170" t="str">
        <f>'Закупка'!Q170</f>
        <v/>
      </c>
      <c r="AA170" s="171" t="str">
        <f>'Закупка'!R170</f>
        <v/>
      </c>
      <c r="AB170" s="172" t="str">
        <f>'Закупка'!T170</f>
        <v/>
      </c>
      <c r="AC170" s="173" t="str">
        <f>'Закупка'!S170</f>
        <v/>
      </c>
      <c r="AD170" s="174" t="str">
        <f>'Закупка'!W170</f>
        <v/>
      </c>
      <c r="AE170" s="87" t="str">
        <f>'Закупка'!Y170</f>
        <v/>
      </c>
    </row>
    <row r="171">
      <c r="A171" s="98" t="str">
        <f>'Закупка'!A171</f>
        <v/>
      </c>
      <c r="B171" s="81" t="str">
        <f>'Закупка'!B171</f>
        <v/>
      </c>
      <c r="C171" s="163" t="str">
        <f>'Закупка'!L171</f>
        <v/>
      </c>
      <c r="D171" s="164" t="str">
        <f>'Закупка'!G171</f>
        <v/>
      </c>
      <c r="E171" s="163" t="str">
        <f>Muntaner!G171</f>
        <v/>
      </c>
      <c r="F171" s="165" t="str">
        <f>Muntaner!H171</f>
        <v/>
      </c>
      <c r="G171" s="164" t="str">
        <f>'Закупка'!H171</f>
        <v/>
      </c>
      <c r="H171" s="163" t="str">
        <f>Plaza!G171</f>
        <v/>
      </c>
      <c r="I171" s="165" t="str">
        <f>Plaza!H171</f>
        <v/>
      </c>
      <c r="J171" s="164" t="str">
        <f>'Закупка'!I171</f>
        <v/>
      </c>
      <c r="K171" s="163" t="str">
        <f>Augusta!G171</f>
        <v/>
      </c>
      <c r="L171" s="165" t="str">
        <f>Augusta!H171</f>
        <v/>
      </c>
      <c r="M171" s="164" t="str">
        <f>'Закупка'!J171</f>
        <v/>
      </c>
      <c r="N171" s="163" t="str">
        <f>Gloria!G171</f>
        <v/>
      </c>
      <c r="O171" s="165" t="str">
        <f>Gloria!H171</f>
        <v/>
      </c>
      <c r="P171" s="164" t="str">
        <f>'Закупка'!K171</f>
        <v/>
      </c>
      <c r="Q171" s="163" t="str">
        <f>Blau!G171</f>
        <v/>
      </c>
      <c r="R171" s="165" t="str">
        <f>Blau!H171</f>
        <v/>
      </c>
      <c r="S171" s="166" t="str">
        <f>'Закупка'!E171</f>
        <v/>
      </c>
      <c r="T171" s="166" t="str">
        <f t="shared" si="1"/>
        <v/>
      </c>
      <c r="U171" s="34" t="str">
        <f>'Закупка'!F171</f>
        <v/>
      </c>
      <c r="V171" s="167" t="str">
        <f>'Закупка'!O171</f>
        <v/>
      </c>
      <c r="W171" s="167" t="str">
        <f t="shared" si="2"/>
        <v/>
      </c>
      <c r="X171" s="168"/>
      <c r="Y171" s="169" t="str">
        <f>'Закупка'!P171</f>
        <v/>
      </c>
      <c r="Z171" s="170" t="str">
        <f>'Закупка'!Q171</f>
        <v/>
      </c>
      <c r="AA171" s="171" t="str">
        <f>'Закупка'!R171</f>
        <v/>
      </c>
      <c r="AB171" s="172" t="str">
        <f>'Закупка'!T171</f>
        <v/>
      </c>
      <c r="AC171" s="173" t="str">
        <f>'Закупка'!S171</f>
        <v/>
      </c>
      <c r="AD171" s="174" t="str">
        <f>'Закупка'!W171</f>
        <v/>
      </c>
      <c r="AE171" s="87" t="str">
        <f>'Закупка'!Y171</f>
        <v/>
      </c>
    </row>
    <row r="172">
      <c r="A172" s="98" t="str">
        <f>'Закупка'!A172</f>
        <v/>
      </c>
      <c r="B172" s="81" t="str">
        <f>'Закупка'!B172</f>
        <v/>
      </c>
      <c r="C172" s="163" t="str">
        <f>'Закупка'!L172</f>
        <v/>
      </c>
      <c r="D172" s="164" t="str">
        <f>'Закупка'!G172</f>
        <v/>
      </c>
      <c r="E172" s="163" t="str">
        <f>Muntaner!G172</f>
        <v/>
      </c>
      <c r="F172" s="165" t="str">
        <f>Muntaner!H172</f>
        <v/>
      </c>
      <c r="G172" s="164" t="str">
        <f>'Закупка'!H172</f>
        <v/>
      </c>
      <c r="H172" s="163" t="str">
        <f>Plaza!G172</f>
        <v/>
      </c>
      <c r="I172" s="165" t="str">
        <f>Plaza!H172</f>
        <v/>
      </c>
      <c r="J172" s="164" t="str">
        <f>'Закупка'!I172</f>
        <v/>
      </c>
      <c r="K172" s="163" t="str">
        <f>Augusta!G172</f>
        <v/>
      </c>
      <c r="L172" s="165" t="str">
        <f>Augusta!H172</f>
        <v/>
      </c>
      <c r="M172" s="164" t="str">
        <f>'Закупка'!J172</f>
        <v/>
      </c>
      <c r="N172" s="163" t="str">
        <f>Gloria!G172</f>
        <v/>
      </c>
      <c r="O172" s="165" t="str">
        <f>Gloria!H172</f>
        <v/>
      </c>
      <c r="P172" s="164" t="str">
        <f>'Закупка'!K172</f>
        <v/>
      </c>
      <c r="Q172" s="163" t="str">
        <f>Blau!G172</f>
        <v/>
      </c>
      <c r="R172" s="165" t="str">
        <f>Blau!H172</f>
        <v/>
      </c>
      <c r="S172" s="166" t="str">
        <f>'Закупка'!E172</f>
        <v/>
      </c>
      <c r="T172" s="166" t="str">
        <f t="shared" si="1"/>
        <v/>
      </c>
      <c r="U172" s="34" t="str">
        <f>'Закупка'!F172</f>
        <v/>
      </c>
      <c r="V172" s="167" t="str">
        <f>'Закупка'!O172</f>
        <v/>
      </c>
      <c r="W172" s="167" t="str">
        <f t="shared" si="2"/>
        <v/>
      </c>
      <c r="X172" s="168"/>
      <c r="Y172" s="169" t="str">
        <f>'Закупка'!P172</f>
        <v/>
      </c>
      <c r="Z172" s="170" t="str">
        <f>'Закупка'!Q172</f>
        <v/>
      </c>
      <c r="AA172" s="171" t="str">
        <f>'Закупка'!R172</f>
        <v/>
      </c>
      <c r="AB172" s="172" t="str">
        <f>'Закупка'!T172</f>
        <v/>
      </c>
      <c r="AC172" s="173" t="str">
        <f>'Закупка'!S172</f>
        <v/>
      </c>
      <c r="AD172" s="174" t="str">
        <f>'Закупка'!W172</f>
        <v/>
      </c>
      <c r="AE172" s="87" t="str">
        <f>'Закупка'!Y172</f>
        <v/>
      </c>
    </row>
    <row r="173">
      <c r="A173" s="98" t="str">
        <f>'Закупка'!A173</f>
        <v/>
      </c>
      <c r="B173" s="81" t="str">
        <f>'Закупка'!B173</f>
        <v/>
      </c>
      <c r="C173" s="163" t="str">
        <f>'Закупка'!L173</f>
        <v/>
      </c>
      <c r="D173" s="164" t="str">
        <f>'Закупка'!G173</f>
        <v/>
      </c>
      <c r="E173" s="163" t="str">
        <f>Muntaner!G173</f>
        <v/>
      </c>
      <c r="F173" s="165" t="str">
        <f>Muntaner!H173</f>
        <v/>
      </c>
      <c r="G173" s="164" t="str">
        <f>'Закупка'!H173</f>
        <v/>
      </c>
      <c r="H173" s="163" t="str">
        <f>Plaza!G173</f>
        <v/>
      </c>
      <c r="I173" s="165" t="str">
        <f>Plaza!H173</f>
        <v/>
      </c>
      <c r="J173" s="164" t="str">
        <f>'Закупка'!I173</f>
        <v/>
      </c>
      <c r="K173" s="163" t="str">
        <f>Augusta!G173</f>
        <v/>
      </c>
      <c r="L173" s="165" t="str">
        <f>Augusta!H173</f>
        <v/>
      </c>
      <c r="M173" s="164" t="str">
        <f>'Закупка'!J173</f>
        <v/>
      </c>
      <c r="N173" s="163" t="str">
        <f>Gloria!G173</f>
        <v/>
      </c>
      <c r="O173" s="165" t="str">
        <f>Gloria!H173</f>
        <v/>
      </c>
      <c r="P173" s="164" t="str">
        <f>'Закупка'!K173</f>
        <v/>
      </c>
      <c r="Q173" s="163" t="str">
        <f>Blau!G173</f>
        <v/>
      </c>
      <c r="R173" s="165" t="str">
        <f>Blau!H173</f>
        <v/>
      </c>
      <c r="S173" s="166" t="str">
        <f>'Закупка'!E173</f>
        <v/>
      </c>
      <c r="T173" s="166" t="str">
        <f t="shared" si="1"/>
        <v/>
      </c>
      <c r="U173" s="34" t="str">
        <f>'Закупка'!F173</f>
        <v/>
      </c>
      <c r="V173" s="167" t="str">
        <f>'Закупка'!O173</f>
        <v/>
      </c>
      <c r="W173" s="167" t="str">
        <f t="shared" si="2"/>
        <v/>
      </c>
      <c r="X173" s="168"/>
      <c r="Y173" s="169" t="str">
        <f>'Закупка'!P173</f>
        <v/>
      </c>
      <c r="Z173" s="170" t="str">
        <f>'Закупка'!Q173</f>
        <v/>
      </c>
      <c r="AA173" s="171" t="str">
        <f>'Закупка'!R173</f>
        <v/>
      </c>
      <c r="AB173" s="172" t="str">
        <f>'Закупка'!T173</f>
        <v/>
      </c>
      <c r="AC173" s="173" t="str">
        <f>'Закупка'!S173</f>
        <v/>
      </c>
      <c r="AD173" s="174" t="str">
        <f>'Закупка'!W173</f>
        <v/>
      </c>
      <c r="AE173" s="87" t="str">
        <f>'Закупка'!Y173</f>
        <v/>
      </c>
    </row>
    <row r="174">
      <c r="A174" s="98" t="str">
        <f>'Закупка'!A174</f>
        <v/>
      </c>
      <c r="B174" s="81" t="str">
        <f>'Закупка'!B174</f>
        <v/>
      </c>
      <c r="C174" s="163" t="str">
        <f>'Закупка'!L174</f>
        <v/>
      </c>
      <c r="D174" s="164" t="str">
        <f>'Закупка'!G174</f>
        <v/>
      </c>
      <c r="E174" s="163" t="str">
        <f>Muntaner!G174</f>
        <v/>
      </c>
      <c r="F174" s="165" t="str">
        <f>Muntaner!H174</f>
        <v/>
      </c>
      <c r="G174" s="164" t="str">
        <f>'Закупка'!H174</f>
        <v/>
      </c>
      <c r="H174" s="163" t="str">
        <f>Plaza!G174</f>
        <v/>
      </c>
      <c r="I174" s="165" t="str">
        <f>Plaza!H174</f>
        <v/>
      </c>
      <c r="J174" s="164" t="str">
        <f>'Закупка'!I174</f>
        <v/>
      </c>
      <c r="K174" s="163" t="str">
        <f>Augusta!G174</f>
        <v/>
      </c>
      <c r="L174" s="165" t="str">
        <f>Augusta!H174</f>
        <v/>
      </c>
      <c r="M174" s="164" t="str">
        <f>'Закупка'!J174</f>
        <v/>
      </c>
      <c r="N174" s="163" t="str">
        <f>Gloria!G174</f>
        <v/>
      </c>
      <c r="O174" s="165" t="str">
        <f>Gloria!H174</f>
        <v/>
      </c>
      <c r="P174" s="164" t="str">
        <f>'Закупка'!K174</f>
        <v/>
      </c>
      <c r="Q174" s="163" t="str">
        <f>Blau!G174</f>
        <v/>
      </c>
      <c r="R174" s="165" t="str">
        <f>Blau!H174</f>
        <v/>
      </c>
      <c r="S174" s="166" t="str">
        <f>'Закупка'!E174</f>
        <v/>
      </c>
      <c r="T174" s="166" t="str">
        <f t="shared" si="1"/>
        <v/>
      </c>
      <c r="U174" s="34" t="str">
        <f>'Закупка'!F174</f>
        <v/>
      </c>
      <c r="V174" s="167" t="str">
        <f>'Закупка'!O174</f>
        <v/>
      </c>
      <c r="W174" s="167" t="str">
        <f t="shared" si="2"/>
        <v/>
      </c>
      <c r="X174" s="168"/>
      <c r="Y174" s="169" t="str">
        <f>'Закупка'!P174</f>
        <v/>
      </c>
      <c r="Z174" s="170" t="str">
        <f>'Закупка'!Q174</f>
        <v/>
      </c>
      <c r="AA174" s="171" t="str">
        <f>'Закупка'!R174</f>
        <v/>
      </c>
      <c r="AB174" s="172" t="str">
        <f>'Закупка'!T174</f>
        <v/>
      </c>
      <c r="AC174" s="173" t="str">
        <f>'Закупка'!S174</f>
        <v/>
      </c>
      <c r="AD174" s="174" t="str">
        <f>'Закупка'!W174</f>
        <v/>
      </c>
      <c r="AE174" s="87" t="str">
        <f>'Закупка'!Y174</f>
        <v/>
      </c>
    </row>
    <row r="175">
      <c r="A175" s="98" t="str">
        <f>'Закупка'!A175</f>
        <v/>
      </c>
      <c r="B175" s="81" t="str">
        <f>'Закупка'!B175</f>
        <v/>
      </c>
      <c r="C175" s="163" t="str">
        <f>'Закупка'!L175</f>
        <v/>
      </c>
      <c r="D175" s="164" t="str">
        <f>'Закупка'!G175</f>
        <v/>
      </c>
      <c r="E175" s="163" t="str">
        <f>Muntaner!G175</f>
        <v/>
      </c>
      <c r="F175" s="165" t="str">
        <f>Muntaner!H175</f>
        <v/>
      </c>
      <c r="G175" s="164" t="str">
        <f>'Закупка'!H175</f>
        <v/>
      </c>
      <c r="H175" s="163" t="str">
        <f>Plaza!G175</f>
        <v/>
      </c>
      <c r="I175" s="165" t="str">
        <f>Plaza!H175</f>
        <v/>
      </c>
      <c r="J175" s="164" t="str">
        <f>'Закупка'!I175</f>
        <v/>
      </c>
      <c r="K175" s="163" t="str">
        <f>Augusta!G175</f>
        <v/>
      </c>
      <c r="L175" s="165" t="str">
        <f>Augusta!H175</f>
        <v/>
      </c>
      <c r="M175" s="164" t="str">
        <f>'Закупка'!J175</f>
        <v/>
      </c>
      <c r="N175" s="163" t="str">
        <f>Gloria!G175</f>
        <v/>
      </c>
      <c r="O175" s="165" t="str">
        <f>Gloria!H175</f>
        <v/>
      </c>
      <c r="P175" s="164" t="str">
        <f>'Закупка'!K175</f>
        <v/>
      </c>
      <c r="Q175" s="163" t="str">
        <f>Blau!G175</f>
        <v/>
      </c>
      <c r="R175" s="165" t="str">
        <f>Blau!H175</f>
        <v/>
      </c>
      <c r="S175" s="166" t="str">
        <f>'Закупка'!E175</f>
        <v/>
      </c>
      <c r="T175" s="166" t="str">
        <f t="shared" si="1"/>
        <v/>
      </c>
      <c r="U175" s="34" t="str">
        <f>'Закупка'!F175</f>
        <v/>
      </c>
      <c r="V175" s="167" t="str">
        <f>'Закупка'!O175</f>
        <v/>
      </c>
      <c r="W175" s="167" t="str">
        <f t="shared" si="2"/>
        <v/>
      </c>
      <c r="X175" s="168"/>
      <c r="Y175" s="169" t="str">
        <f>'Закупка'!P175</f>
        <v/>
      </c>
      <c r="Z175" s="170" t="str">
        <f>'Закупка'!Q175</f>
        <v/>
      </c>
      <c r="AA175" s="171" t="str">
        <f>'Закупка'!R175</f>
        <v/>
      </c>
      <c r="AB175" s="172" t="str">
        <f>'Закупка'!T175</f>
        <v/>
      </c>
      <c r="AC175" s="173" t="str">
        <f>'Закупка'!S175</f>
        <v/>
      </c>
      <c r="AD175" s="174" t="str">
        <f>'Закупка'!W175</f>
        <v/>
      </c>
      <c r="AE175" s="87" t="str">
        <f>'Закупка'!Y175</f>
        <v/>
      </c>
    </row>
    <row r="176">
      <c r="A176" s="98" t="str">
        <f>'Закупка'!A176</f>
        <v/>
      </c>
      <c r="B176" s="81" t="str">
        <f>'Закупка'!B176</f>
        <v/>
      </c>
      <c r="C176" s="163" t="str">
        <f>'Закупка'!L176</f>
        <v/>
      </c>
      <c r="D176" s="164" t="str">
        <f>'Закупка'!G176</f>
        <v/>
      </c>
      <c r="E176" s="163" t="str">
        <f>Muntaner!G176</f>
        <v/>
      </c>
      <c r="F176" s="165" t="str">
        <f>Muntaner!H176</f>
        <v/>
      </c>
      <c r="G176" s="164" t="str">
        <f>'Закупка'!H176</f>
        <v/>
      </c>
      <c r="H176" s="163" t="str">
        <f>Plaza!G176</f>
        <v/>
      </c>
      <c r="I176" s="165" t="str">
        <f>Plaza!H176</f>
        <v/>
      </c>
      <c r="J176" s="164" t="str">
        <f>'Закупка'!I176</f>
        <v/>
      </c>
      <c r="K176" s="163" t="str">
        <f>Augusta!G176</f>
        <v/>
      </c>
      <c r="L176" s="165" t="str">
        <f>Augusta!H176</f>
        <v/>
      </c>
      <c r="M176" s="164" t="str">
        <f>'Закупка'!J176</f>
        <v/>
      </c>
      <c r="N176" s="163" t="str">
        <f>Gloria!G176</f>
        <v/>
      </c>
      <c r="O176" s="165" t="str">
        <f>Gloria!H176</f>
        <v/>
      </c>
      <c r="P176" s="164" t="str">
        <f>'Закупка'!K176</f>
        <v/>
      </c>
      <c r="Q176" s="163" t="str">
        <f>Blau!G176</f>
        <v/>
      </c>
      <c r="R176" s="165" t="str">
        <f>Blau!H176</f>
        <v/>
      </c>
      <c r="S176" s="166" t="str">
        <f>'Закупка'!E176</f>
        <v/>
      </c>
      <c r="T176" s="166" t="str">
        <f t="shared" si="1"/>
        <v/>
      </c>
      <c r="U176" s="34" t="str">
        <f>'Закупка'!F176</f>
        <v/>
      </c>
      <c r="V176" s="167" t="str">
        <f>'Закупка'!O176</f>
        <v/>
      </c>
      <c r="W176" s="167" t="str">
        <f t="shared" si="2"/>
        <v/>
      </c>
      <c r="X176" s="168"/>
      <c r="Y176" s="169" t="str">
        <f>'Закупка'!P176</f>
        <v/>
      </c>
      <c r="Z176" s="170" t="str">
        <f>'Закупка'!Q176</f>
        <v/>
      </c>
      <c r="AA176" s="171" t="str">
        <f>'Закупка'!R176</f>
        <v/>
      </c>
      <c r="AB176" s="172" t="str">
        <f>'Закупка'!T176</f>
        <v/>
      </c>
      <c r="AC176" s="173" t="str">
        <f>'Закупка'!S176</f>
        <v/>
      </c>
      <c r="AD176" s="174" t="str">
        <f>'Закупка'!W176</f>
        <v/>
      </c>
      <c r="AE176" s="87" t="str">
        <f>'Закупка'!Y176</f>
        <v/>
      </c>
    </row>
    <row r="177">
      <c r="A177" s="98" t="str">
        <f>'Закупка'!A177</f>
        <v/>
      </c>
      <c r="B177" s="81" t="str">
        <f>'Закупка'!B177</f>
        <v/>
      </c>
      <c r="C177" s="163" t="str">
        <f>'Закупка'!L177</f>
        <v/>
      </c>
      <c r="D177" s="164" t="str">
        <f>'Закупка'!G177</f>
        <v/>
      </c>
      <c r="E177" s="163" t="str">
        <f>Muntaner!G177</f>
        <v/>
      </c>
      <c r="F177" s="165" t="str">
        <f>Muntaner!H177</f>
        <v/>
      </c>
      <c r="G177" s="164" t="str">
        <f>'Закупка'!H177</f>
        <v/>
      </c>
      <c r="H177" s="163" t="str">
        <f>Plaza!G177</f>
        <v/>
      </c>
      <c r="I177" s="165" t="str">
        <f>Plaza!H177</f>
        <v/>
      </c>
      <c r="J177" s="164" t="str">
        <f>'Закупка'!I177</f>
        <v/>
      </c>
      <c r="K177" s="163" t="str">
        <f>Augusta!G177</f>
        <v/>
      </c>
      <c r="L177" s="165" t="str">
        <f>Augusta!H177</f>
        <v/>
      </c>
      <c r="M177" s="164" t="str">
        <f>'Закупка'!J177</f>
        <v/>
      </c>
      <c r="N177" s="163" t="str">
        <f>Gloria!G177</f>
        <v/>
      </c>
      <c r="O177" s="165" t="str">
        <f>Gloria!H177</f>
        <v/>
      </c>
      <c r="P177" s="164" t="str">
        <f>'Закупка'!K177</f>
        <v/>
      </c>
      <c r="Q177" s="163" t="str">
        <f>Blau!G177</f>
        <v/>
      </c>
      <c r="R177" s="165" t="str">
        <f>Blau!H177</f>
        <v/>
      </c>
      <c r="S177" s="166" t="str">
        <f>'Закупка'!E177</f>
        <v/>
      </c>
      <c r="T177" s="166" t="str">
        <f t="shared" si="1"/>
        <v/>
      </c>
      <c r="U177" s="34" t="str">
        <f>'Закупка'!F177</f>
        <v/>
      </c>
      <c r="V177" s="167" t="str">
        <f>'Закупка'!O177</f>
        <v/>
      </c>
      <c r="W177" s="167" t="str">
        <f t="shared" si="2"/>
        <v/>
      </c>
      <c r="X177" s="168"/>
      <c r="Y177" s="169" t="str">
        <f>'Закупка'!P177</f>
        <v/>
      </c>
      <c r="Z177" s="170" t="str">
        <f>'Закупка'!Q177</f>
        <v/>
      </c>
      <c r="AA177" s="171" t="str">
        <f>'Закупка'!R177</f>
        <v/>
      </c>
      <c r="AB177" s="172" t="str">
        <f>'Закупка'!T177</f>
        <v/>
      </c>
      <c r="AC177" s="173" t="str">
        <f>'Закупка'!S177</f>
        <v/>
      </c>
      <c r="AD177" s="174" t="str">
        <f>'Закупка'!W177</f>
        <v/>
      </c>
      <c r="AE177" s="87" t="str">
        <f>'Закупка'!Y177</f>
        <v/>
      </c>
    </row>
    <row r="178">
      <c r="A178" s="98" t="str">
        <f>'Закупка'!A178</f>
        <v/>
      </c>
      <c r="B178" s="81" t="str">
        <f>'Закупка'!B178</f>
        <v/>
      </c>
      <c r="C178" s="163" t="str">
        <f>'Закупка'!L178</f>
        <v/>
      </c>
      <c r="D178" s="164" t="str">
        <f>'Закупка'!G178</f>
        <v/>
      </c>
      <c r="E178" s="163" t="str">
        <f>Muntaner!G178</f>
        <v/>
      </c>
      <c r="F178" s="165" t="str">
        <f>Muntaner!H178</f>
        <v/>
      </c>
      <c r="G178" s="164" t="str">
        <f>'Закупка'!H178</f>
        <v/>
      </c>
      <c r="H178" s="163" t="str">
        <f>Plaza!G178</f>
        <v/>
      </c>
      <c r="I178" s="165" t="str">
        <f>Plaza!H178</f>
        <v/>
      </c>
      <c r="J178" s="164" t="str">
        <f>'Закупка'!I178</f>
        <v/>
      </c>
      <c r="K178" s="163" t="str">
        <f>Augusta!G178</f>
        <v/>
      </c>
      <c r="L178" s="165" t="str">
        <f>Augusta!H178</f>
        <v/>
      </c>
      <c r="M178" s="164" t="str">
        <f>'Закупка'!J178</f>
        <v/>
      </c>
      <c r="N178" s="163" t="str">
        <f>Gloria!G178</f>
        <v/>
      </c>
      <c r="O178" s="165" t="str">
        <f>Gloria!H178</f>
        <v/>
      </c>
      <c r="P178" s="164" t="str">
        <f>'Закупка'!K178</f>
        <v/>
      </c>
      <c r="Q178" s="163" t="str">
        <f>Blau!G178</f>
        <v/>
      </c>
      <c r="R178" s="165" t="str">
        <f>Blau!H178</f>
        <v/>
      </c>
      <c r="S178" s="166" t="str">
        <f>'Закупка'!E178</f>
        <v/>
      </c>
      <c r="T178" s="166" t="str">
        <f t="shared" si="1"/>
        <v/>
      </c>
      <c r="U178" s="34" t="str">
        <f>'Закупка'!F178</f>
        <v/>
      </c>
      <c r="V178" s="167" t="str">
        <f>'Закупка'!O178</f>
        <v/>
      </c>
      <c r="W178" s="167" t="str">
        <f t="shared" si="2"/>
        <v/>
      </c>
      <c r="X178" s="168"/>
      <c r="Y178" s="169" t="str">
        <f>'Закупка'!P178</f>
        <v/>
      </c>
      <c r="Z178" s="170" t="str">
        <f>'Закупка'!Q178</f>
        <v/>
      </c>
      <c r="AA178" s="171" t="str">
        <f>'Закупка'!R178</f>
        <v/>
      </c>
      <c r="AB178" s="172" t="str">
        <f>'Закупка'!T178</f>
        <v/>
      </c>
      <c r="AC178" s="173" t="str">
        <f>'Закупка'!S178</f>
        <v/>
      </c>
      <c r="AD178" s="174" t="str">
        <f>'Закупка'!W178</f>
        <v/>
      </c>
      <c r="AE178" s="87" t="str">
        <f>'Закупка'!Y178</f>
        <v/>
      </c>
    </row>
    <row r="179">
      <c r="A179" s="98" t="str">
        <f>'Закупка'!A179</f>
        <v/>
      </c>
      <c r="B179" s="81" t="str">
        <f>'Закупка'!B179</f>
        <v/>
      </c>
      <c r="C179" s="163" t="str">
        <f>'Закупка'!L179</f>
        <v/>
      </c>
      <c r="D179" s="164" t="str">
        <f>'Закупка'!G179</f>
        <v/>
      </c>
      <c r="E179" s="163" t="str">
        <f>Muntaner!G179</f>
        <v/>
      </c>
      <c r="F179" s="165" t="str">
        <f>Muntaner!H179</f>
        <v/>
      </c>
      <c r="G179" s="164" t="str">
        <f>'Закупка'!H179</f>
        <v/>
      </c>
      <c r="H179" s="163" t="str">
        <f>Plaza!G179</f>
        <v/>
      </c>
      <c r="I179" s="165" t="str">
        <f>Plaza!H179</f>
        <v/>
      </c>
      <c r="J179" s="164" t="str">
        <f>'Закупка'!I179</f>
        <v/>
      </c>
      <c r="K179" s="163" t="str">
        <f>Augusta!G179</f>
        <v/>
      </c>
      <c r="L179" s="165" t="str">
        <f>Augusta!H179</f>
        <v/>
      </c>
      <c r="M179" s="164" t="str">
        <f>'Закупка'!J179</f>
        <v/>
      </c>
      <c r="N179" s="163" t="str">
        <f>Gloria!G179</f>
        <v/>
      </c>
      <c r="O179" s="165" t="str">
        <f>Gloria!H179</f>
        <v/>
      </c>
      <c r="P179" s="164" t="str">
        <f>'Закупка'!K179</f>
        <v/>
      </c>
      <c r="Q179" s="163" t="str">
        <f>Blau!G179</f>
        <v/>
      </c>
      <c r="R179" s="165" t="str">
        <f>Blau!H179</f>
        <v/>
      </c>
      <c r="S179" s="166" t="str">
        <f>'Закупка'!E179</f>
        <v/>
      </c>
      <c r="T179" s="166" t="str">
        <f t="shared" si="1"/>
        <v/>
      </c>
      <c r="U179" s="34" t="str">
        <f>'Закупка'!F179</f>
        <v/>
      </c>
      <c r="V179" s="167" t="str">
        <f>'Закупка'!O179</f>
        <v/>
      </c>
      <c r="W179" s="167" t="str">
        <f t="shared" si="2"/>
        <v/>
      </c>
      <c r="X179" s="168"/>
      <c r="Y179" s="169" t="str">
        <f>'Закупка'!P179</f>
        <v/>
      </c>
      <c r="Z179" s="170" t="str">
        <f>'Закупка'!Q179</f>
        <v/>
      </c>
      <c r="AA179" s="171" t="str">
        <f>'Закупка'!R179</f>
        <v/>
      </c>
      <c r="AB179" s="172" t="str">
        <f>'Закупка'!T179</f>
        <v/>
      </c>
      <c r="AC179" s="173" t="str">
        <f>'Закупка'!S179</f>
        <v/>
      </c>
      <c r="AD179" s="174" t="str">
        <f>'Закупка'!W179</f>
        <v/>
      </c>
      <c r="AE179" s="87" t="str">
        <f>'Закупка'!Y179</f>
        <v/>
      </c>
    </row>
    <row r="180">
      <c r="A180" s="98" t="str">
        <f>'Закупка'!A180</f>
        <v/>
      </c>
      <c r="B180" s="81" t="str">
        <f>'Закупка'!B180</f>
        <v/>
      </c>
      <c r="C180" s="163" t="str">
        <f>'Закупка'!L180</f>
        <v/>
      </c>
      <c r="D180" s="164" t="str">
        <f>'Закупка'!G180</f>
        <v/>
      </c>
      <c r="E180" s="163" t="str">
        <f>Muntaner!G180</f>
        <v/>
      </c>
      <c r="F180" s="165" t="str">
        <f>Muntaner!H180</f>
        <v/>
      </c>
      <c r="G180" s="164" t="str">
        <f>'Закупка'!H180</f>
        <v/>
      </c>
      <c r="H180" s="163" t="str">
        <f>Plaza!G180</f>
        <v/>
      </c>
      <c r="I180" s="165" t="str">
        <f>Plaza!H180</f>
        <v/>
      </c>
      <c r="J180" s="164" t="str">
        <f>'Закупка'!I180</f>
        <v/>
      </c>
      <c r="K180" s="163" t="str">
        <f>Augusta!G180</f>
        <v/>
      </c>
      <c r="L180" s="165" t="str">
        <f>Augusta!H180</f>
        <v/>
      </c>
      <c r="M180" s="164" t="str">
        <f>'Закупка'!J180</f>
        <v/>
      </c>
      <c r="N180" s="163" t="str">
        <f>Gloria!G180</f>
        <v/>
      </c>
      <c r="O180" s="165" t="str">
        <f>Gloria!H180</f>
        <v/>
      </c>
      <c r="P180" s="164" t="str">
        <f>'Закупка'!K180</f>
        <v/>
      </c>
      <c r="Q180" s="163" t="str">
        <f>Blau!G180</f>
        <v/>
      </c>
      <c r="R180" s="165" t="str">
        <f>Blau!H180</f>
        <v/>
      </c>
      <c r="S180" s="166" t="str">
        <f>'Закупка'!E180</f>
        <v/>
      </c>
      <c r="T180" s="166" t="str">
        <f t="shared" si="1"/>
        <v/>
      </c>
      <c r="U180" s="34" t="str">
        <f>'Закупка'!F180</f>
        <v/>
      </c>
      <c r="V180" s="167" t="str">
        <f>'Закупка'!O180</f>
        <v/>
      </c>
      <c r="W180" s="167" t="str">
        <f t="shared" si="2"/>
        <v/>
      </c>
      <c r="X180" s="168"/>
      <c r="Y180" s="169" t="str">
        <f>'Закупка'!P180</f>
        <v/>
      </c>
      <c r="Z180" s="170" t="str">
        <f>'Закупка'!Q180</f>
        <v/>
      </c>
      <c r="AA180" s="171" t="str">
        <f>'Закупка'!R180</f>
        <v/>
      </c>
      <c r="AB180" s="172" t="str">
        <f>'Закупка'!T180</f>
        <v/>
      </c>
      <c r="AC180" s="173" t="str">
        <f>'Закупка'!S180</f>
        <v/>
      </c>
      <c r="AD180" s="174" t="str">
        <f>'Закупка'!W180</f>
        <v/>
      </c>
      <c r="AE180" s="87" t="str">
        <f>'Закупка'!Y180</f>
        <v/>
      </c>
    </row>
    <row r="181">
      <c r="A181" s="98" t="str">
        <f>'Закупка'!A181</f>
        <v/>
      </c>
      <c r="B181" s="81" t="str">
        <f>'Закупка'!B181</f>
        <v/>
      </c>
      <c r="C181" s="163" t="str">
        <f>'Закупка'!L181</f>
        <v/>
      </c>
      <c r="D181" s="164" t="str">
        <f>'Закупка'!G181</f>
        <v/>
      </c>
      <c r="E181" s="163" t="str">
        <f>Muntaner!G181</f>
        <v/>
      </c>
      <c r="F181" s="165" t="str">
        <f>Muntaner!H181</f>
        <v/>
      </c>
      <c r="G181" s="164" t="str">
        <f>'Закупка'!H181</f>
        <v/>
      </c>
      <c r="H181" s="163" t="str">
        <f>Plaza!G181</f>
        <v/>
      </c>
      <c r="I181" s="165" t="str">
        <f>Plaza!H181</f>
        <v/>
      </c>
      <c r="J181" s="164" t="str">
        <f>'Закупка'!I181</f>
        <v/>
      </c>
      <c r="K181" s="163" t="str">
        <f>Augusta!G181</f>
        <v/>
      </c>
      <c r="L181" s="165" t="str">
        <f>Augusta!H181</f>
        <v/>
      </c>
      <c r="M181" s="164" t="str">
        <f>'Закупка'!J181</f>
        <v/>
      </c>
      <c r="N181" s="163" t="str">
        <f>Gloria!G181</f>
        <v/>
      </c>
      <c r="O181" s="165" t="str">
        <f>Gloria!H181</f>
        <v/>
      </c>
      <c r="P181" s="164" t="str">
        <f>'Закупка'!K181</f>
        <v/>
      </c>
      <c r="Q181" s="163" t="str">
        <f>Blau!G181</f>
        <v/>
      </c>
      <c r="R181" s="165" t="str">
        <f>Blau!H181</f>
        <v/>
      </c>
      <c r="S181" s="166" t="str">
        <f>'Закупка'!E181</f>
        <v/>
      </c>
      <c r="T181" s="166" t="str">
        <f t="shared" si="1"/>
        <v/>
      </c>
      <c r="U181" s="34" t="str">
        <f>'Закупка'!F181</f>
        <v/>
      </c>
      <c r="V181" s="167" t="str">
        <f>'Закупка'!O181</f>
        <v/>
      </c>
      <c r="W181" s="167" t="str">
        <f t="shared" si="2"/>
        <v/>
      </c>
      <c r="X181" s="168"/>
      <c r="Y181" s="169" t="str">
        <f>'Закупка'!P181</f>
        <v/>
      </c>
      <c r="Z181" s="170" t="str">
        <f>'Закупка'!Q181</f>
        <v/>
      </c>
      <c r="AA181" s="171" t="str">
        <f>'Закупка'!R181</f>
        <v/>
      </c>
      <c r="AB181" s="172" t="str">
        <f>'Закупка'!T181</f>
        <v/>
      </c>
      <c r="AC181" s="173" t="str">
        <f>'Закупка'!S181</f>
        <v/>
      </c>
      <c r="AD181" s="174" t="str">
        <f>'Закупка'!W181</f>
        <v/>
      </c>
      <c r="AE181" s="87" t="str">
        <f>'Закупка'!Y181</f>
        <v/>
      </c>
    </row>
    <row r="182">
      <c r="A182" s="98" t="str">
        <f>'Закупка'!A182</f>
        <v/>
      </c>
      <c r="B182" s="81" t="str">
        <f>'Закупка'!B182</f>
        <v/>
      </c>
      <c r="C182" s="163" t="str">
        <f>'Закупка'!L182</f>
        <v/>
      </c>
      <c r="D182" s="164" t="str">
        <f>'Закупка'!G182</f>
        <v/>
      </c>
      <c r="E182" s="163" t="str">
        <f>Muntaner!G182</f>
        <v/>
      </c>
      <c r="F182" s="165" t="str">
        <f>Muntaner!H182</f>
        <v/>
      </c>
      <c r="G182" s="164" t="str">
        <f>'Закупка'!H182</f>
        <v/>
      </c>
      <c r="H182" s="163" t="str">
        <f>Plaza!G182</f>
        <v/>
      </c>
      <c r="I182" s="165" t="str">
        <f>Plaza!H182</f>
        <v/>
      </c>
      <c r="J182" s="164" t="str">
        <f>'Закупка'!I182</f>
        <v/>
      </c>
      <c r="K182" s="163" t="str">
        <f>Augusta!G182</f>
        <v/>
      </c>
      <c r="L182" s="165" t="str">
        <f>Augusta!H182</f>
        <v/>
      </c>
      <c r="M182" s="164" t="str">
        <f>'Закупка'!J182</f>
        <v/>
      </c>
      <c r="N182" s="163" t="str">
        <f>Gloria!G182</f>
        <v/>
      </c>
      <c r="O182" s="165" t="str">
        <f>Gloria!H182</f>
        <v/>
      </c>
      <c r="P182" s="164" t="str">
        <f>'Закупка'!K182</f>
        <v/>
      </c>
      <c r="Q182" s="163" t="str">
        <f>Blau!G182</f>
        <v/>
      </c>
      <c r="R182" s="165" t="str">
        <f>Blau!H182</f>
        <v/>
      </c>
      <c r="S182" s="166" t="str">
        <f>'Закупка'!E182</f>
        <v/>
      </c>
      <c r="T182" s="166" t="str">
        <f t="shared" si="1"/>
        <v/>
      </c>
      <c r="U182" s="34" t="str">
        <f>'Закупка'!F182</f>
        <v/>
      </c>
      <c r="V182" s="167" t="str">
        <f>'Закупка'!O182</f>
        <v/>
      </c>
      <c r="W182" s="167" t="str">
        <f t="shared" si="2"/>
        <v/>
      </c>
      <c r="X182" s="168"/>
      <c r="Y182" s="169" t="str">
        <f>'Закупка'!P182</f>
        <v/>
      </c>
      <c r="Z182" s="170" t="str">
        <f>'Закупка'!Q182</f>
        <v/>
      </c>
      <c r="AA182" s="171" t="str">
        <f>'Закупка'!R182</f>
        <v/>
      </c>
      <c r="AB182" s="172" t="str">
        <f>'Закупка'!T182</f>
        <v/>
      </c>
      <c r="AC182" s="173" t="str">
        <f>'Закупка'!S182</f>
        <v/>
      </c>
      <c r="AD182" s="174" t="str">
        <f>'Закупка'!W182</f>
        <v/>
      </c>
      <c r="AE182" s="87" t="str">
        <f>'Закупка'!Y182</f>
        <v/>
      </c>
    </row>
    <row r="183">
      <c r="A183" s="98" t="str">
        <f>'Закупка'!A183</f>
        <v/>
      </c>
      <c r="B183" s="81" t="str">
        <f>'Закупка'!B183</f>
        <v/>
      </c>
      <c r="C183" s="163" t="str">
        <f>'Закупка'!L183</f>
        <v/>
      </c>
      <c r="D183" s="164" t="str">
        <f>'Закупка'!G183</f>
        <v/>
      </c>
      <c r="E183" s="163" t="str">
        <f>Muntaner!G183</f>
        <v/>
      </c>
      <c r="F183" s="165" t="str">
        <f>Muntaner!H183</f>
        <v/>
      </c>
      <c r="G183" s="164" t="str">
        <f>'Закупка'!H183</f>
        <v/>
      </c>
      <c r="H183" s="163" t="str">
        <f>Plaza!G183</f>
        <v/>
      </c>
      <c r="I183" s="165" t="str">
        <f>Plaza!H183</f>
        <v/>
      </c>
      <c r="J183" s="164" t="str">
        <f>'Закупка'!I183</f>
        <v/>
      </c>
      <c r="K183" s="163" t="str">
        <f>Augusta!G183</f>
        <v/>
      </c>
      <c r="L183" s="165" t="str">
        <f>Augusta!H183</f>
        <v/>
      </c>
      <c r="M183" s="164" t="str">
        <f>'Закупка'!J183</f>
        <v/>
      </c>
      <c r="N183" s="163" t="str">
        <f>Gloria!G183</f>
        <v/>
      </c>
      <c r="O183" s="165" t="str">
        <f>Gloria!H183</f>
        <v/>
      </c>
      <c r="P183" s="164" t="str">
        <f>'Закупка'!K183</f>
        <v/>
      </c>
      <c r="Q183" s="163" t="str">
        <f>Blau!G183</f>
        <v/>
      </c>
      <c r="R183" s="165" t="str">
        <f>Blau!H183</f>
        <v/>
      </c>
      <c r="S183" s="166" t="str">
        <f>'Закупка'!E183</f>
        <v/>
      </c>
      <c r="T183" s="166" t="str">
        <f t="shared" si="1"/>
        <v/>
      </c>
      <c r="U183" s="34" t="str">
        <f>'Закупка'!F183</f>
        <v/>
      </c>
      <c r="V183" s="167" t="str">
        <f>'Закупка'!O183</f>
        <v/>
      </c>
      <c r="W183" s="167" t="str">
        <f t="shared" si="2"/>
        <v/>
      </c>
      <c r="X183" s="168"/>
      <c r="Y183" s="169" t="str">
        <f>'Закупка'!P183</f>
        <v/>
      </c>
      <c r="Z183" s="170" t="str">
        <f>'Закупка'!Q183</f>
        <v/>
      </c>
      <c r="AA183" s="171" t="str">
        <f>'Закупка'!R183</f>
        <v/>
      </c>
      <c r="AB183" s="172" t="str">
        <f>'Закупка'!T183</f>
        <v/>
      </c>
      <c r="AC183" s="173" t="str">
        <f>'Закупка'!S183</f>
        <v/>
      </c>
      <c r="AD183" s="174" t="str">
        <f>'Закупка'!W183</f>
        <v/>
      </c>
      <c r="AE183" s="87" t="str">
        <f>'Закупка'!Y183</f>
        <v/>
      </c>
    </row>
    <row r="184">
      <c r="A184" s="98" t="str">
        <f>'Закупка'!A184</f>
        <v/>
      </c>
      <c r="B184" s="81" t="str">
        <f>'Закупка'!B184</f>
        <v/>
      </c>
      <c r="C184" s="163" t="str">
        <f>'Закупка'!L184</f>
        <v/>
      </c>
      <c r="D184" s="164" t="str">
        <f>'Закупка'!G184</f>
        <v/>
      </c>
      <c r="E184" s="163" t="str">
        <f>Muntaner!G184</f>
        <v/>
      </c>
      <c r="F184" s="165" t="str">
        <f>Muntaner!H184</f>
        <v/>
      </c>
      <c r="G184" s="164" t="str">
        <f>'Закупка'!H184</f>
        <v/>
      </c>
      <c r="H184" s="163" t="str">
        <f>Plaza!G184</f>
        <v/>
      </c>
      <c r="I184" s="165" t="str">
        <f>Plaza!H184</f>
        <v/>
      </c>
      <c r="J184" s="164" t="str">
        <f>'Закупка'!I184</f>
        <v/>
      </c>
      <c r="K184" s="163" t="str">
        <f>Augusta!G184</f>
        <v/>
      </c>
      <c r="L184" s="165" t="str">
        <f>Augusta!H184</f>
        <v/>
      </c>
      <c r="M184" s="164" t="str">
        <f>'Закупка'!J184</f>
        <v/>
      </c>
      <c r="N184" s="163" t="str">
        <f>Gloria!G184</f>
        <v/>
      </c>
      <c r="O184" s="165" t="str">
        <f>Gloria!H184</f>
        <v/>
      </c>
      <c r="P184" s="164" t="str">
        <f>'Закупка'!K184</f>
        <v/>
      </c>
      <c r="Q184" s="163" t="str">
        <f>Blau!G184</f>
        <v/>
      </c>
      <c r="R184" s="165" t="str">
        <f>Blau!H184</f>
        <v/>
      </c>
      <c r="S184" s="166" t="str">
        <f>'Закупка'!E184</f>
        <v/>
      </c>
      <c r="T184" s="166" t="str">
        <f t="shared" si="1"/>
        <v/>
      </c>
      <c r="U184" s="34" t="str">
        <f>'Закупка'!F184</f>
        <v/>
      </c>
      <c r="V184" s="167" t="str">
        <f>'Закупка'!O184</f>
        <v/>
      </c>
      <c r="W184" s="167" t="str">
        <f t="shared" si="2"/>
        <v/>
      </c>
      <c r="X184" s="168"/>
      <c r="Y184" s="169" t="str">
        <f>'Закупка'!P184</f>
        <v/>
      </c>
      <c r="Z184" s="170" t="str">
        <f>'Закупка'!Q184</f>
        <v/>
      </c>
      <c r="AA184" s="171" t="str">
        <f>'Закупка'!R184</f>
        <v/>
      </c>
      <c r="AB184" s="172" t="str">
        <f>'Закупка'!T184</f>
        <v/>
      </c>
      <c r="AC184" s="173" t="str">
        <f>'Закупка'!S184</f>
        <v/>
      </c>
      <c r="AD184" s="174" t="str">
        <f>'Закупка'!W184</f>
        <v/>
      </c>
      <c r="AE184" s="87" t="str">
        <f>'Закупка'!Y184</f>
        <v/>
      </c>
    </row>
    <row r="185">
      <c r="A185" s="98" t="str">
        <f>'Закупка'!A185</f>
        <v/>
      </c>
      <c r="B185" s="81" t="str">
        <f>'Закупка'!B185</f>
        <v/>
      </c>
      <c r="C185" s="163" t="str">
        <f>'Закупка'!L185</f>
        <v/>
      </c>
      <c r="D185" s="164" t="str">
        <f>'Закупка'!G185</f>
        <v/>
      </c>
      <c r="E185" s="163" t="str">
        <f>Muntaner!G185</f>
        <v/>
      </c>
      <c r="F185" s="165" t="str">
        <f>Muntaner!H185</f>
        <v/>
      </c>
      <c r="G185" s="164" t="str">
        <f>'Закупка'!H185</f>
        <v/>
      </c>
      <c r="H185" s="163" t="str">
        <f>Plaza!G185</f>
        <v/>
      </c>
      <c r="I185" s="165" t="str">
        <f>Plaza!H185</f>
        <v/>
      </c>
      <c r="J185" s="164" t="str">
        <f>'Закупка'!I185</f>
        <v/>
      </c>
      <c r="K185" s="163" t="str">
        <f>Augusta!G185</f>
        <v/>
      </c>
      <c r="L185" s="165" t="str">
        <f>Augusta!H185</f>
        <v/>
      </c>
      <c r="M185" s="164" t="str">
        <f>'Закупка'!J185</f>
        <v/>
      </c>
      <c r="N185" s="163" t="str">
        <f>Gloria!G185</f>
        <v/>
      </c>
      <c r="O185" s="165" t="str">
        <f>Gloria!H185</f>
        <v/>
      </c>
      <c r="P185" s="164" t="str">
        <f>'Закупка'!K185</f>
        <v/>
      </c>
      <c r="Q185" s="163" t="str">
        <f>Blau!G185</f>
        <v/>
      </c>
      <c r="R185" s="165" t="str">
        <f>Blau!H185</f>
        <v/>
      </c>
      <c r="S185" s="166" t="str">
        <f>'Закупка'!E185</f>
        <v/>
      </c>
      <c r="T185" s="166" t="str">
        <f t="shared" si="1"/>
        <v/>
      </c>
      <c r="U185" s="34" t="str">
        <f>'Закупка'!F185</f>
        <v/>
      </c>
      <c r="V185" s="167" t="str">
        <f>'Закупка'!O185</f>
        <v/>
      </c>
      <c r="W185" s="167" t="str">
        <f t="shared" si="2"/>
        <v/>
      </c>
      <c r="X185" s="168"/>
      <c r="Y185" s="169" t="str">
        <f>'Закупка'!P185</f>
        <v/>
      </c>
      <c r="Z185" s="170" t="str">
        <f>'Закупка'!Q185</f>
        <v/>
      </c>
      <c r="AA185" s="171" t="str">
        <f>'Закупка'!R185</f>
        <v/>
      </c>
      <c r="AB185" s="172" t="str">
        <f>'Закупка'!T185</f>
        <v/>
      </c>
      <c r="AC185" s="173" t="str">
        <f>'Закупка'!S185</f>
        <v/>
      </c>
      <c r="AD185" s="174" t="str">
        <f>'Закупка'!W185</f>
        <v/>
      </c>
      <c r="AE185" s="87" t="str">
        <f>'Закупка'!Y185</f>
        <v/>
      </c>
    </row>
    <row r="186">
      <c r="A186" s="98" t="str">
        <f>'Закупка'!A186</f>
        <v/>
      </c>
      <c r="B186" s="81" t="str">
        <f>'Закупка'!B186</f>
        <v/>
      </c>
      <c r="C186" s="163" t="str">
        <f>'Закупка'!L186</f>
        <v/>
      </c>
      <c r="D186" s="164" t="str">
        <f>'Закупка'!G186</f>
        <v/>
      </c>
      <c r="E186" s="163" t="str">
        <f>Muntaner!G186</f>
        <v/>
      </c>
      <c r="F186" s="165" t="str">
        <f>Muntaner!H186</f>
        <v/>
      </c>
      <c r="G186" s="164" t="str">
        <f>'Закупка'!H186</f>
        <v/>
      </c>
      <c r="H186" s="163" t="str">
        <f>Plaza!G186</f>
        <v/>
      </c>
      <c r="I186" s="165" t="str">
        <f>Plaza!H186</f>
        <v/>
      </c>
      <c r="J186" s="164" t="str">
        <f>'Закупка'!I186</f>
        <v/>
      </c>
      <c r="K186" s="163" t="str">
        <f>Augusta!G186</f>
        <v/>
      </c>
      <c r="L186" s="165" t="str">
        <f>Augusta!H186</f>
        <v/>
      </c>
      <c r="M186" s="164" t="str">
        <f>'Закупка'!J186</f>
        <v/>
      </c>
      <c r="N186" s="163" t="str">
        <f>Gloria!G186</f>
        <v/>
      </c>
      <c r="O186" s="165" t="str">
        <f>Gloria!H186</f>
        <v/>
      </c>
      <c r="P186" s="164" t="str">
        <f>'Закупка'!K186</f>
        <v/>
      </c>
      <c r="Q186" s="163" t="str">
        <f>Blau!G186</f>
        <v/>
      </c>
      <c r="R186" s="165" t="str">
        <f>Blau!H186</f>
        <v/>
      </c>
      <c r="S186" s="166" t="str">
        <f>'Закупка'!E186</f>
        <v/>
      </c>
      <c r="T186" s="166" t="str">
        <f t="shared" si="1"/>
        <v/>
      </c>
      <c r="U186" s="34" t="str">
        <f>'Закупка'!F186</f>
        <v/>
      </c>
      <c r="V186" s="167" t="str">
        <f>'Закупка'!O186</f>
        <v/>
      </c>
      <c r="W186" s="167" t="str">
        <f t="shared" si="2"/>
        <v/>
      </c>
      <c r="X186" s="168"/>
      <c r="Y186" s="169" t="str">
        <f>'Закупка'!P186</f>
        <v/>
      </c>
      <c r="Z186" s="170" t="str">
        <f>'Закупка'!Q186</f>
        <v/>
      </c>
      <c r="AA186" s="171" t="str">
        <f>'Закупка'!R186</f>
        <v/>
      </c>
      <c r="AB186" s="172" t="str">
        <f>'Закупка'!T186</f>
        <v/>
      </c>
      <c r="AC186" s="173" t="str">
        <f>'Закупка'!S186</f>
        <v/>
      </c>
      <c r="AD186" s="174" t="str">
        <f>'Закупка'!W186</f>
        <v/>
      </c>
      <c r="AE186" s="87" t="str">
        <f>'Закупка'!Y186</f>
        <v/>
      </c>
    </row>
    <row r="187">
      <c r="A187" s="98" t="str">
        <f>'Закупка'!A187</f>
        <v/>
      </c>
      <c r="B187" s="81" t="str">
        <f>'Закупка'!B187</f>
        <v/>
      </c>
      <c r="C187" s="163" t="str">
        <f>'Закупка'!L187</f>
        <v/>
      </c>
      <c r="D187" s="164" t="str">
        <f>'Закупка'!G187</f>
        <v/>
      </c>
      <c r="E187" s="163" t="str">
        <f>Muntaner!G187</f>
        <v/>
      </c>
      <c r="F187" s="165" t="str">
        <f>Muntaner!H187</f>
        <v/>
      </c>
      <c r="G187" s="164" t="str">
        <f>'Закупка'!H187</f>
        <v/>
      </c>
      <c r="H187" s="163" t="str">
        <f>Plaza!G187</f>
        <v/>
      </c>
      <c r="I187" s="165" t="str">
        <f>Plaza!H187</f>
        <v/>
      </c>
      <c r="J187" s="164" t="str">
        <f>'Закупка'!I187</f>
        <v/>
      </c>
      <c r="K187" s="163" t="str">
        <f>Augusta!G187</f>
        <v/>
      </c>
      <c r="L187" s="165" t="str">
        <f>Augusta!H187</f>
        <v/>
      </c>
      <c r="M187" s="164" t="str">
        <f>'Закупка'!J187</f>
        <v/>
      </c>
      <c r="N187" s="163" t="str">
        <f>Gloria!G187</f>
        <v/>
      </c>
      <c r="O187" s="165" t="str">
        <f>Gloria!H187</f>
        <v/>
      </c>
      <c r="P187" s="164" t="str">
        <f>'Закупка'!K187</f>
        <v/>
      </c>
      <c r="Q187" s="163" t="str">
        <f>Blau!G187</f>
        <v/>
      </c>
      <c r="R187" s="165" t="str">
        <f>Blau!H187</f>
        <v/>
      </c>
      <c r="S187" s="166" t="str">
        <f>'Закупка'!E187</f>
        <v/>
      </c>
      <c r="T187" s="166" t="str">
        <f t="shared" si="1"/>
        <v/>
      </c>
      <c r="U187" s="34" t="str">
        <f>'Закупка'!F187</f>
        <v/>
      </c>
      <c r="V187" s="167" t="str">
        <f>'Закупка'!O187</f>
        <v/>
      </c>
      <c r="W187" s="167" t="str">
        <f t="shared" si="2"/>
        <v/>
      </c>
      <c r="X187" s="168"/>
      <c r="Y187" s="169" t="str">
        <f>'Закупка'!P187</f>
        <v/>
      </c>
      <c r="Z187" s="170" t="str">
        <f>'Закупка'!Q187</f>
        <v/>
      </c>
      <c r="AA187" s="171" t="str">
        <f>'Закупка'!R187</f>
        <v/>
      </c>
      <c r="AB187" s="172" t="str">
        <f>'Закупка'!T187</f>
        <v/>
      </c>
      <c r="AC187" s="173" t="str">
        <f>'Закупка'!S187</f>
        <v/>
      </c>
      <c r="AD187" s="174" t="str">
        <f>'Закупка'!W187</f>
        <v/>
      </c>
      <c r="AE187" s="87" t="str">
        <f>'Закупка'!Y187</f>
        <v/>
      </c>
    </row>
    <row r="188">
      <c r="A188" s="98" t="str">
        <f>'Закупка'!A188</f>
        <v/>
      </c>
      <c r="B188" s="81" t="str">
        <f>'Закупка'!B188</f>
        <v/>
      </c>
      <c r="C188" s="163" t="str">
        <f>'Закупка'!L188</f>
        <v/>
      </c>
      <c r="D188" s="164" t="str">
        <f>'Закупка'!G188</f>
        <v/>
      </c>
      <c r="E188" s="163" t="str">
        <f>Muntaner!G188</f>
        <v/>
      </c>
      <c r="F188" s="165" t="str">
        <f>Muntaner!H188</f>
        <v/>
      </c>
      <c r="G188" s="164" t="str">
        <f>'Закупка'!H188</f>
        <v/>
      </c>
      <c r="H188" s="163" t="str">
        <f>Plaza!G188</f>
        <v/>
      </c>
      <c r="I188" s="165" t="str">
        <f>Plaza!H188</f>
        <v/>
      </c>
      <c r="J188" s="164" t="str">
        <f>'Закупка'!I188</f>
        <v/>
      </c>
      <c r="K188" s="163" t="str">
        <f>Augusta!G188</f>
        <v/>
      </c>
      <c r="L188" s="165" t="str">
        <f>Augusta!H188</f>
        <v/>
      </c>
      <c r="M188" s="164" t="str">
        <f>'Закупка'!J188</f>
        <v/>
      </c>
      <c r="N188" s="163" t="str">
        <f>Gloria!G188</f>
        <v/>
      </c>
      <c r="O188" s="165" t="str">
        <f>Gloria!H188</f>
        <v/>
      </c>
      <c r="P188" s="164" t="str">
        <f>'Закупка'!K188</f>
        <v/>
      </c>
      <c r="Q188" s="163" t="str">
        <f>Blau!G188</f>
        <v/>
      </c>
      <c r="R188" s="165" t="str">
        <f>Blau!H188</f>
        <v/>
      </c>
      <c r="S188" s="166" t="str">
        <f>'Закупка'!E188</f>
        <v/>
      </c>
      <c r="T188" s="166" t="str">
        <f t="shared" si="1"/>
        <v/>
      </c>
      <c r="U188" s="34" t="str">
        <f>'Закупка'!F188</f>
        <v/>
      </c>
      <c r="V188" s="167" t="str">
        <f>'Закупка'!O188</f>
        <v/>
      </c>
      <c r="W188" s="167" t="str">
        <f t="shared" si="2"/>
        <v/>
      </c>
      <c r="X188" s="168"/>
      <c r="Y188" s="169" t="str">
        <f>'Закупка'!P188</f>
        <v/>
      </c>
      <c r="Z188" s="170" t="str">
        <f>'Закупка'!Q188</f>
        <v/>
      </c>
      <c r="AA188" s="171" t="str">
        <f>'Закупка'!R188</f>
        <v/>
      </c>
      <c r="AB188" s="172" t="str">
        <f>'Закупка'!T188</f>
        <v/>
      </c>
      <c r="AC188" s="173" t="str">
        <f>'Закупка'!S188</f>
        <v/>
      </c>
      <c r="AD188" s="174" t="str">
        <f>'Закупка'!W188</f>
        <v/>
      </c>
      <c r="AE188" s="87" t="str">
        <f>'Закупка'!Y188</f>
        <v/>
      </c>
    </row>
    <row r="189">
      <c r="A189" s="98" t="str">
        <f>'Закупка'!A189</f>
        <v/>
      </c>
      <c r="B189" s="81" t="str">
        <f>'Закупка'!B189</f>
        <v/>
      </c>
      <c r="C189" s="163" t="str">
        <f>'Закупка'!L189</f>
        <v/>
      </c>
      <c r="D189" s="164" t="str">
        <f>'Закупка'!G189</f>
        <v/>
      </c>
      <c r="E189" s="163" t="str">
        <f>Muntaner!G189</f>
        <v/>
      </c>
      <c r="F189" s="165" t="str">
        <f>Muntaner!H189</f>
        <v/>
      </c>
      <c r="G189" s="164" t="str">
        <f>'Закупка'!H189</f>
        <v/>
      </c>
      <c r="H189" s="163" t="str">
        <f>Plaza!G189</f>
        <v/>
      </c>
      <c r="I189" s="165" t="str">
        <f>Plaza!H189</f>
        <v/>
      </c>
      <c r="J189" s="164" t="str">
        <f>'Закупка'!I189</f>
        <v/>
      </c>
      <c r="K189" s="163" t="str">
        <f>Augusta!G189</f>
        <v/>
      </c>
      <c r="L189" s="165" t="str">
        <f>Augusta!H189</f>
        <v/>
      </c>
      <c r="M189" s="164" t="str">
        <f>'Закупка'!J189</f>
        <v/>
      </c>
      <c r="N189" s="163" t="str">
        <f>Gloria!G189</f>
        <v/>
      </c>
      <c r="O189" s="165" t="str">
        <f>Gloria!H189</f>
        <v/>
      </c>
      <c r="P189" s="164" t="str">
        <f>'Закупка'!K189</f>
        <v/>
      </c>
      <c r="Q189" s="163" t="str">
        <f>Blau!G189</f>
        <v/>
      </c>
      <c r="R189" s="165" t="str">
        <f>Blau!H189</f>
        <v/>
      </c>
      <c r="S189" s="166" t="str">
        <f>'Закупка'!E189</f>
        <v/>
      </c>
      <c r="T189" s="166" t="str">
        <f t="shared" si="1"/>
        <v/>
      </c>
      <c r="U189" s="34" t="str">
        <f>'Закупка'!F189</f>
        <v/>
      </c>
      <c r="V189" s="167" t="str">
        <f>'Закупка'!O189</f>
        <v/>
      </c>
      <c r="W189" s="167" t="str">
        <f t="shared" si="2"/>
        <v/>
      </c>
      <c r="X189" s="168"/>
      <c r="Y189" s="169" t="str">
        <f>'Закупка'!P189</f>
        <v/>
      </c>
      <c r="Z189" s="170" t="str">
        <f>'Закупка'!Q189</f>
        <v/>
      </c>
      <c r="AA189" s="171" t="str">
        <f>'Закупка'!R189</f>
        <v/>
      </c>
      <c r="AB189" s="172" t="str">
        <f>'Закупка'!T189</f>
        <v/>
      </c>
      <c r="AC189" s="173" t="str">
        <f>'Закупка'!S189</f>
        <v/>
      </c>
      <c r="AD189" s="174" t="str">
        <f>'Закупка'!W189</f>
        <v/>
      </c>
      <c r="AE189" s="87" t="str">
        <f>'Закупка'!Y189</f>
        <v/>
      </c>
    </row>
    <row r="190">
      <c r="A190" s="98" t="str">
        <f>'Закупка'!A190</f>
        <v/>
      </c>
      <c r="B190" s="81" t="str">
        <f>'Закупка'!B190</f>
        <v/>
      </c>
      <c r="C190" s="163" t="str">
        <f>'Закупка'!L190</f>
        <v/>
      </c>
      <c r="D190" s="164" t="str">
        <f>'Закупка'!G190</f>
        <v/>
      </c>
      <c r="E190" s="163" t="str">
        <f>Muntaner!G190</f>
        <v/>
      </c>
      <c r="F190" s="165" t="str">
        <f>Muntaner!H190</f>
        <v/>
      </c>
      <c r="G190" s="164" t="str">
        <f>'Закупка'!H190</f>
        <v/>
      </c>
      <c r="H190" s="163" t="str">
        <f>Plaza!G190</f>
        <v/>
      </c>
      <c r="I190" s="165" t="str">
        <f>Plaza!H190</f>
        <v/>
      </c>
      <c r="J190" s="164" t="str">
        <f>'Закупка'!I190</f>
        <v/>
      </c>
      <c r="K190" s="163" t="str">
        <f>Augusta!G190</f>
        <v/>
      </c>
      <c r="L190" s="165" t="str">
        <f>Augusta!H190</f>
        <v/>
      </c>
      <c r="M190" s="164" t="str">
        <f>'Закупка'!J190</f>
        <v/>
      </c>
      <c r="N190" s="163" t="str">
        <f>Gloria!G190</f>
        <v/>
      </c>
      <c r="O190" s="165" t="str">
        <f>Gloria!H190</f>
        <v/>
      </c>
      <c r="P190" s="164" t="str">
        <f>'Закупка'!K190</f>
        <v/>
      </c>
      <c r="Q190" s="163" t="str">
        <f>Blau!G190</f>
        <v/>
      </c>
      <c r="R190" s="165" t="str">
        <f>Blau!H190</f>
        <v/>
      </c>
      <c r="S190" s="166" t="str">
        <f>'Закупка'!E190</f>
        <v/>
      </c>
      <c r="T190" s="166" t="str">
        <f t="shared" si="1"/>
        <v/>
      </c>
      <c r="U190" s="34" t="str">
        <f>'Закупка'!F190</f>
        <v/>
      </c>
      <c r="V190" s="167" t="str">
        <f>'Закупка'!O190</f>
        <v/>
      </c>
      <c r="W190" s="167" t="str">
        <f t="shared" si="2"/>
        <v/>
      </c>
      <c r="X190" s="168"/>
      <c r="Y190" s="169" t="str">
        <f>'Закупка'!P190</f>
        <v/>
      </c>
      <c r="Z190" s="170" t="str">
        <f>'Закупка'!Q190</f>
        <v/>
      </c>
      <c r="AA190" s="171" t="str">
        <f>'Закупка'!R190</f>
        <v/>
      </c>
      <c r="AB190" s="172" t="str">
        <f>'Закупка'!T190</f>
        <v/>
      </c>
      <c r="AC190" s="173" t="str">
        <f>'Закупка'!S190</f>
        <v/>
      </c>
      <c r="AD190" s="174" t="str">
        <f>'Закупка'!W190</f>
        <v/>
      </c>
      <c r="AE190" s="87" t="str">
        <f>'Закупка'!Y190</f>
        <v/>
      </c>
    </row>
    <row r="191">
      <c r="A191" s="98" t="str">
        <f>'Закупка'!A191</f>
        <v/>
      </c>
      <c r="B191" s="81" t="str">
        <f>'Закупка'!B191</f>
        <v/>
      </c>
      <c r="C191" s="163" t="str">
        <f>'Закупка'!L191</f>
        <v/>
      </c>
      <c r="D191" s="164" t="str">
        <f>'Закупка'!G191</f>
        <v/>
      </c>
      <c r="E191" s="163" t="str">
        <f>Muntaner!G191</f>
        <v/>
      </c>
      <c r="F191" s="165" t="str">
        <f>Muntaner!H191</f>
        <v/>
      </c>
      <c r="G191" s="164" t="str">
        <f>'Закупка'!H191</f>
        <v/>
      </c>
      <c r="H191" s="163" t="str">
        <f>Plaza!G191</f>
        <v/>
      </c>
      <c r="I191" s="165" t="str">
        <f>Plaza!H191</f>
        <v/>
      </c>
      <c r="J191" s="164" t="str">
        <f>'Закупка'!I191</f>
        <v/>
      </c>
      <c r="K191" s="163" t="str">
        <f>Augusta!G191</f>
        <v/>
      </c>
      <c r="L191" s="165" t="str">
        <f>Augusta!H191</f>
        <v/>
      </c>
      <c r="M191" s="164" t="str">
        <f>'Закупка'!J191</f>
        <v/>
      </c>
      <c r="N191" s="163" t="str">
        <f>Gloria!G191</f>
        <v/>
      </c>
      <c r="O191" s="165" t="str">
        <f>Gloria!H191</f>
        <v/>
      </c>
      <c r="P191" s="164" t="str">
        <f>'Закупка'!K191</f>
        <v/>
      </c>
      <c r="Q191" s="163" t="str">
        <f>Blau!G191</f>
        <v/>
      </c>
      <c r="R191" s="165" t="str">
        <f>Blau!H191</f>
        <v/>
      </c>
      <c r="S191" s="166" t="str">
        <f>'Закупка'!E191</f>
        <v/>
      </c>
      <c r="T191" s="166" t="str">
        <f t="shared" si="1"/>
        <v/>
      </c>
      <c r="U191" s="34" t="str">
        <f>'Закупка'!F191</f>
        <v/>
      </c>
      <c r="V191" s="167" t="str">
        <f>'Закупка'!O191</f>
        <v/>
      </c>
      <c r="W191" s="167" t="str">
        <f t="shared" si="2"/>
        <v/>
      </c>
      <c r="X191" s="168"/>
      <c r="Y191" s="169" t="str">
        <f>'Закупка'!P191</f>
        <v/>
      </c>
      <c r="Z191" s="170" t="str">
        <f>'Закупка'!Q191</f>
        <v/>
      </c>
      <c r="AA191" s="171" t="str">
        <f>'Закупка'!R191</f>
        <v/>
      </c>
      <c r="AB191" s="172" t="str">
        <f>'Закупка'!T191</f>
        <v/>
      </c>
      <c r="AC191" s="173" t="str">
        <f>'Закупка'!S191</f>
        <v/>
      </c>
      <c r="AD191" s="174" t="str">
        <f>'Закупка'!W191</f>
        <v/>
      </c>
      <c r="AE191" s="87" t="str">
        <f>'Закупка'!Y191</f>
        <v/>
      </c>
    </row>
    <row r="192">
      <c r="A192" s="98" t="str">
        <f>'Закупка'!A192</f>
        <v/>
      </c>
      <c r="B192" s="81" t="str">
        <f>'Закупка'!B192</f>
        <v/>
      </c>
      <c r="C192" s="163" t="str">
        <f>'Закупка'!L192</f>
        <v/>
      </c>
      <c r="D192" s="164" t="str">
        <f>'Закупка'!G192</f>
        <v/>
      </c>
      <c r="E192" s="163" t="str">
        <f>Muntaner!G192</f>
        <v/>
      </c>
      <c r="F192" s="165" t="str">
        <f>Muntaner!H192</f>
        <v/>
      </c>
      <c r="G192" s="164" t="str">
        <f>'Закупка'!H192</f>
        <v/>
      </c>
      <c r="H192" s="163" t="str">
        <f>Plaza!G192</f>
        <v/>
      </c>
      <c r="I192" s="165" t="str">
        <f>Plaza!H192</f>
        <v/>
      </c>
      <c r="J192" s="164" t="str">
        <f>'Закупка'!I192</f>
        <v/>
      </c>
      <c r="K192" s="163" t="str">
        <f>Augusta!G192</f>
        <v/>
      </c>
      <c r="L192" s="165" t="str">
        <f>Augusta!H192</f>
        <v/>
      </c>
      <c r="M192" s="164" t="str">
        <f>'Закупка'!J192</f>
        <v/>
      </c>
      <c r="N192" s="163" t="str">
        <f>Gloria!G192</f>
        <v/>
      </c>
      <c r="O192" s="165" t="str">
        <f>Gloria!H192</f>
        <v/>
      </c>
      <c r="P192" s="164" t="str">
        <f>'Закупка'!K192</f>
        <v/>
      </c>
      <c r="Q192" s="163" t="str">
        <f>Blau!G192</f>
        <v/>
      </c>
      <c r="R192" s="165" t="str">
        <f>Blau!H192</f>
        <v/>
      </c>
      <c r="S192" s="166" t="str">
        <f>'Закупка'!E192</f>
        <v/>
      </c>
      <c r="T192" s="166" t="str">
        <f t="shared" si="1"/>
        <v/>
      </c>
      <c r="U192" s="34" t="str">
        <f>'Закупка'!F192</f>
        <v/>
      </c>
      <c r="V192" s="167" t="str">
        <f>'Закупка'!O192</f>
        <v/>
      </c>
      <c r="W192" s="167" t="str">
        <f t="shared" si="2"/>
        <v/>
      </c>
      <c r="X192" s="168"/>
      <c r="Y192" s="169" t="str">
        <f>'Закупка'!P192</f>
        <v/>
      </c>
      <c r="Z192" s="170" t="str">
        <f>'Закупка'!Q192</f>
        <v/>
      </c>
      <c r="AA192" s="171" t="str">
        <f>'Закупка'!R192</f>
        <v/>
      </c>
      <c r="AB192" s="172" t="str">
        <f>'Закупка'!T192</f>
        <v/>
      </c>
      <c r="AC192" s="173" t="str">
        <f>'Закупка'!S192</f>
        <v/>
      </c>
      <c r="AD192" s="174" t="str">
        <f>'Закупка'!W192</f>
        <v/>
      </c>
      <c r="AE192" s="87" t="str">
        <f>'Закупка'!Y192</f>
        <v/>
      </c>
    </row>
    <row r="193">
      <c r="A193" s="98" t="str">
        <f>'Закупка'!A193</f>
        <v/>
      </c>
      <c r="B193" s="81" t="str">
        <f>'Закупка'!B193</f>
        <v/>
      </c>
      <c r="C193" s="163" t="str">
        <f>'Закупка'!L193</f>
        <v/>
      </c>
      <c r="D193" s="164" t="str">
        <f>'Закупка'!G193</f>
        <v/>
      </c>
      <c r="E193" s="163" t="str">
        <f>Muntaner!G193</f>
        <v/>
      </c>
      <c r="F193" s="165" t="str">
        <f>Muntaner!H193</f>
        <v/>
      </c>
      <c r="G193" s="164" t="str">
        <f>'Закупка'!H193</f>
        <v/>
      </c>
      <c r="H193" s="163" t="str">
        <f>Plaza!G193</f>
        <v/>
      </c>
      <c r="I193" s="165" t="str">
        <f>Plaza!H193</f>
        <v/>
      </c>
      <c r="J193" s="164" t="str">
        <f>'Закупка'!I193</f>
        <v/>
      </c>
      <c r="K193" s="163" t="str">
        <f>Augusta!G193</f>
        <v/>
      </c>
      <c r="L193" s="165" t="str">
        <f>Augusta!H193</f>
        <v/>
      </c>
      <c r="M193" s="164" t="str">
        <f>'Закупка'!J193</f>
        <v/>
      </c>
      <c r="N193" s="163" t="str">
        <f>Gloria!G193</f>
        <v/>
      </c>
      <c r="O193" s="165" t="str">
        <f>Gloria!H193</f>
        <v/>
      </c>
      <c r="P193" s="164" t="str">
        <f>'Закупка'!K193</f>
        <v/>
      </c>
      <c r="Q193" s="163" t="str">
        <f>Blau!G193</f>
        <v/>
      </c>
      <c r="R193" s="165" t="str">
        <f>Blau!H193</f>
        <v/>
      </c>
      <c r="S193" s="166" t="str">
        <f>'Закупка'!E193</f>
        <v/>
      </c>
      <c r="T193" s="166" t="str">
        <f t="shared" si="1"/>
        <v/>
      </c>
      <c r="U193" s="34" t="str">
        <f>'Закупка'!F193</f>
        <v/>
      </c>
      <c r="V193" s="167" t="str">
        <f>'Закупка'!O193</f>
        <v/>
      </c>
      <c r="W193" s="167" t="str">
        <f t="shared" si="2"/>
        <v/>
      </c>
      <c r="X193" s="168"/>
      <c r="Y193" s="169" t="str">
        <f>'Закупка'!P193</f>
        <v/>
      </c>
      <c r="Z193" s="170" t="str">
        <f>'Закупка'!Q193</f>
        <v/>
      </c>
      <c r="AA193" s="171" t="str">
        <f>'Закупка'!R193</f>
        <v/>
      </c>
      <c r="AB193" s="172" t="str">
        <f>'Закупка'!T193</f>
        <v/>
      </c>
      <c r="AC193" s="173" t="str">
        <f>'Закупка'!S193</f>
        <v/>
      </c>
      <c r="AD193" s="174" t="str">
        <f>'Закупка'!W193</f>
        <v/>
      </c>
      <c r="AE193" s="87"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76"/>
    </row>
    <row r="2">
      <c r="B2" s="176"/>
    </row>
    <row r="3">
      <c r="B3" s="176"/>
    </row>
    <row r="4">
      <c r="B4" s="177" t="s">
        <v>201</v>
      </c>
    </row>
    <row r="5">
      <c r="B5" s="178" t="s">
        <v>202</v>
      </c>
    </row>
    <row r="6">
      <c r="B6" s="178" t="s">
        <v>203</v>
      </c>
    </row>
    <row r="7">
      <c r="B7" s="178" t="s">
        <v>204</v>
      </c>
    </row>
    <row r="8">
      <c r="B8" s="178" t="s">
        <v>205</v>
      </c>
    </row>
    <row r="9">
      <c r="B9" s="178" t="s">
        <v>206</v>
      </c>
    </row>
    <row r="10">
      <c r="B10" s="176"/>
    </row>
    <row r="11">
      <c r="B11" s="176"/>
    </row>
    <row r="12">
      <c r="B12" s="176"/>
    </row>
    <row r="13">
      <c r="B13" s="177" t="s">
        <v>207</v>
      </c>
    </row>
    <row r="14">
      <c r="B14" s="178" t="s">
        <v>208</v>
      </c>
    </row>
    <row r="15">
      <c r="B15" s="178" t="s">
        <v>209</v>
      </c>
    </row>
    <row r="16">
      <c r="B16" s="178" t="s">
        <v>210</v>
      </c>
    </row>
    <row r="17">
      <c r="B17" s="178" t="s">
        <v>211</v>
      </c>
    </row>
    <row r="18">
      <c r="B18" s="178" t="s">
        <v>212</v>
      </c>
    </row>
    <row r="19">
      <c r="B19" s="178" t="s">
        <v>213</v>
      </c>
    </row>
    <row r="20">
      <c r="B20" s="178" t="s">
        <v>214</v>
      </c>
    </row>
    <row r="21">
      <c r="B21" s="176"/>
    </row>
    <row r="22">
      <c r="B22" s="176"/>
    </row>
    <row r="23">
      <c r="B23" s="179" t="s">
        <v>215</v>
      </c>
    </row>
    <row r="24">
      <c r="B24" s="178" t="s">
        <v>216</v>
      </c>
    </row>
    <row r="25">
      <c r="B25" s="176"/>
    </row>
    <row r="26">
      <c r="B26" s="176"/>
    </row>
    <row r="27">
      <c r="B27" s="176"/>
    </row>
    <row r="28">
      <c r="B28" s="176"/>
    </row>
    <row r="29">
      <c r="B29" s="176"/>
    </row>
    <row r="30">
      <c r="B30" s="176"/>
    </row>
    <row r="31">
      <c r="B31" s="176"/>
    </row>
    <row r="32">
      <c r="B32" s="176"/>
    </row>
    <row r="33">
      <c r="B33" s="176"/>
    </row>
    <row r="34">
      <c r="B34" s="176"/>
    </row>
    <row r="35">
      <c r="B35" s="176"/>
    </row>
    <row r="36">
      <c r="B36" s="176"/>
    </row>
    <row r="37">
      <c r="B37" s="176"/>
    </row>
    <row r="38">
      <c r="B38" s="176"/>
    </row>
    <row r="39">
      <c r="B39" s="176"/>
    </row>
    <row r="40">
      <c r="B40" s="176"/>
    </row>
    <row r="41">
      <c r="B41" s="176"/>
    </row>
    <row r="42">
      <c r="B42" s="176"/>
    </row>
    <row r="43">
      <c r="B43" s="176"/>
    </row>
    <row r="44">
      <c r="B44" s="176"/>
    </row>
    <row r="45">
      <c r="B45" s="176"/>
    </row>
    <row r="46">
      <c r="B46" s="176"/>
    </row>
    <row r="47">
      <c r="B47" s="176"/>
    </row>
    <row r="48">
      <c r="B48" s="176"/>
    </row>
    <row r="49">
      <c r="B49" s="176"/>
    </row>
    <row r="50">
      <c r="B50" s="176"/>
    </row>
    <row r="51">
      <c r="B51" s="176"/>
    </row>
    <row r="52">
      <c r="B52" s="176"/>
    </row>
    <row r="53">
      <c r="B53" s="176"/>
    </row>
    <row r="54">
      <c r="B54" s="176"/>
    </row>
    <row r="55">
      <c r="B55" s="176"/>
    </row>
    <row r="56">
      <c r="B56" s="176"/>
    </row>
    <row r="57">
      <c r="B57" s="176"/>
    </row>
    <row r="58">
      <c r="B58" s="176"/>
    </row>
    <row r="59">
      <c r="B59" s="176"/>
    </row>
    <row r="60">
      <c r="B60" s="176"/>
    </row>
    <row r="61">
      <c r="B61" s="176"/>
    </row>
    <row r="62">
      <c r="B62" s="176"/>
    </row>
    <row r="63">
      <c r="B63" s="176"/>
    </row>
    <row r="64">
      <c r="B64" s="176"/>
    </row>
    <row r="65">
      <c r="B65" s="176"/>
    </row>
    <row r="66">
      <c r="B66" s="176"/>
    </row>
    <row r="67">
      <c r="B67" s="176"/>
    </row>
    <row r="68">
      <c r="B68" s="176"/>
    </row>
    <row r="69">
      <c r="B69" s="176"/>
    </row>
    <row r="70">
      <c r="B70" s="176"/>
    </row>
    <row r="71">
      <c r="B71" s="176"/>
    </row>
    <row r="72">
      <c r="B72" s="176"/>
    </row>
    <row r="73">
      <c r="B73" s="176"/>
    </row>
    <row r="74">
      <c r="B74" s="176"/>
    </row>
    <row r="75">
      <c r="B75" s="176"/>
    </row>
    <row r="76">
      <c r="B76" s="176"/>
    </row>
    <row r="77">
      <c r="B77" s="176"/>
    </row>
    <row r="78">
      <c r="B78" s="176"/>
    </row>
    <row r="79">
      <c r="B79" s="176"/>
    </row>
    <row r="80">
      <c r="B80" s="176"/>
    </row>
    <row r="81">
      <c r="B81" s="176"/>
    </row>
    <row r="82">
      <c r="B82" s="176"/>
    </row>
    <row r="83">
      <c r="B83" s="176"/>
    </row>
    <row r="84">
      <c r="B84" s="176"/>
    </row>
    <row r="85">
      <c r="B85" s="176"/>
    </row>
    <row r="86">
      <c r="B86" s="176"/>
    </row>
    <row r="87">
      <c r="B87" s="176"/>
    </row>
    <row r="88">
      <c r="B88" s="176"/>
    </row>
    <row r="89">
      <c r="B89" s="176"/>
    </row>
    <row r="90">
      <c r="B90" s="176"/>
    </row>
    <row r="91">
      <c r="B91" s="176"/>
    </row>
    <row r="92">
      <c r="B92" s="176"/>
    </row>
    <row r="93">
      <c r="B93" s="176"/>
    </row>
    <row r="94">
      <c r="B94" s="176"/>
    </row>
    <row r="95">
      <c r="B95" s="176"/>
    </row>
    <row r="96">
      <c r="B96" s="176"/>
    </row>
    <row r="97">
      <c r="B97" s="176"/>
    </row>
    <row r="98">
      <c r="B98" s="176"/>
    </row>
    <row r="99">
      <c r="B99" s="176"/>
    </row>
    <row r="100">
      <c r="B100" s="176"/>
    </row>
    <row r="101">
      <c r="B101" s="176"/>
    </row>
    <row r="102">
      <c r="B102" s="176"/>
    </row>
    <row r="103">
      <c r="B103" s="176"/>
    </row>
    <row r="104">
      <c r="B104" s="176"/>
    </row>
    <row r="105">
      <c r="B105" s="176"/>
    </row>
    <row r="106">
      <c r="B106" s="176"/>
    </row>
    <row r="107">
      <c r="B107" s="176"/>
    </row>
    <row r="108">
      <c r="B108" s="176"/>
    </row>
    <row r="109">
      <c r="B109" s="176"/>
    </row>
    <row r="110">
      <c r="B110" s="176"/>
    </row>
    <row r="111">
      <c r="B111" s="176"/>
    </row>
    <row r="112">
      <c r="B112" s="176"/>
    </row>
    <row r="113">
      <c r="B113" s="176"/>
    </row>
    <row r="114">
      <c r="B114" s="176"/>
    </row>
    <row r="115">
      <c r="B115" s="176"/>
    </row>
    <row r="116">
      <c r="B116" s="176"/>
    </row>
    <row r="117">
      <c r="B117" s="176"/>
    </row>
    <row r="118">
      <c r="B118" s="176"/>
    </row>
    <row r="119">
      <c r="B119" s="176"/>
    </row>
    <row r="120">
      <c r="B120" s="176"/>
    </row>
    <row r="121">
      <c r="B121" s="176"/>
    </row>
    <row r="122">
      <c r="B122" s="176"/>
    </row>
    <row r="123">
      <c r="B123" s="176"/>
    </row>
    <row r="124">
      <c r="B124" s="176"/>
    </row>
    <row r="125">
      <c r="B125" s="176"/>
    </row>
    <row r="126">
      <c r="B126" s="176"/>
    </row>
    <row r="127">
      <c r="B127" s="176"/>
    </row>
    <row r="128">
      <c r="B128" s="176"/>
    </row>
    <row r="129">
      <c r="B129" s="176"/>
    </row>
    <row r="130">
      <c r="B130" s="176"/>
    </row>
    <row r="131">
      <c r="B131" s="176"/>
    </row>
    <row r="132">
      <c r="B132" s="176"/>
    </row>
    <row r="133">
      <c r="B133" s="176"/>
    </row>
    <row r="134">
      <c r="B134" s="176"/>
    </row>
    <row r="135">
      <c r="B135" s="176"/>
    </row>
    <row r="136">
      <c r="B136" s="176"/>
    </row>
    <row r="137">
      <c r="B137" s="176"/>
    </row>
    <row r="138">
      <c r="B138" s="176"/>
    </row>
    <row r="139">
      <c r="B139" s="176"/>
    </row>
    <row r="140">
      <c r="B140" s="176"/>
    </row>
    <row r="141">
      <c r="B141" s="176"/>
    </row>
    <row r="142">
      <c r="B142" s="176"/>
    </row>
    <row r="143">
      <c r="B143" s="176"/>
    </row>
    <row r="144">
      <c r="B144" s="176"/>
    </row>
    <row r="145">
      <c r="B145" s="176"/>
    </row>
    <row r="146">
      <c r="B146" s="176"/>
    </row>
    <row r="147">
      <c r="B147" s="176"/>
    </row>
    <row r="148">
      <c r="B148" s="176"/>
    </row>
    <row r="149">
      <c r="B149" s="176"/>
    </row>
    <row r="150">
      <c r="B150" s="176"/>
    </row>
    <row r="151">
      <c r="B151" s="176"/>
    </row>
    <row r="152">
      <c r="B152" s="176"/>
    </row>
    <row r="153">
      <c r="B153" s="176"/>
    </row>
    <row r="154">
      <c r="B154" s="176"/>
    </row>
    <row r="155">
      <c r="B155" s="176"/>
    </row>
    <row r="156">
      <c r="B156" s="176"/>
    </row>
    <row r="157">
      <c r="B157" s="176"/>
    </row>
    <row r="158">
      <c r="B158" s="176"/>
    </row>
    <row r="159">
      <c r="B159" s="176"/>
    </row>
    <row r="160">
      <c r="B160" s="176"/>
    </row>
    <row r="161">
      <c r="B161" s="176"/>
    </row>
    <row r="162">
      <c r="B162" s="176"/>
    </row>
    <row r="163">
      <c r="B163" s="176"/>
    </row>
    <row r="164">
      <c r="B164" s="176"/>
    </row>
    <row r="165">
      <c r="B165" s="176"/>
    </row>
    <row r="166">
      <c r="B166" s="176"/>
    </row>
    <row r="167">
      <c r="B167" s="176"/>
    </row>
    <row r="168">
      <c r="B168" s="176"/>
    </row>
    <row r="169">
      <c r="B169" s="176"/>
    </row>
    <row r="170">
      <c r="B170" s="176"/>
    </row>
    <row r="171">
      <c r="B171" s="176"/>
    </row>
    <row r="172">
      <c r="B172" s="176"/>
    </row>
    <row r="173">
      <c r="B173" s="176"/>
    </row>
    <row r="174">
      <c r="B174" s="176"/>
    </row>
    <row r="175">
      <c r="B175" s="176"/>
    </row>
    <row r="176">
      <c r="B176" s="176"/>
    </row>
    <row r="177">
      <c r="B177" s="176"/>
    </row>
    <row r="178">
      <c r="B178" s="176"/>
    </row>
    <row r="179">
      <c r="B179" s="176"/>
    </row>
    <row r="180">
      <c r="B180" s="176"/>
    </row>
    <row r="181">
      <c r="B181" s="176"/>
    </row>
    <row r="182">
      <c r="B182" s="176"/>
    </row>
    <row r="183">
      <c r="B183" s="176"/>
    </row>
    <row r="184">
      <c r="B184" s="176"/>
    </row>
    <row r="185">
      <c r="B185" s="176"/>
    </row>
    <row r="186">
      <c r="B186" s="176"/>
    </row>
    <row r="187">
      <c r="B187" s="176"/>
    </row>
    <row r="188">
      <c r="B188" s="176"/>
    </row>
    <row r="189">
      <c r="B189" s="176"/>
    </row>
    <row r="190">
      <c r="B190" s="176"/>
    </row>
    <row r="191">
      <c r="B191" s="176"/>
    </row>
    <row r="192">
      <c r="B192" s="176"/>
    </row>
    <row r="193">
      <c r="B193" s="176"/>
    </row>
    <row r="194">
      <c r="B194" s="176"/>
    </row>
    <row r="195">
      <c r="B195" s="176"/>
    </row>
    <row r="196">
      <c r="B196" s="176"/>
    </row>
    <row r="197">
      <c r="B197" s="176"/>
    </row>
    <row r="198">
      <c r="B198" s="176"/>
    </row>
    <row r="199">
      <c r="B199" s="176"/>
    </row>
    <row r="200">
      <c r="B200" s="176"/>
    </row>
    <row r="201">
      <c r="B201" s="176"/>
    </row>
    <row r="202">
      <c r="B202" s="176"/>
    </row>
    <row r="203">
      <c r="B203" s="176"/>
    </row>
    <row r="204">
      <c r="B204" s="176"/>
    </row>
    <row r="205">
      <c r="B205" s="176"/>
    </row>
    <row r="206">
      <c r="B206" s="176"/>
    </row>
    <row r="207">
      <c r="B207" s="176"/>
    </row>
    <row r="208">
      <c r="B208" s="176"/>
    </row>
    <row r="209">
      <c r="B209" s="176"/>
    </row>
    <row r="210">
      <c r="B210" s="176"/>
    </row>
    <row r="211">
      <c r="B211" s="176"/>
    </row>
    <row r="212">
      <c r="B212" s="176"/>
    </row>
    <row r="213">
      <c r="B213" s="176"/>
    </row>
    <row r="214">
      <c r="B214" s="176"/>
    </row>
    <row r="215">
      <c r="B215" s="176"/>
    </row>
    <row r="216">
      <c r="B216" s="176"/>
    </row>
    <row r="217">
      <c r="B217" s="176"/>
    </row>
    <row r="218">
      <c r="B218" s="176"/>
    </row>
    <row r="219">
      <c r="B219" s="176"/>
    </row>
    <row r="220">
      <c r="B220" s="176"/>
    </row>
    <row r="221">
      <c r="B221" s="176"/>
    </row>
    <row r="222">
      <c r="B222" s="176"/>
    </row>
    <row r="223">
      <c r="B223" s="176"/>
    </row>
    <row r="224">
      <c r="B224" s="176"/>
    </row>
    <row r="225">
      <c r="B225" s="176"/>
    </row>
    <row r="226">
      <c r="B226" s="176"/>
    </row>
    <row r="227">
      <c r="B227" s="176"/>
    </row>
    <row r="228">
      <c r="B228" s="176"/>
    </row>
    <row r="229">
      <c r="B229" s="176"/>
    </row>
    <row r="230">
      <c r="B230" s="176"/>
    </row>
    <row r="231">
      <c r="B231" s="176"/>
    </row>
    <row r="232">
      <c r="B232" s="176"/>
    </row>
    <row r="233">
      <c r="B233" s="176"/>
    </row>
    <row r="234">
      <c r="B234" s="176"/>
    </row>
    <row r="235">
      <c r="B235" s="176"/>
    </row>
    <row r="236">
      <c r="B236" s="176"/>
    </row>
    <row r="237">
      <c r="B237" s="176"/>
    </row>
    <row r="238">
      <c r="B238" s="176"/>
    </row>
    <row r="239">
      <c r="B239" s="176"/>
    </row>
    <row r="240">
      <c r="B240" s="176"/>
    </row>
    <row r="241">
      <c r="B241" s="176"/>
    </row>
    <row r="242">
      <c r="B242" s="176"/>
    </row>
    <row r="243">
      <c r="B243" s="176"/>
    </row>
    <row r="244">
      <c r="B244" s="176"/>
    </row>
    <row r="245">
      <c r="B245" s="176"/>
    </row>
    <row r="246">
      <c r="B246" s="176"/>
    </row>
    <row r="247">
      <c r="B247" s="176"/>
    </row>
    <row r="248">
      <c r="B248" s="176"/>
    </row>
    <row r="249">
      <c r="B249" s="176"/>
    </row>
    <row r="250">
      <c r="B250" s="176"/>
    </row>
    <row r="251">
      <c r="B251" s="176"/>
    </row>
    <row r="252">
      <c r="B252" s="176"/>
    </row>
    <row r="253">
      <c r="B253" s="176"/>
    </row>
    <row r="254">
      <c r="B254" s="176"/>
    </row>
    <row r="255">
      <c r="B255" s="176"/>
    </row>
    <row r="256">
      <c r="B256" s="176"/>
    </row>
    <row r="257">
      <c r="B257" s="176"/>
    </row>
    <row r="258">
      <c r="B258" s="176"/>
    </row>
    <row r="259">
      <c r="B259" s="176"/>
    </row>
    <row r="260">
      <c r="B260" s="176"/>
    </row>
    <row r="261">
      <c r="B261" s="176"/>
    </row>
    <row r="262">
      <c r="B262" s="176"/>
    </row>
    <row r="263">
      <c r="B263" s="176"/>
    </row>
    <row r="264">
      <c r="B264" s="176"/>
    </row>
    <row r="265">
      <c r="B265" s="176"/>
    </row>
    <row r="266">
      <c r="B266" s="176"/>
    </row>
    <row r="267">
      <c r="B267" s="176"/>
    </row>
    <row r="268">
      <c r="B268" s="176"/>
    </row>
    <row r="269">
      <c r="B269" s="176"/>
    </row>
    <row r="270">
      <c r="B270" s="176"/>
    </row>
    <row r="271">
      <c r="B271" s="176"/>
    </row>
    <row r="272">
      <c r="B272" s="176"/>
    </row>
    <row r="273">
      <c r="B273" s="176"/>
    </row>
    <row r="274">
      <c r="B274" s="176"/>
    </row>
    <row r="275">
      <c r="B275" s="176"/>
    </row>
    <row r="276">
      <c r="B276" s="176"/>
    </row>
    <row r="277">
      <c r="B277" s="176"/>
    </row>
    <row r="278">
      <c r="B278" s="176"/>
    </row>
    <row r="279">
      <c r="B279" s="176"/>
    </row>
    <row r="280">
      <c r="B280" s="176"/>
    </row>
    <row r="281">
      <c r="B281" s="176"/>
    </row>
    <row r="282">
      <c r="B282" s="176"/>
    </row>
    <row r="283">
      <c r="B283" s="176"/>
    </row>
    <row r="284">
      <c r="B284" s="176"/>
    </row>
    <row r="285">
      <c r="B285" s="176"/>
    </row>
    <row r="286">
      <c r="B286" s="176"/>
    </row>
    <row r="287">
      <c r="B287" s="176"/>
    </row>
    <row r="288">
      <c r="B288" s="176"/>
    </row>
    <row r="289">
      <c r="B289" s="176"/>
    </row>
    <row r="290">
      <c r="B290" s="176"/>
    </row>
    <row r="291">
      <c r="B291" s="176"/>
    </row>
    <row r="292">
      <c r="B292" s="176"/>
    </row>
    <row r="293">
      <c r="B293" s="176"/>
    </row>
    <row r="294">
      <c r="B294" s="176"/>
    </row>
    <row r="295">
      <c r="B295" s="176"/>
    </row>
    <row r="296">
      <c r="B296" s="176"/>
    </row>
    <row r="297">
      <c r="B297" s="176"/>
    </row>
    <row r="298">
      <c r="B298" s="176"/>
    </row>
    <row r="299">
      <c r="B299" s="176"/>
    </row>
    <row r="300">
      <c r="B300" s="176"/>
    </row>
    <row r="301">
      <c r="B301" s="176"/>
    </row>
    <row r="302">
      <c r="B302" s="176"/>
    </row>
    <row r="303">
      <c r="B303" s="176"/>
    </row>
    <row r="304">
      <c r="B304" s="176"/>
    </row>
    <row r="305">
      <c r="B305" s="176"/>
    </row>
    <row r="306">
      <c r="B306" s="176"/>
    </row>
    <row r="307">
      <c r="B307" s="176"/>
    </row>
    <row r="308">
      <c r="B308" s="176"/>
    </row>
    <row r="309">
      <c r="B309" s="176"/>
    </row>
    <row r="310">
      <c r="B310" s="176"/>
    </row>
    <row r="311">
      <c r="B311" s="176"/>
    </row>
    <row r="312">
      <c r="B312" s="176"/>
    </row>
    <row r="313">
      <c r="B313" s="176"/>
    </row>
    <row r="314">
      <c r="B314" s="176"/>
    </row>
    <row r="315">
      <c r="B315" s="176"/>
    </row>
    <row r="316">
      <c r="B316" s="176"/>
    </row>
    <row r="317">
      <c r="B317" s="176"/>
    </row>
    <row r="318">
      <c r="B318" s="176"/>
    </row>
    <row r="319">
      <c r="B319" s="176"/>
    </row>
    <row r="320">
      <c r="B320" s="176"/>
    </row>
    <row r="321">
      <c r="B321" s="176"/>
    </row>
    <row r="322">
      <c r="B322" s="176"/>
    </row>
    <row r="323">
      <c r="B323" s="176"/>
    </row>
    <row r="324">
      <c r="B324" s="176"/>
    </row>
    <row r="325">
      <c r="B325" s="176"/>
    </row>
    <row r="326">
      <c r="B326" s="176"/>
    </row>
    <row r="327">
      <c r="B327" s="176"/>
    </row>
    <row r="328">
      <c r="B328" s="176"/>
    </row>
    <row r="329">
      <c r="B329" s="176"/>
    </row>
    <row r="330">
      <c r="B330" s="176"/>
    </row>
    <row r="331">
      <c r="B331" s="176"/>
    </row>
    <row r="332">
      <c r="B332" s="176"/>
    </row>
    <row r="333">
      <c r="B333" s="176"/>
    </row>
    <row r="334">
      <c r="B334" s="176"/>
    </row>
    <row r="335">
      <c r="B335" s="176"/>
    </row>
    <row r="336">
      <c r="B336" s="176"/>
    </row>
    <row r="337">
      <c r="B337" s="176"/>
    </row>
    <row r="338">
      <c r="B338" s="176"/>
    </row>
    <row r="339">
      <c r="B339" s="176"/>
    </row>
    <row r="340">
      <c r="B340" s="176"/>
    </row>
    <row r="341">
      <c r="B341" s="176"/>
    </row>
    <row r="342">
      <c r="B342" s="176"/>
    </row>
    <row r="343">
      <c r="B343" s="176"/>
    </row>
    <row r="344">
      <c r="B344" s="176"/>
    </row>
    <row r="345">
      <c r="B345" s="176"/>
    </row>
    <row r="346">
      <c r="B346" s="176"/>
    </row>
    <row r="347">
      <c r="B347" s="176"/>
    </row>
    <row r="348">
      <c r="B348" s="176"/>
    </row>
    <row r="349">
      <c r="B349" s="176"/>
    </row>
    <row r="350">
      <c r="B350" s="176"/>
    </row>
    <row r="351">
      <c r="B351" s="176"/>
    </row>
    <row r="352">
      <c r="B352" s="176"/>
    </row>
    <row r="353">
      <c r="B353" s="176"/>
    </row>
    <row r="354">
      <c r="B354" s="176"/>
    </row>
    <row r="355">
      <c r="B355" s="176"/>
    </row>
    <row r="356">
      <c r="B356" s="176"/>
    </row>
    <row r="357">
      <c r="B357" s="176"/>
    </row>
    <row r="358">
      <c r="B358" s="176"/>
    </row>
    <row r="359">
      <c r="B359" s="176"/>
    </row>
    <row r="360">
      <c r="B360" s="176"/>
    </row>
    <row r="361">
      <c r="B361" s="176"/>
    </row>
    <row r="362">
      <c r="B362" s="176"/>
    </row>
    <row r="363">
      <c r="B363" s="176"/>
    </row>
    <row r="364">
      <c r="B364" s="176"/>
    </row>
    <row r="365">
      <c r="B365" s="176"/>
    </row>
    <row r="366">
      <c r="B366" s="176"/>
    </row>
    <row r="367">
      <c r="B367" s="176"/>
    </row>
    <row r="368">
      <c r="B368" s="176"/>
    </row>
    <row r="369">
      <c r="B369" s="176"/>
    </row>
    <row r="370">
      <c r="B370" s="176"/>
    </row>
    <row r="371">
      <c r="B371" s="176"/>
    </row>
    <row r="372">
      <c r="B372" s="176"/>
    </row>
    <row r="373">
      <c r="B373" s="176"/>
    </row>
    <row r="374">
      <c r="B374" s="176"/>
    </row>
    <row r="375">
      <c r="B375" s="176"/>
    </row>
    <row r="376">
      <c r="B376" s="176"/>
    </row>
    <row r="377">
      <c r="B377" s="176"/>
    </row>
    <row r="378">
      <c r="B378" s="176"/>
    </row>
    <row r="379">
      <c r="B379" s="176"/>
    </row>
    <row r="380">
      <c r="B380" s="176"/>
    </row>
    <row r="381">
      <c r="B381" s="176"/>
    </row>
    <row r="382">
      <c r="B382" s="176"/>
    </row>
    <row r="383">
      <c r="B383" s="176"/>
    </row>
    <row r="384">
      <c r="B384" s="176"/>
    </row>
    <row r="385">
      <c r="B385" s="176"/>
    </row>
    <row r="386">
      <c r="B386" s="176"/>
    </row>
    <row r="387">
      <c r="B387" s="176"/>
    </row>
    <row r="388">
      <c r="B388" s="176"/>
    </row>
    <row r="389">
      <c r="B389" s="176"/>
    </row>
    <row r="390">
      <c r="B390" s="176"/>
    </row>
    <row r="391">
      <c r="B391" s="176"/>
    </row>
    <row r="392">
      <c r="B392" s="176"/>
    </row>
    <row r="393">
      <c r="B393" s="176"/>
    </row>
    <row r="394">
      <c r="B394" s="176"/>
    </row>
    <row r="395">
      <c r="B395" s="176"/>
    </row>
    <row r="396">
      <c r="B396" s="176"/>
    </row>
    <row r="397">
      <c r="B397" s="176"/>
    </row>
    <row r="398">
      <c r="B398" s="176"/>
    </row>
    <row r="399">
      <c r="B399" s="176"/>
    </row>
    <row r="400">
      <c r="B400" s="176"/>
    </row>
    <row r="401">
      <c r="B401" s="176"/>
    </row>
    <row r="402">
      <c r="B402" s="176"/>
    </row>
    <row r="403">
      <c r="B403" s="176"/>
    </row>
    <row r="404">
      <c r="B404" s="176"/>
    </row>
    <row r="405">
      <c r="B405" s="176"/>
    </row>
    <row r="406">
      <c r="B406" s="176"/>
    </row>
    <row r="407">
      <c r="B407" s="176"/>
    </row>
    <row r="408">
      <c r="B408" s="176"/>
    </row>
    <row r="409">
      <c r="B409" s="176"/>
    </row>
    <row r="410">
      <c r="B410" s="176"/>
    </row>
    <row r="411">
      <c r="B411" s="176"/>
    </row>
    <row r="412">
      <c r="B412" s="176"/>
    </row>
    <row r="413">
      <c r="B413" s="176"/>
    </row>
    <row r="414">
      <c r="B414" s="176"/>
    </row>
    <row r="415">
      <c r="B415" s="176"/>
    </row>
    <row r="416">
      <c r="B416" s="176"/>
    </row>
    <row r="417">
      <c r="B417" s="176"/>
    </row>
    <row r="418">
      <c r="B418" s="176"/>
    </row>
    <row r="419">
      <c r="B419" s="176"/>
    </row>
    <row r="420">
      <c r="B420" s="176"/>
    </row>
    <row r="421">
      <c r="B421" s="176"/>
    </row>
    <row r="422">
      <c r="B422" s="176"/>
    </row>
    <row r="423">
      <c r="B423" s="176"/>
    </row>
    <row r="424">
      <c r="B424" s="176"/>
    </row>
    <row r="425">
      <c r="B425" s="176"/>
    </row>
    <row r="426">
      <c r="B426" s="176"/>
    </row>
    <row r="427">
      <c r="B427" s="176"/>
    </row>
    <row r="428">
      <c r="B428" s="176"/>
    </row>
    <row r="429">
      <c r="B429" s="176"/>
    </row>
    <row r="430">
      <c r="B430" s="176"/>
    </row>
    <row r="431">
      <c r="B431" s="176"/>
    </row>
    <row r="432">
      <c r="B432" s="176"/>
    </row>
    <row r="433">
      <c r="B433" s="176"/>
    </row>
    <row r="434">
      <c r="B434" s="176"/>
    </row>
    <row r="435">
      <c r="B435" s="176"/>
    </row>
    <row r="436">
      <c r="B436" s="176"/>
    </row>
    <row r="437">
      <c r="B437" s="176"/>
    </row>
    <row r="438">
      <c r="B438" s="176"/>
    </row>
    <row r="439">
      <c r="B439" s="176"/>
    </row>
    <row r="440">
      <c r="B440" s="176"/>
    </row>
    <row r="441">
      <c r="B441" s="176"/>
    </row>
    <row r="442">
      <c r="B442" s="176"/>
    </row>
    <row r="443">
      <c r="B443" s="176"/>
    </row>
    <row r="444">
      <c r="B444" s="176"/>
    </row>
    <row r="445">
      <c r="B445" s="176"/>
    </row>
    <row r="446">
      <c r="B446" s="176"/>
    </row>
    <row r="447">
      <c r="B447" s="176"/>
    </row>
    <row r="448">
      <c r="B448" s="176"/>
    </row>
    <row r="449">
      <c r="B449" s="176"/>
    </row>
    <row r="450">
      <c r="B450" s="176"/>
    </row>
    <row r="451">
      <c r="B451" s="176"/>
    </row>
    <row r="452">
      <c r="B452" s="176"/>
    </row>
    <row r="453">
      <c r="B453" s="176"/>
    </row>
    <row r="454">
      <c r="B454" s="176"/>
    </row>
    <row r="455">
      <c r="B455" s="176"/>
    </row>
    <row r="456">
      <c r="B456" s="176"/>
    </row>
    <row r="457">
      <c r="B457" s="176"/>
    </row>
    <row r="458">
      <c r="B458" s="176"/>
    </row>
    <row r="459">
      <c r="B459" s="176"/>
    </row>
    <row r="460">
      <c r="B460" s="176"/>
    </row>
    <row r="461">
      <c r="B461" s="176"/>
    </row>
    <row r="462">
      <c r="B462" s="176"/>
    </row>
    <row r="463">
      <c r="B463" s="176"/>
    </row>
    <row r="464">
      <c r="B464" s="176"/>
    </row>
    <row r="465">
      <c r="B465" s="176"/>
    </row>
    <row r="466">
      <c r="B466" s="176"/>
    </row>
    <row r="467">
      <c r="B467" s="176"/>
    </row>
    <row r="468">
      <c r="B468" s="176"/>
    </row>
    <row r="469">
      <c r="B469" s="176"/>
    </row>
    <row r="470">
      <c r="B470" s="176"/>
    </row>
    <row r="471">
      <c r="B471" s="176"/>
    </row>
    <row r="472">
      <c r="B472" s="176"/>
    </row>
    <row r="473">
      <c r="B473" s="176"/>
    </row>
    <row r="474">
      <c r="B474" s="176"/>
    </row>
    <row r="475">
      <c r="B475" s="176"/>
    </row>
    <row r="476">
      <c r="B476" s="176"/>
    </row>
    <row r="477">
      <c r="B477" s="176"/>
    </row>
    <row r="478">
      <c r="B478" s="176"/>
    </row>
    <row r="479">
      <c r="B479" s="176"/>
    </row>
    <row r="480">
      <c r="B480" s="176"/>
    </row>
    <row r="481">
      <c r="B481" s="176"/>
    </row>
    <row r="482">
      <c r="B482" s="176"/>
    </row>
    <row r="483">
      <c r="B483" s="176"/>
    </row>
    <row r="484">
      <c r="B484" s="176"/>
    </row>
    <row r="485">
      <c r="B485" s="176"/>
    </row>
    <row r="486">
      <c r="B486" s="176"/>
    </row>
    <row r="487">
      <c r="B487" s="176"/>
    </row>
    <row r="488">
      <c r="B488" s="176"/>
    </row>
    <row r="489">
      <c r="B489" s="176"/>
    </row>
    <row r="490">
      <c r="B490" s="176"/>
    </row>
    <row r="491">
      <c r="B491" s="176"/>
    </row>
    <row r="492">
      <c r="B492" s="176"/>
    </row>
    <row r="493">
      <c r="B493" s="176"/>
    </row>
    <row r="494">
      <c r="B494" s="176"/>
    </row>
    <row r="495">
      <c r="B495" s="176"/>
    </row>
    <row r="496">
      <c r="B496" s="176"/>
    </row>
    <row r="497">
      <c r="B497" s="176"/>
    </row>
    <row r="498">
      <c r="B498" s="176"/>
    </row>
    <row r="499">
      <c r="B499" s="176"/>
    </row>
    <row r="500">
      <c r="B500" s="176"/>
    </row>
    <row r="501">
      <c r="B501" s="176"/>
    </row>
    <row r="502">
      <c r="B502" s="176"/>
    </row>
    <row r="503">
      <c r="B503" s="176"/>
    </row>
    <row r="504">
      <c r="B504" s="176"/>
    </row>
    <row r="505">
      <c r="B505" s="176"/>
    </row>
    <row r="506">
      <c r="B506" s="176"/>
    </row>
    <row r="507">
      <c r="B507" s="176"/>
    </row>
    <row r="508">
      <c r="B508" s="176"/>
    </row>
    <row r="509">
      <c r="B509" s="176"/>
    </row>
    <row r="510">
      <c r="B510" s="176"/>
    </row>
    <row r="511">
      <c r="B511" s="176"/>
    </row>
    <row r="512">
      <c r="B512" s="176"/>
    </row>
    <row r="513">
      <c r="B513" s="176"/>
    </row>
    <row r="514">
      <c r="B514" s="176"/>
    </row>
    <row r="515">
      <c r="B515" s="176"/>
    </row>
    <row r="516">
      <c r="B516" s="176"/>
    </row>
    <row r="517">
      <c r="B517" s="176"/>
    </row>
    <row r="518">
      <c r="B518" s="176"/>
    </row>
    <row r="519">
      <c r="B519" s="176"/>
    </row>
    <row r="520">
      <c r="B520" s="176"/>
    </row>
    <row r="521">
      <c r="B521" s="176"/>
    </row>
    <row r="522">
      <c r="B522" s="176"/>
    </row>
    <row r="523">
      <c r="B523" s="176"/>
    </row>
    <row r="524">
      <c r="B524" s="176"/>
    </row>
    <row r="525">
      <c r="B525" s="176"/>
    </row>
    <row r="526">
      <c r="B526" s="176"/>
    </row>
    <row r="527">
      <c r="B527" s="176"/>
    </row>
    <row r="528">
      <c r="B528" s="176"/>
    </row>
    <row r="529">
      <c r="B529" s="176"/>
    </row>
    <row r="530">
      <c r="B530" s="176"/>
    </row>
    <row r="531">
      <c r="B531" s="176"/>
    </row>
    <row r="532">
      <c r="B532" s="176"/>
    </row>
    <row r="533">
      <c r="B533" s="176"/>
    </row>
    <row r="534">
      <c r="B534" s="176"/>
    </row>
    <row r="535">
      <c r="B535" s="176"/>
    </row>
    <row r="536">
      <c r="B536" s="176"/>
    </row>
    <row r="537">
      <c r="B537" s="176"/>
    </row>
    <row r="538">
      <c r="B538" s="176"/>
    </row>
    <row r="539">
      <c r="B539" s="176"/>
    </row>
    <row r="540">
      <c r="B540" s="176"/>
    </row>
    <row r="541">
      <c r="B541" s="176"/>
    </row>
    <row r="542">
      <c r="B542" s="176"/>
    </row>
    <row r="543">
      <c r="B543" s="176"/>
    </row>
    <row r="544">
      <c r="B544" s="176"/>
    </row>
    <row r="545">
      <c r="B545" s="176"/>
    </row>
    <row r="546">
      <c r="B546" s="176"/>
    </row>
    <row r="547">
      <c r="B547" s="176"/>
    </row>
    <row r="548">
      <c r="B548" s="176"/>
    </row>
    <row r="549">
      <c r="B549" s="176"/>
    </row>
    <row r="550">
      <c r="B550" s="176"/>
    </row>
    <row r="551">
      <c r="B551" s="176"/>
    </row>
    <row r="552">
      <c r="B552" s="176"/>
    </row>
    <row r="553">
      <c r="B553" s="176"/>
    </row>
    <row r="554">
      <c r="B554" s="176"/>
    </row>
    <row r="555">
      <c r="B555" s="176"/>
    </row>
    <row r="556">
      <c r="B556" s="176"/>
    </row>
    <row r="557">
      <c r="B557" s="176"/>
    </row>
    <row r="558">
      <c r="B558" s="176"/>
    </row>
    <row r="559">
      <c r="B559" s="176"/>
    </row>
    <row r="560">
      <c r="B560" s="176"/>
    </row>
    <row r="561">
      <c r="B561" s="176"/>
    </row>
    <row r="562">
      <c r="B562" s="176"/>
    </row>
    <row r="563">
      <c r="B563" s="176"/>
    </row>
    <row r="564">
      <c r="B564" s="176"/>
    </row>
    <row r="565">
      <c r="B565" s="176"/>
    </row>
    <row r="566">
      <c r="B566" s="176"/>
    </row>
    <row r="567">
      <c r="B567" s="176"/>
    </row>
    <row r="568">
      <c r="B568" s="176"/>
    </row>
    <row r="569">
      <c r="B569" s="176"/>
    </row>
    <row r="570">
      <c r="B570" s="176"/>
    </row>
    <row r="571">
      <c r="B571" s="176"/>
    </row>
    <row r="572">
      <c r="B572" s="176"/>
    </row>
    <row r="573">
      <c r="B573" s="176"/>
    </row>
    <row r="574">
      <c r="B574" s="176"/>
    </row>
    <row r="575">
      <c r="B575" s="176"/>
    </row>
    <row r="576">
      <c r="B576" s="176"/>
    </row>
    <row r="577">
      <c r="B577" s="176"/>
    </row>
    <row r="578">
      <c r="B578" s="176"/>
    </row>
    <row r="579">
      <c r="B579" s="176"/>
    </row>
    <row r="580">
      <c r="B580" s="176"/>
    </row>
    <row r="581">
      <c r="B581" s="176"/>
    </row>
    <row r="582">
      <c r="B582" s="176"/>
    </row>
    <row r="583">
      <c r="B583" s="176"/>
    </row>
    <row r="584">
      <c r="B584" s="176"/>
    </row>
    <row r="585">
      <c r="B585" s="176"/>
    </row>
    <row r="586">
      <c r="B586" s="176"/>
    </row>
    <row r="587">
      <c r="B587" s="176"/>
    </row>
    <row r="588">
      <c r="B588" s="176"/>
    </row>
    <row r="589">
      <c r="B589" s="176"/>
    </row>
    <row r="590">
      <c r="B590" s="176"/>
    </row>
    <row r="591">
      <c r="B591" s="176"/>
    </row>
    <row r="592">
      <c r="B592" s="176"/>
    </row>
    <row r="593">
      <c r="B593" s="176"/>
    </row>
    <row r="594">
      <c r="B594" s="176"/>
    </row>
    <row r="595">
      <c r="B595" s="176"/>
    </row>
    <row r="596">
      <c r="B596" s="176"/>
    </row>
    <row r="597">
      <c r="B597" s="176"/>
    </row>
    <row r="598">
      <c r="B598" s="176"/>
    </row>
    <row r="599">
      <c r="B599" s="176"/>
    </row>
    <row r="600">
      <c r="B600" s="176"/>
    </row>
    <row r="601">
      <c r="B601" s="176"/>
    </row>
    <row r="602">
      <c r="B602" s="176"/>
    </row>
    <row r="603">
      <c r="B603" s="176"/>
    </row>
    <row r="604">
      <c r="B604" s="176"/>
    </row>
    <row r="605">
      <c r="B605" s="176"/>
    </row>
    <row r="606">
      <c r="B606" s="176"/>
    </row>
    <row r="607">
      <c r="B607" s="176"/>
    </row>
    <row r="608">
      <c r="B608" s="176"/>
    </row>
    <row r="609">
      <c r="B609" s="176"/>
    </row>
    <row r="610">
      <c r="B610" s="176"/>
    </row>
    <row r="611">
      <c r="B611" s="176"/>
    </row>
    <row r="612">
      <c r="B612" s="176"/>
    </row>
    <row r="613">
      <c r="B613" s="176"/>
    </row>
    <row r="614">
      <c r="B614" s="176"/>
    </row>
    <row r="615">
      <c r="B615" s="176"/>
    </row>
    <row r="616">
      <c r="B616" s="176"/>
    </row>
    <row r="617">
      <c r="B617" s="176"/>
    </row>
    <row r="618">
      <c r="B618" s="176"/>
    </row>
    <row r="619">
      <c r="B619" s="176"/>
    </row>
    <row r="620">
      <c r="B620" s="176"/>
    </row>
    <row r="621">
      <c r="B621" s="176"/>
    </row>
    <row r="622">
      <c r="B622" s="176"/>
    </row>
    <row r="623">
      <c r="B623" s="176"/>
    </row>
    <row r="624">
      <c r="B624" s="176"/>
    </row>
    <row r="625">
      <c r="B625" s="176"/>
    </row>
    <row r="626">
      <c r="B626" s="176"/>
    </row>
    <row r="627">
      <c r="B627" s="176"/>
    </row>
    <row r="628">
      <c r="B628" s="176"/>
    </row>
    <row r="629">
      <c r="B629" s="176"/>
    </row>
    <row r="630">
      <c r="B630" s="176"/>
    </row>
    <row r="631">
      <c r="B631" s="176"/>
    </row>
    <row r="632">
      <c r="B632" s="176"/>
    </row>
    <row r="633">
      <c r="B633" s="176"/>
    </row>
    <row r="634">
      <c r="B634" s="176"/>
    </row>
    <row r="635">
      <c r="B635" s="176"/>
    </row>
    <row r="636">
      <c r="B636" s="176"/>
    </row>
    <row r="637">
      <c r="B637" s="176"/>
    </row>
    <row r="638">
      <c r="B638" s="176"/>
    </row>
    <row r="639">
      <c r="B639" s="176"/>
    </row>
    <row r="640">
      <c r="B640" s="176"/>
    </row>
    <row r="641">
      <c r="B641" s="176"/>
    </row>
    <row r="642">
      <c r="B642" s="176"/>
    </row>
    <row r="643">
      <c r="B643" s="176"/>
    </row>
    <row r="644">
      <c r="B644" s="176"/>
    </row>
    <row r="645">
      <c r="B645" s="176"/>
    </row>
    <row r="646">
      <c r="B646" s="176"/>
    </row>
    <row r="647">
      <c r="B647" s="176"/>
    </row>
    <row r="648">
      <c r="B648" s="176"/>
    </row>
    <row r="649">
      <c r="B649" s="176"/>
    </row>
    <row r="650">
      <c r="B650" s="176"/>
    </row>
    <row r="651">
      <c r="B651" s="176"/>
    </row>
    <row r="652">
      <c r="B652" s="176"/>
    </row>
    <row r="653">
      <c r="B653" s="176"/>
    </row>
    <row r="654">
      <c r="B654" s="176"/>
    </row>
    <row r="655">
      <c r="B655" s="176"/>
    </row>
    <row r="656">
      <c r="B656" s="176"/>
    </row>
    <row r="657">
      <c r="B657" s="176"/>
    </row>
    <row r="658">
      <c r="B658" s="176"/>
    </row>
    <row r="659">
      <c r="B659" s="176"/>
    </row>
    <row r="660">
      <c r="B660" s="176"/>
    </row>
    <row r="661">
      <c r="B661" s="176"/>
    </row>
    <row r="662">
      <c r="B662" s="176"/>
    </row>
    <row r="663">
      <c r="B663" s="176"/>
    </row>
    <row r="664">
      <c r="B664" s="176"/>
    </row>
    <row r="665">
      <c r="B665" s="176"/>
    </row>
    <row r="666">
      <c r="B666" s="176"/>
    </row>
    <row r="667">
      <c r="B667" s="176"/>
    </row>
    <row r="668">
      <c r="B668" s="176"/>
    </row>
    <row r="669">
      <c r="B669" s="176"/>
    </row>
    <row r="670">
      <c r="B670" s="176"/>
    </row>
    <row r="671">
      <c r="B671" s="176"/>
    </row>
    <row r="672">
      <c r="B672" s="176"/>
    </row>
    <row r="673">
      <c r="B673" s="176"/>
    </row>
    <row r="674">
      <c r="B674" s="176"/>
    </row>
    <row r="675">
      <c r="B675" s="176"/>
    </row>
    <row r="676">
      <c r="B676" s="176"/>
    </row>
    <row r="677">
      <c r="B677" s="176"/>
    </row>
    <row r="678">
      <c r="B678" s="176"/>
    </row>
    <row r="679">
      <c r="B679" s="176"/>
    </row>
    <row r="680">
      <c r="B680" s="176"/>
    </row>
    <row r="681">
      <c r="B681" s="176"/>
    </row>
    <row r="682">
      <c r="B682" s="176"/>
    </row>
    <row r="683">
      <c r="B683" s="176"/>
    </row>
    <row r="684">
      <c r="B684" s="176"/>
    </row>
    <row r="685">
      <c r="B685" s="176"/>
    </row>
    <row r="686">
      <c r="B686" s="176"/>
    </row>
    <row r="687">
      <c r="B687" s="176"/>
    </row>
    <row r="688">
      <c r="B688" s="176"/>
    </row>
    <row r="689">
      <c r="B689" s="176"/>
    </row>
    <row r="690">
      <c r="B690" s="176"/>
    </row>
    <row r="691">
      <c r="B691" s="176"/>
    </row>
    <row r="692">
      <c r="B692" s="176"/>
    </row>
    <row r="693">
      <c r="B693" s="176"/>
    </row>
    <row r="694">
      <c r="B694" s="176"/>
    </row>
    <row r="695">
      <c r="B695" s="176"/>
    </row>
    <row r="696">
      <c r="B696" s="176"/>
    </row>
    <row r="697">
      <c r="B697" s="176"/>
    </row>
    <row r="698">
      <c r="B698" s="176"/>
    </row>
    <row r="699">
      <c r="B699" s="176"/>
    </row>
    <row r="700">
      <c r="B700" s="176"/>
    </row>
    <row r="701">
      <c r="B701" s="176"/>
    </row>
    <row r="702">
      <c r="B702" s="176"/>
    </row>
    <row r="703">
      <c r="B703" s="176"/>
    </row>
    <row r="704">
      <c r="B704" s="176"/>
    </row>
    <row r="705">
      <c r="B705" s="176"/>
    </row>
    <row r="706">
      <c r="B706" s="176"/>
    </row>
    <row r="707">
      <c r="B707" s="176"/>
    </row>
    <row r="708">
      <c r="B708" s="176"/>
    </row>
    <row r="709">
      <c r="B709" s="176"/>
    </row>
    <row r="710">
      <c r="B710" s="176"/>
    </row>
    <row r="711">
      <c r="B711" s="176"/>
    </row>
    <row r="712">
      <c r="B712" s="176"/>
    </row>
    <row r="713">
      <c r="B713" s="176"/>
    </row>
    <row r="714">
      <c r="B714" s="176"/>
    </row>
    <row r="715">
      <c r="B715" s="176"/>
    </row>
    <row r="716">
      <c r="B716" s="176"/>
    </row>
    <row r="717">
      <c r="B717" s="176"/>
    </row>
    <row r="718">
      <c r="B718" s="176"/>
    </row>
    <row r="719">
      <c r="B719" s="176"/>
    </row>
    <row r="720">
      <c r="B720" s="176"/>
    </row>
    <row r="721">
      <c r="B721" s="176"/>
    </row>
    <row r="722">
      <c r="B722" s="176"/>
    </row>
    <row r="723">
      <c r="B723" s="176"/>
    </row>
    <row r="724">
      <c r="B724" s="176"/>
    </row>
    <row r="725">
      <c r="B725" s="176"/>
    </row>
    <row r="726">
      <c r="B726" s="176"/>
    </row>
    <row r="727">
      <c r="B727" s="176"/>
    </row>
    <row r="728">
      <c r="B728" s="176"/>
    </row>
    <row r="729">
      <c r="B729" s="176"/>
    </row>
    <row r="730">
      <c r="B730" s="176"/>
    </row>
    <row r="731">
      <c r="B731" s="176"/>
    </row>
    <row r="732">
      <c r="B732" s="176"/>
    </row>
    <row r="733">
      <c r="B733" s="176"/>
    </row>
    <row r="734">
      <c r="B734" s="176"/>
    </row>
    <row r="735">
      <c r="B735" s="176"/>
    </row>
    <row r="736">
      <c r="B736" s="176"/>
    </row>
    <row r="737">
      <c r="B737" s="176"/>
    </row>
    <row r="738">
      <c r="B738" s="176"/>
    </row>
    <row r="739">
      <c r="B739" s="176"/>
    </row>
    <row r="740">
      <c r="B740" s="176"/>
    </row>
    <row r="741">
      <c r="B741" s="176"/>
    </row>
    <row r="742">
      <c r="B742" s="176"/>
    </row>
    <row r="743">
      <c r="B743" s="176"/>
    </row>
    <row r="744">
      <c r="B744" s="176"/>
    </row>
    <row r="745">
      <c r="B745" s="176"/>
    </row>
    <row r="746">
      <c r="B746" s="176"/>
    </row>
    <row r="747">
      <c r="B747" s="176"/>
    </row>
    <row r="748">
      <c r="B748" s="176"/>
    </row>
    <row r="749">
      <c r="B749" s="176"/>
    </row>
    <row r="750">
      <c r="B750" s="176"/>
    </row>
    <row r="751">
      <c r="B751" s="176"/>
    </row>
    <row r="752">
      <c r="B752" s="176"/>
    </row>
    <row r="753">
      <c r="B753" s="176"/>
    </row>
    <row r="754">
      <c r="B754" s="176"/>
    </row>
    <row r="755">
      <c r="B755" s="176"/>
    </row>
    <row r="756">
      <c r="B756" s="176"/>
    </row>
    <row r="757">
      <c r="B757" s="176"/>
    </row>
    <row r="758">
      <c r="B758" s="176"/>
    </row>
    <row r="759">
      <c r="B759" s="176"/>
    </row>
    <row r="760">
      <c r="B760" s="176"/>
    </row>
    <row r="761">
      <c r="B761" s="176"/>
    </row>
    <row r="762">
      <c r="B762" s="176"/>
    </row>
    <row r="763">
      <c r="B763" s="176"/>
    </row>
    <row r="764">
      <c r="B764" s="176"/>
    </row>
    <row r="765">
      <c r="B765" s="176"/>
    </row>
    <row r="766">
      <c r="B766" s="176"/>
    </row>
    <row r="767">
      <c r="B767" s="176"/>
    </row>
    <row r="768">
      <c r="B768" s="176"/>
    </row>
    <row r="769">
      <c r="B769" s="176"/>
    </row>
    <row r="770">
      <c r="B770" s="176"/>
    </row>
    <row r="771">
      <c r="B771" s="176"/>
    </row>
    <row r="772">
      <c r="B772" s="176"/>
    </row>
    <row r="773">
      <c r="B773" s="176"/>
    </row>
    <row r="774">
      <c r="B774" s="176"/>
    </row>
    <row r="775">
      <c r="B775" s="176"/>
    </row>
    <row r="776">
      <c r="B776" s="176"/>
    </row>
    <row r="777">
      <c r="B777" s="176"/>
    </row>
    <row r="778">
      <c r="B778" s="176"/>
    </row>
    <row r="779">
      <c r="B779" s="176"/>
    </row>
    <row r="780">
      <c r="B780" s="176"/>
    </row>
    <row r="781">
      <c r="B781" s="176"/>
    </row>
    <row r="782">
      <c r="B782" s="176"/>
    </row>
    <row r="783">
      <c r="B783" s="176"/>
    </row>
    <row r="784">
      <c r="B784" s="176"/>
    </row>
    <row r="785">
      <c r="B785" s="176"/>
    </row>
    <row r="786">
      <c r="B786" s="176"/>
    </row>
    <row r="787">
      <c r="B787" s="176"/>
    </row>
    <row r="788">
      <c r="B788" s="176"/>
    </row>
    <row r="789">
      <c r="B789" s="176"/>
    </row>
    <row r="790">
      <c r="B790" s="176"/>
    </row>
    <row r="791">
      <c r="B791" s="176"/>
    </row>
    <row r="792">
      <c r="B792" s="176"/>
    </row>
    <row r="793">
      <c r="B793" s="176"/>
    </row>
    <row r="794">
      <c r="B794" s="176"/>
    </row>
    <row r="795">
      <c r="B795" s="176"/>
    </row>
    <row r="796">
      <c r="B796" s="176"/>
    </row>
    <row r="797">
      <c r="B797" s="176"/>
    </row>
    <row r="798">
      <c r="B798" s="176"/>
    </row>
    <row r="799">
      <c r="B799" s="176"/>
    </row>
    <row r="800">
      <c r="B800" s="176"/>
    </row>
    <row r="801">
      <c r="B801" s="176"/>
    </row>
    <row r="802">
      <c r="B802" s="176"/>
    </row>
    <row r="803">
      <c r="B803" s="176"/>
    </row>
    <row r="804">
      <c r="B804" s="176"/>
    </row>
    <row r="805">
      <c r="B805" s="176"/>
    </row>
    <row r="806">
      <c r="B806" s="176"/>
    </row>
    <row r="807">
      <c r="B807" s="176"/>
    </row>
    <row r="808">
      <c r="B808" s="176"/>
    </row>
    <row r="809">
      <c r="B809" s="176"/>
    </row>
    <row r="810">
      <c r="B810" s="176"/>
    </row>
    <row r="811">
      <c r="B811" s="176"/>
    </row>
    <row r="812">
      <c r="B812" s="176"/>
    </row>
    <row r="813">
      <c r="B813" s="176"/>
    </row>
    <row r="814">
      <c r="B814" s="176"/>
    </row>
    <row r="815">
      <c r="B815" s="176"/>
    </row>
    <row r="816">
      <c r="B816" s="176"/>
    </row>
    <row r="817">
      <c r="B817" s="176"/>
    </row>
    <row r="818">
      <c r="B818" s="176"/>
    </row>
    <row r="819">
      <c r="B819" s="176"/>
    </row>
    <row r="820">
      <c r="B820" s="176"/>
    </row>
    <row r="821">
      <c r="B821" s="176"/>
    </row>
    <row r="822">
      <c r="B822" s="176"/>
    </row>
    <row r="823">
      <c r="B823" s="176"/>
    </row>
    <row r="824">
      <c r="B824" s="176"/>
    </row>
    <row r="825">
      <c r="B825" s="176"/>
    </row>
    <row r="826">
      <c r="B826" s="176"/>
    </row>
    <row r="827">
      <c r="B827" s="176"/>
    </row>
    <row r="828">
      <c r="B828" s="176"/>
    </row>
    <row r="829">
      <c r="B829" s="176"/>
    </row>
    <row r="830">
      <c r="B830" s="176"/>
    </row>
    <row r="831">
      <c r="B831" s="176"/>
    </row>
    <row r="832">
      <c r="B832" s="176"/>
    </row>
    <row r="833">
      <c r="B833" s="176"/>
    </row>
    <row r="834">
      <c r="B834" s="176"/>
    </row>
    <row r="835">
      <c r="B835" s="176"/>
    </row>
    <row r="836">
      <c r="B836" s="176"/>
    </row>
    <row r="837">
      <c r="B837" s="176"/>
    </row>
    <row r="838">
      <c r="B838" s="176"/>
    </row>
    <row r="839">
      <c r="B839" s="176"/>
    </row>
    <row r="840">
      <c r="B840" s="176"/>
    </row>
    <row r="841">
      <c r="B841" s="176"/>
    </row>
    <row r="842">
      <c r="B842" s="176"/>
    </row>
    <row r="843">
      <c r="B843" s="176"/>
    </row>
    <row r="844">
      <c r="B844" s="176"/>
    </row>
    <row r="845">
      <c r="B845" s="176"/>
    </row>
    <row r="846">
      <c r="B846" s="176"/>
    </row>
    <row r="847">
      <c r="B847" s="176"/>
    </row>
    <row r="848">
      <c r="B848" s="176"/>
    </row>
    <row r="849">
      <c r="B849" s="176"/>
    </row>
    <row r="850">
      <c r="B850" s="176"/>
    </row>
    <row r="851">
      <c r="B851" s="176"/>
    </row>
    <row r="852">
      <c r="B852" s="176"/>
    </row>
    <row r="853">
      <c r="B853" s="176"/>
    </row>
    <row r="854">
      <c r="B854" s="176"/>
    </row>
    <row r="855">
      <c r="B855" s="176"/>
    </row>
    <row r="856">
      <c r="B856" s="176"/>
    </row>
    <row r="857">
      <c r="B857" s="176"/>
    </row>
    <row r="858">
      <c r="B858" s="176"/>
    </row>
    <row r="859">
      <c r="B859" s="176"/>
    </row>
    <row r="860">
      <c r="B860" s="176"/>
    </row>
    <row r="861">
      <c r="B861" s="176"/>
    </row>
    <row r="862">
      <c r="B862" s="176"/>
    </row>
    <row r="863">
      <c r="B863" s="176"/>
    </row>
    <row r="864">
      <c r="B864" s="176"/>
    </row>
    <row r="865">
      <c r="B865" s="176"/>
    </row>
    <row r="866">
      <c r="B866" s="176"/>
    </row>
    <row r="867">
      <c r="B867" s="176"/>
    </row>
    <row r="868">
      <c r="B868" s="176"/>
    </row>
    <row r="869">
      <c r="B869" s="176"/>
    </row>
    <row r="870">
      <c r="B870" s="176"/>
    </row>
    <row r="871">
      <c r="B871" s="176"/>
    </row>
    <row r="872">
      <c r="B872" s="176"/>
    </row>
    <row r="873">
      <c r="B873" s="176"/>
    </row>
    <row r="874">
      <c r="B874" s="176"/>
    </row>
    <row r="875">
      <c r="B875" s="176"/>
    </row>
    <row r="876">
      <c r="B876" s="176"/>
    </row>
    <row r="877">
      <c r="B877" s="176"/>
    </row>
    <row r="878">
      <c r="B878" s="176"/>
    </row>
    <row r="879">
      <c r="B879" s="176"/>
    </row>
    <row r="880">
      <c r="B880" s="176"/>
    </row>
    <row r="881">
      <c r="B881" s="176"/>
    </row>
    <row r="882">
      <c r="B882" s="176"/>
    </row>
    <row r="883">
      <c r="B883" s="176"/>
    </row>
    <row r="884">
      <c r="B884" s="176"/>
    </row>
    <row r="885">
      <c r="B885" s="176"/>
    </row>
    <row r="886">
      <c r="B886" s="176"/>
    </row>
    <row r="887">
      <c r="B887" s="176"/>
    </row>
    <row r="888">
      <c r="B888" s="176"/>
    </row>
    <row r="889">
      <c r="B889" s="176"/>
    </row>
    <row r="890">
      <c r="B890" s="176"/>
    </row>
    <row r="891">
      <c r="B891" s="176"/>
    </row>
    <row r="892">
      <c r="B892" s="176"/>
    </row>
    <row r="893">
      <c r="B893" s="176"/>
    </row>
    <row r="894">
      <c r="B894" s="176"/>
    </row>
    <row r="895">
      <c r="B895" s="176"/>
    </row>
    <row r="896">
      <c r="B896" s="176"/>
    </row>
    <row r="897">
      <c r="B897" s="176"/>
    </row>
    <row r="898">
      <c r="B898" s="176"/>
    </row>
    <row r="899">
      <c r="B899" s="176"/>
    </row>
    <row r="900">
      <c r="B900" s="176"/>
    </row>
    <row r="901">
      <c r="B901" s="176"/>
    </row>
    <row r="902">
      <c r="B902" s="176"/>
    </row>
    <row r="903">
      <c r="B903" s="176"/>
    </row>
    <row r="904">
      <c r="B904" s="176"/>
    </row>
    <row r="905">
      <c r="B905" s="176"/>
    </row>
    <row r="906">
      <c r="B906" s="176"/>
    </row>
    <row r="907">
      <c r="B907" s="176"/>
    </row>
    <row r="908">
      <c r="B908" s="176"/>
    </row>
    <row r="909">
      <c r="B909" s="176"/>
    </row>
    <row r="910">
      <c r="B910" s="176"/>
    </row>
    <row r="911">
      <c r="B911" s="176"/>
    </row>
    <row r="912">
      <c r="B912" s="176"/>
    </row>
    <row r="913">
      <c r="B913" s="176"/>
    </row>
    <row r="914">
      <c r="B914" s="176"/>
    </row>
    <row r="915">
      <c r="B915" s="176"/>
    </row>
    <row r="916">
      <c r="B916" s="176"/>
    </row>
    <row r="917">
      <c r="B917" s="176"/>
    </row>
    <row r="918">
      <c r="B918" s="176"/>
    </row>
    <row r="919">
      <c r="B919" s="176"/>
    </row>
    <row r="920">
      <c r="B920" s="176"/>
    </row>
    <row r="921">
      <c r="B921" s="176"/>
    </row>
    <row r="922">
      <c r="B922" s="176"/>
    </row>
    <row r="923">
      <c r="B923" s="176"/>
    </row>
    <row r="924">
      <c r="B924" s="176"/>
    </row>
    <row r="925">
      <c r="B925" s="176"/>
    </row>
    <row r="926">
      <c r="B926" s="176"/>
    </row>
    <row r="927">
      <c r="B927" s="176"/>
    </row>
    <row r="928">
      <c r="B928" s="176"/>
    </row>
    <row r="929">
      <c r="B929" s="176"/>
    </row>
    <row r="930">
      <c r="B930" s="176"/>
    </row>
    <row r="931">
      <c r="B931" s="176"/>
    </row>
    <row r="932">
      <c r="B932" s="176"/>
    </row>
    <row r="933">
      <c r="B933" s="176"/>
    </row>
    <row r="934">
      <c r="B934" s="176"/>
    </row>
    <row r="935">
      <c r="B935" s="176"/>
    </row>
    <row r="936">
      <c r="B936" s="176"/>
    </row>
    <row r="937">
      <c r="B937" s="176"/>
    </row>
    <row r="938">
      <c r="B938" s="176"/>
    </row>
    <row r="939">
      <c r="B939" s="176"/>
    </row>
    <row r="940">
      <c r="B940" s="176"/>
    </row>
    <row r="941">
      <c r="B941" s="176"/>
    </row>
    <row r="942">
      <c r="B942" s="176"/>
    </row>
    <row r="943">
      <c r="B943" s="176"/>
    </row>
    <row r="944">
      <c r="B944" s="176"/>
    </row>
    <row r="945">
      <c r="B945" s="176"/>
    </row>
    <row r="946">
      <c r="B946" s="176"/>
    </row>
    <row r="947">
      <c r="B947" s="176"/>
    </row>
    <row r="948">
      <c r="B948" s="176"/>
    </row>
    <row r="949">
      <c r="B949" s="176"/>
    </row>
    <row r="950">
      <c r="B950" s="176"/>
    </row>
    <row r="951">
      <c r="B951" s="176"/>
    </row>
    <row r="952">
      <c r="B952" s="176"/>
    </row>
    <row r="953">
      <c r="B953" s="176"/>
    </row>
    <row r="954">
      <c r="B954" s="176"/>
    </row>
    <row r="955">
      <c r="B955" s="176"/>
    </row>
    <row r="956">
      <c r="B956" s="176"/>
    </row>
    <row r="957">
      <c r="B957" s="176"/>
    </row>
    <row r="958">
      <c r="B958" s="176"/>
    </row>
    <row r="959">
      <c r="B959" s="176"/>
    </row>
    <row r="960">
      <c r="B960" s="176"/>
    </row>
    <row r="961">
      <c r="B961" s="176"/>
    </row>
    <row r="962">
      <c r="B962" s="176"/>
    </row>
    <row r="963">
      <c r="B963" s="176"/>
    </row>
    <row r="964">
      <c r="B964" s="176"/>
    </row>
    <row r="965">
      <c r="B965" s="176"/>
    </row>
    <row r="966">
      <c r="B966" s="176"/>
    </row>
    <row r="967">
      <c r="B967" s="176"/>
    </row>
    <row r="968">
      <c r="B968" s="176"/>
    </row>
    <row r="969">
      <c r="B969" s="176"/>
    </row>
    <row r="970">
      <c r="B970" s="176"/>
    </row>
    <row r="971">
      <c r="B971" s="176"/>
    </row>
    <row r="972">
      <c r="B972" s="176"/>
    </row>
    <row r="973">
      <c r="B973" s="176"/>
    </row>
    <row r="974">
      <c r="B974" s="176"/>
    </row>
    <row r="975">
      <c r="B975" s="176"/>
    </row>
    <row r="976">
      <c r="B976" s="176"/>
    </row>
    <row r="977">
      <c r="B977" s="176"/>
    </row>
    <row r="978">
      <c r="B978" s="176"/>
    </row>
    <row r="979">
      <c r="B979" s="176"/>
    </row>
    <row r="980">
      <c r="B980" s="176"/>
    </row>
    <row r="981">
      <c r="B981" s="176"/>
    </row>
    <row r="982">
      <c r="B982" s="176"/>
    </row>
    <row r="983">
      <c r="B983" s="176"/>
    </row>
    <row r="984">
      <c r="B984" s="176"/>
    </row>
    <row r="985">
      <c r="B985" s="176"/>
    </row>
    <row r="986">
      <c r="B986" s="176"/>
    </row>
    <row r="987">
      <c r="B987" s="176"/>
    </row>
    <row r="988">
      <c r="B988" s="176"/>
    </row>
    <row r="989">
      <c r="B989" s="176"/>
    </row>
    <row r="990">
      <c r="B990" s="176"/>
    </row>
    <row r="991">
      <c r="B991" s="176"/>
    </row>
    <row r="992">
      <c r="B992" s="176"/>
    </row>
    <row r="993">
      <c r="B993" s="176"/>
    </row>
    <row r="994">
      <c r="B994" s="176"/>
    </row>
    <row r="995">
      <c r="B995" s="176"/>
    </row>
    <row r="996">
      <c r="B996" s="176"/>
    </row>
    <row r="997">
      <c r="B997" s="176"/>
    </row>
    <row r="998">
      <c r="B998" s="176"/>
    </row>
    <row r="999">
      <c r="B999" s="176"/>
    </row>
    <row r="1000">
      <c r="B1000" s="17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0" t="s">
        <v>217</v>
      </c>
      <c r="B1" s="181" t="s">
        <v>218</v>
      </c>
      <c r="C1" s="182" t="s">
        <v>219</v>
      </c>
      <c r="D1" s="183"/>
      <c r="E1" s="183"/>
      <c r="F1" s="184" t="s">
        <v>220</v>
      </c>
      <c r="G1" s="183"/>
      <c r="H1" s="183"/>
      <c r="I1" s="183"/>
      <c r="J1" s="183"/>
      <c r="K1" s="183"/>
      <c r="L1" s="183"/>
      <c r="M1" s="183"/>
      <c r="N1" s="183"/>
      <c r="O1" s="183"/>
      <c r="P1" s="183"/>
      <c r="Q1" s="183"/>
      <c r="R1" s="183"/>
      <c r="S1" s="183"/>
      <c r="T1" s="183"/>
      <c r="U1" s="183"/>
      <c r="V1" s="183"/>
      <c r="W1" s="183"/>
      <c r="X1" s="183"/>
      <c r="Y1" s="183"/>
      <c r="Z1" s="183"/>
      <c r="AA1" s="183"/>
      <c r="AB1" s="183"/>
      <c r="AC1" s="183"/>
      <c r="AD1" s="183"/>
      <c r="AE1" s="185"/>
    </row>
    <row r="2" ht="14.25" customHeight="1">
      <c r="A2" s="186" t="s">
        <v>221</v>
      </c>
      <c r="B2" s="187" t="s">
        <v>222</v>
      </c>
      <c r="C2" s="186" t="s">
        <v>223</v>
      </c>
      <c r="D2" s="188"/>
      <c r="E2" s="188"/>
      <c r="F2" s="189" t="s">
        <v>224</v>
      </c>
      <c r="G2" s="188"/>
      <c r="H2" s="188"/>
      <c r="I2" s="188"/>
      <c r="J2" s="188"/>
      <c r="K2" s="188"/>
      <c r="L2" s="188"/>
      <c r="M2" s="188"/>
      <c r="N2" s="188"/>
      <c r="O2" s="188"/>
      <c r="P2" s="188"/>
      <c r="Q2" s="188"/>
      <c r="R2" s="188"/>
      <c r="S2" s="188"/>
      <c r="T2" s="188"/>
      <c r="U2" s="190"/>
      <c r="V2" s="190"/>
      <c r="W2" s="190"/>
      <c r="X2" s="188"/>
      <c r="Y2" s="188"/>
      <c r="Z2" s="190"/>
      <c r="AA2" s="188"/>
      <c r="AB2" s="188"/>
      <c r="AC2" s="190"/>
      <c r="AD2" s="190"/>
      <c r="AE2" s="188"/>
    </row>
    <row r="3" ht="14.25" customHeight="1">
      <c r="A3" s="186" t="s">
        <v>225</v>
      </c>
      <c r="B3" s="187" t="s">
        <v>226</v>
      </c>
      <c r="C3" s="186" t="s">
        <v>227</v>
      </c>
      <c r="D3" s="188"/>
      <c r="E3" s="188"/>
      <c r="F3" s="189" t="s">
        <v>228</v>
      </c>
      <c r="G3" s="188"/>
      <c r="H3" s="188"/>
      <c r="I3" s="188"/>
      <c r="J3" s="188"/>
      <c r="K3" s="188"/>
      <c r="L3" s="188"/>
      <c r="M3" s="188"/>
      <c r="N3" s="188"/>
      <c r="O3" s="188"/>
      <c r="P3" s="188"/>
      <c r="Q3" s="188"/>
      <c r="R3" s="188"/>
      <c r="S3" s="188"/>
      <c r="T3" s="188"/>
      <c r="U3" s="190"/>
      <c r="V3" s="190"/>
      <c r="W3" s="190"/>
      <c r="X3" s="188"/>
      <c r="Y3" s="188"/>
      <c r="Z3" s="190"/>
      <c r="AA3" s="188"/>
      <c r="AB3" s="188"/>
      <c r="AC3" s="190"/>
      <c r="AD3" s="190"/>
      <c r="AE3" s="188"/>
    </row>
    <row r="4" ht="14.25" customHeight="1">
      <c r="A4" s="186" t="s">
        <v>229</v>
      </c>
      <c r="B4" s="187" t="s">
        <v>230</v>
      </c>
      <c r="C4" s="186" t="s">
        <v>231</v>
      </c>
      <c r="D4" s="188"/>
      <c r="E4" s="188"/>
      <c r="F4" s="189" t="s">
        <v>232</v>
      </c>
      <c r="G4" s="188"/>
      <c r="H4" s="188"/>
      <c r="I4" s="188"/>
      <c r="J4" s="188"/>
      <c r="K4" s="188"/>
      <c r="L4" s="188"/>
      <c r="M4" s="188"/>
      <c r="N4" s="188"/>
      <c r="O4" s="188"/>
      <c r="P4" s="188"/>
      <c r="Q4" s="188"/>
      <c r="R4" s="188"/>
      <c r="S4" s="188"/>
      <c r="T4" s="188"/>
      <c r="U4" s="190"/>
      <c r="V4" s="190"/>
      <c r="W4" s="190"/>
      <c r="X4" s="188"/>
      <c r="Y4" s="188"/>
      <c r="Z4" s="190"/>
      <c r="AA4" s="188"/>
      <c r="AB4" s="188"/>
      <c r="AC4" s="190"/>
      <c r="AD4" s="190"/>
      <c r="AE4" s="188"/>
    </row>
    <row r="5" ht="14.25" customHeight="1">
      <c r="A5" s="186" t="s">
        <v>233</v>
      </c>
      <c r="B5" s="187" t="s">
        <v>234</v>
      </c>
      <c r="C5" s="186" t="s">
        <v>235</v>
      </c>
      <c r="D5" s="188"/>
      <c r="E5" s="188"/>
      <c r="F5" s="189" t="s">
        <v>232</v>
      </c>
      <c r="G5" s="188"/>
      <c r="H5" s="188"/>
      <c r="I5" s="188"/>
      <c r="J5" s="188"/>
      <c r="K5" s="188"/>
      <c r="L5" s="188"/>
      <c r="M5" s="188"/>
      <c r="N5" s="188"/>
      <c r="O5" s="188"/>
      <c r="P5" s="188"/>
      <c r="Q5" s="188"/>
      <c r="R5" s="188"/>
      <c r="S5" s="188"/>
      <c r="T5" s="188"/>
      <c r="U5" s="190"/>
      <c r="V5" s="190"/>
      <c r="W5" s="190"/>
      <c r="X5" s="188"/>
      <c r="Y5" s="188"/>
      <c r="Z5" s="190"/>
      <c r="AA5" s="188"/>
      <c r="AB5" s="188"/>
      <c r="AC5" s="190"/>
      <c r="AD5" s="190"/>
      <c r="AE5" s="188"/>
    </row>
    <row r="6" ht="14.25" customHeight="1">
      <c r="A6" s="186" t="s">
        <v>236</v>
      </c>
      <c r="B6" s="187" t="s">
        <v>237</v>
      </c>
      <c r="C6" s="186" t="s">
        <v>238</v>
      </c>
      <c r="D6" s="188"/>
      <c r="E6" s="188"/>
      <c r="F6" s="189" t="s">
        <v>232</v>
      </c>
      <c r="G6" s="188"/>
      <c r="H6" s="188"/>
      <c r="I6" s="188"/>
      <c r="J6" s="188"/>
      <c r="K6" s="188"/>
      <c r="L6" s="188"/>
      <c r="M6" s="188"/>
      <c r="N6" s="188"/>
      <c r="O6" s="188"/>
      <c r="P6" s="188"/>
      <c r="Q6" s="188"/>
      <c r="R6" s="188"/>
      <c r="S6" s="188"/>
      <c r="T6" s="188"/>
      <c r="U6" s="190"/>
      <c r="V6" s="190"/>
      <c r="W6" s="190"/>
      <c r="X6" s="188"/>
      <c r="Y6" s="188"/>
      <c r="Z6" s="190"/>
      <c r="AA6" s="188"/>
      <c r="AB6" s="188"/>
      <c r="AC6" s="190"/>
      <c r="AD6" s="190"/>
      <c r="AE6" s="188"/>
    </row>
    <row r="7" ht="14.25" customHeight="1">
      <c r="A7" s="186" t="s">
        <v>239</v>
      </c>
      <c r="B7" s="187" t="s">
        <v>240</v>
      </c>
      <c r="C7" s="186" t="s">
        <v>241</v>
      </c>
      <c r="D7" s="188"/>
      <c r="E7" s="188"/>
      <c r="F7" s="189" t="s">
        <v>232</v>
      </c>
      <c r="G7" s="188"/>
      <c r="H7" s="188"/>
      <c r="I7" s="188"/>
      <c r="J7" s="188"/>
      <c r="K7" s="188"/>
      <c r="L7" s="188"/>
      <c r="M7" s="188"/>
      <c r="N7" s="188"/>
      <c r="O7" s="188"/>
      <c r="P7" s="188"/>
      <c r="Q7" s="188"/>
      <c r="R7" s="188"/>
      <c r="S7" s="188"/>
      <c r="T7" s="188"/>
      <c r="U7" s="190"/>
      <c r="V7" s="190"/>
      <c r="W7" s="190"/>
      <c r="X7" s="188"/>
      <c r="Y7" s="188"/>
      <c r="Z7" s="190"/>
      <c r="AA7" s="188"/>
      <c r="AB7" s="188"/>
      <c r="AC7" s="190"/>
      <c r="AD7" s="190"/>
      <c r="AE7" s="188"/>
    </row>
    <row r="8" ht="14.25" customHeight="1">
      <c r="A8" s="186" t="s">
        <v>242</v>
      </c>
      <c r="B8" s="187" t="s">
        <v>243</v>
      </c>
      <c r="C8" s="186" t="s">
        <v>244</v>
      </c>
      <c r="D8" s="188"/>
      <c r="E8" s="188"/>
      <c r="F8" s="189" t="s">
        <v>232</v>
      </c>
      <c r="G8" s="188"/>
      <c r="H8" s="188"/>
      <c r="I8" s="188"/>
      <c r="J8" s="188"/>
      <c r="K8" s="188"/>
      <c r="L8" s="188"/>
      <c r="M8" s="188"/>
      <c r="N8" s="188"/>
      <c r="O8" s="188"/>
      <c r="P8" s="188"/>
      <c r="Q8" s="188"/>
      <c r="R8" s="188"/>
      <c r="S8" s="188"/>
      <c r="T8" s="188"/>
      <c r="U8" s="190"/>
      <c r="V8" s="190"/>
      <c r="W8" s="190"/>
      <c r="X8" s="188"/>
      <c r="Y8" s="188"/>
      <c r="Z8" s="190"/>
      <c r="AA8" s="188"/>
      <c r="AB8" s="188"/>
      <c r="AC8" s="190"/>
      <c r="AD8" s="190"/>
      <c r="AE8" s="188"/>
    </row>
    <row r="9" ht="14.25" customHeight="1">
      <c r="A9" s="186" t="s">
        <v>245</v>
      </c>
      <c r="B9" s="187" t="s">
        <v>246</v>
      </c>
      <c r="C9" s="186" t="s">
        <v>247</v>
      </c>
      <c r="D9" s="188"/>
      <c r="E9" s="188"/>
      <c r="F9" s="189" t="s">
        <v>232</v>
      </c>
      <c r="G9" s="188"/>
      <c r="H9" s="188"/>
      <c r="I9" s="188"/>
      <c r="J9" s="188"/>
      <c r="K9" s="188"/>
      <c r="L9" s="188"/>
      <c r="M9" s="188"/>
      <c r="N9" s="188"/>
      <c r="O9" s="188"/>
      <c r="P9" s="188"/>
      <c r="Q9" s="188"/>
      <c r="R9" s="188"/>
      <c r="S9" s="188"/>
      <c r="T9" s="188"/>
      <c r="U9" s="190"/>
      <c r="V9" s="190"/>
      <c r="W9" s="190"/>
      <c r="X9" s="188"/>
      <c r="Y9" s="188"/>
      <c r="Z9" s="190"/>
      <c r="AA9" s="188"/>
      <c r="AB9" s="188"/>
      <c r="AC9" s="190"/>
      <c r="AD9" s="190"/>
      <c r="AE9" s="188"/>
    </row>
    <row r="10" ht="14.25" customHeight="1">
      <c r="A10" s="186" t="s">
        <v>248</v>
      </c>
      <c r="B10" s="187" t="s">
        <v>249</v>
      </c>
      <c r="C10" s="186" t="s">
        <v>250</v>
      </c>
      <c r="D10" s="188"/>
      <c r="E10" s="188"/>
      <c r="F10" s="189" t="s">
        <v>232</v>
      </c>
      <c r="G10" s="188"/>
      <c r="H10" s="188"/>
      <c r="I10" s="188"/>
      <c r="J10" s="188"/>
      <c r="K10" s="188"/>
      <c r="L10" s="188"/>
      <c r="M10" s="188"/>
      <c r="N10" s="188"/>
      <c r="O10" s="188"/>
      <c r="P10" s="188"/>
      <c r="Q10" s="188"/>
      <c r="R10" s="188"/>
      <c r="S10" s="188"/>
      <c r="T10" s="188"/>
      <c r="U10" s="190"/>
      <c r="V10" s="190"/>
      <c r="W10" s="190"/>
      <c r="X10" s="188"/>
      <c r="Y10" s="188"/>
      <c r="Z10" s="190"/>
      <c r="AA10" s="188"/>
      <c r="AB10" s="188"/>
      <c r="AC10" s="190"/>
      <c r="AD10" s="190"/>
      <c r="AE10" s="188"/>
    </row>
    <row r="11" ht="14.25" customHeight="1">
      <c r="A11" s="186" t="s">
        <v>251</v>
      </c>
      <c r="B11" s="187" t="s">
        <v>252</v>
      </c>
      <c r="C11" s="186" t="s">
        <v>253</v>
      </c>
      <c r="D11" s="188"/>
      <c r="E11" s="188"/>
      <c r="F11" s="189" t="s">
        <v>232</v>
      </c>
      <c r="G11" s="188"/>
      <c r="H11" s="188"/>
      <c r="I11" s="188"/>
      <c r="J11" s="188"/>
      <c r="K11" s="188"/>
      <c r="L11" s="188"/>
      <c r="M11" s="188"/>
      <c r="N11" s="188"/>
      <c r="O11" s="188"/>
      <c r="P11" s="188"/>
      <c r="Q11" s="188"/>
      <c r="R11" s="188"/>
      <c r="S11" s="188"/>
      <c r="T11" s="188"/>
      <c r="U11" s="190"/>
      <c r="V11" s="190"/>
      <c r="W11" s="190"/>
      <c r="X11" s="188"/>
      <c r="Y11" s="188"/>
      <c r="Z11" s="190"/>
      <c r="AA11" s="188"/>
      <c r="AB11" s="188"/>
      <c r="AC11" s="190"/>
      <c r="AD11" s="190"/>
      <c r="AE11" s="188"/>
    </row>
    <row r="12" ht="14.25" customHeight="1">
      <c r="A12" s="186" t="s">
        <v>254</v>
      </c>
      <c r="B12" s="187" t="s">
        <v>255</v>
      </c>
      <c r="C12" s="186" t="s">
        <v>256</v>
      </c>
      <c r="D12" s="188"/>
      <c r="E12" s="188"/>
      <c r="F12" s="189" t="s">
        <v>232</v>
      </c>
      <c r="G12" s="188"/>
      <c r="H12" s="188"/>
      <c r="I12" s="188"/>
      <c r="J12" s="188"/>
      <c r="K12" s="188"/>
      <c r="L12" s="188"/>
      <c r="M12" s="188"/>
      <c r="N12" s="188"/>
      <c r="O12" s="188"/>
      <c r="P12" s="188"/>
      <c r="Q12" s="188"/>
      <c r="R12" s="188"/>
      <c r="S12" s="188"/>
      <c r="T12" s="188"/>
      <c r="U12" s="190"/>
      <c r="V12" s="190"/>
      <c r="W12" s="190"/>
      <c r="X12" s="188"/>
      <c r="Y12" s="188"/>
      <c r="Z12" s="190"/>
      <c r="AA12" s="188"/>
      <c r="AB12" s="188"/>
      <c r="AC12" s="190"/>
      <c r="AD12" s="190"/>
      <c r="AE12" s="188"/>
    </row>
    <row r="13" ht="14.25" customHeight="1">
      <c r="A13" s="186" t="s">
        <v>257</v>
      </c>
      <c r="B13" s="187" t="s">
        <v>258</v>
      </c>
      <c r="C13" s="186" t="s">
        <v>259</v>
      </c>
      <c r="D13" s="188"/>
      <c r="E13" s="188"/>
      <c r="F13" s="189" t="s">
        <v>260</v>
      </c>
      <c r="G13" s="188"/>
      <c r="H13" s="188"/>
      <c r="I13" s="188"/>
      <c r="J13" s="188"/>
      <c r="K13" s="188"/>
      <c r="L13" s="188"/>
      <c r="M13" s="188"/>
      <c r="N13" s="188"/>
      <c r="O13" s="188"/>
      <c r="P13" s="188"/>
      <c r="Q13" s="188"/>
      <c r="R13" s="188"/>
      <c r="S13" s="188"/>
      <c r="T13" s="188"/>
      <c r="U13" s="190"/>
      <c r="V13" s="190"/>
      <c r="W13" s="190"/>
      <c r="X13" s="188"/>
      <c r="Y13" s="188"/>
      <c r="Z13" s="190"/>
      <c r="AA13" s="188"/>
      <c r="AB13" s="188"/>
      <c r="AC13" s="190"/>
      <c r="AD13" s="190"/>
      <c r="AE13" s="188"/>
    </row>
    <row r="14" ht="14.25" customHeight="1">
      <c r="A14" s="186" t="s">
        <v>261</v>
      </c>
      <c r="B14" s="187" t="s">
        <v>262</v>
      </c>
      <c r="C14" s="186" t="s">
        <v>263</v>
      </c>
      <c r="D14" s="188"/>
      <c r="E14" s="188"/>
      <c r="F14" s="189" t="s">
        <v>264</v>
      </c>
      <c r="G14" s="188"/>
      <c r="H14" s="188"/>
      <c r="I14" s="188"/>
      <c r="J14" s="188"/>
      <c r="K14" s="188"/>
      <c r="L14" s="188"/>
      <c r="M14" s="188"/>
      <c r="N14" s="188"/>
      <c r="O14" s="188"/>
      <c r="P14" s="188"/>
      <c r="Q14" s="188"/>
      <c r="R14" s="188"/>
      <c r="S14" s="188"/>
      <c r="T14" s="188"/>
      <c r="U14" s="190"/>
      <c r="V14" s="190"/>
      <c r="W14" s="190"/>
      <c r="X14" s="188"/>
      <c r="Y14" s="188"/>
      <c r="Z14" s="190"/>
      <c r="AA14" s="188"/>
      <c r="AB14" s="188"/>
      <c r="AC14" s="190"/>
      <c r="AD14" s="190"/>
      <c r="AE14" s="188"/>
    </row>
    <row r="15" ht="14.25" customHeight="1">
      <c r="A15" s="186" t="s">
        <v>265</v>
      </c>
      <c r="B15" s="187" t="s">
        <v>266</v>
      </c>
      <c r="C15" s="186" t="s">
        <v>267</v>
      </c>
      <c r="D15" s="188"/>
      <c r="E15" s="188"/>
      <c r="F15" s="189" t="s">
        <v>268</v>
      </c>
      <c r="G15" s="188"/>
      <c r="H15" s="188"/>
      <c r="I15" s="188"/>
      <c r="J15" s="188"/>
      <c r="K15" s="188"/>
      <c r="L15" s="188"/>
      <c r="M15" s="188"/>
      <c r="N15" s="188"/>
      <c r="O15" s="188"/>
      <c r="P15" s="188"/>
      <c r="Q15" s="188"/>
      <c r="R15" s="188"/>
      <c r="S15" s="188"/>
      <c r="T15" s="188"/>
      <c r="U15" s="190"/>
      <c r="V15" s="190"/>
      <c r="W15" s="190"/>
      <c r="X15" s="188"/>
      <c r="Y15" s="188"/>
      <c r="Z15" s="190"/>
      <c r="AA15" s="188"/>
      <c r="AB15" s="188"/>
      <c r="AC15" s="190"/>
      <c r="AD15" s="190"/>
      <c r="AE15" s="188"/>
    </row>
    <row r="16" ht="14.25" customHeight="1">
      <c r="A16" s="186" t="s">
        <v>269</v>
      </c>
      <c r="B16" s="187" t="s">
        <v>270</v>
      </c>
      <c r="C16" s="186" t="s">
        <v>271</v>
      </c>
      <c r="D16" s="188"/>
      <c r="E16" s="188"/>
      <c r="F16" s="189" t="s">
        <v>272</v>
      </c>
      <c r="G16" s="188"/>
      <c r="H16" s="188"/>
      <c r="I16" s="188"/>
      <c r="J16" s="188"/>
      <c r="K16" s="188"/>
      <c r="L16" s="188"/>
      <c r="M16" s="188"/>
      <c r="N16" s="188"/>
      <c r="O16" s="188"/>
      <c r="P16" s="188"/>
      <c r="Q16" s="188"/>
      <c r="R16" s="188"/>
      <c r="S16" s="188"/>
      <c r="T16" s="188"/>
      <c r="U16" s="190"/>
      <c r="V16" s="190"/>
      <c r="W16" s="190"/>
      <c r="X16" s="188"/>
      <c r="Y16" s="188"/>
      <c r="Z16" s="190"/>
      <c r="AA16" s="188"/>
      <c r="AB16" s="188"/>
      <c r="AC16" s="190"/>
      <c r="AD16" s="190"/>
      <c r="AE16" s="188"/>
    </row>
    <row r="17" ht="14.25" customHeight="1">
      <c r="A17" s="186" t="s">
        <v>273</v>
      </c>
      <c r="B17" s="187" t="s">
        <v>274</v>
      </c>
      <c r="C17" s="186" t="s">
        <v>275</v>
      </c>
      <c r="D17" s="188"/>
      <c r="E17" s="188"/>
      <c r="F17" s="189" t="s">
        <v>276</v>
      </c>
      <c r="G17" s="188"/>
      <c r="H17" s="188"/>
      <c r="I17" s="188"/>
      <c r="J17" s="188"/>
      <c r="K17" s="188"/>
      <c r="L17" s="188"/>
      <c r="M17" s="188"/>
      <c r="N17" s="188"/>
      <c r="O17" s="188"/>
      <c r="P17" s="188"/>
      <c r="Q17" s="188"/>
      <c r="R17" s="188"/>
      <c r="S17" s="188"/>
      <c r="T17" s="188"/>
      <c r="U17" s="190"/>
      <c r="V17" s="190"/>
      <c r="W17" s="190"/>
      <c r="X17" s="188"/>
      <c r="Y17" s="188"/>
      <c r="Z17" s="190"/>
      <c r="AA17" s="188"/>
      <c r="AB17" s="188"/>
      <c r="AC17" s="190"/>
      <c r="AD17" s="190"/>
      <c r="AE17" s="188"/>
    </row>
    <row r="18" ht="14.25" customHeight="1">
      <c r="A18" s="186" t="s">
        <v>277</v>
      </c>
      <c r="B18" s="187" t="s">
        <v>278</v>
      </c>
      <c r="C18" s="186" t="s">
        <v>279</v>
      </c>
      <c r="D18" s="188"/>
      <c r="E18" s="188"/>
      <c r="F18" s="189" t="s">
        <v>280</v>
      </c>
      <c r="G18" s="188"/>
      <c r="H18" s="188"/>
      <c r="I18" s="188"/>
      <c r="J18" s="188"/>
      <c r="K18" s="188"/>
      <c r="L18" s="188"/>
      <c r="M18" s="188"/>
      <c r="N18" s="188"/>
      <c r="O18" s="188"/>
      <c r="P18" s="188"/>
      <c r="Q18" s="188"/>
      <c r="R18" s="188"/>
      <c r="S18" s="188"/>
      <c r="T18" s="188"/>
      <c r="U18" s="190"/>
      <c r="V18" s="190"/>
      <c r="W18" s="190"/>
      <c r="X18" s="188"/>
      <c r="Y18" s="188"/>
      <c r="Z18" s="190"/>
      <c r="AA18" s="188"/>
      <c r="AB18" s="188"/>
      <c r="AC18" s="190"/>
      <c r="AD18" s="190"/>
      <c r="AE18" s="188"/>
    </row>
    <row r="19" ht="14.25" customHeight="1">
      <c r="A19" s="186" t="s">
        <v>281</v>
      </c>
      <c r="B19" s="187" t="s">
        <v>282</v>
      </c>
      <c r="C19" s="186" t="s">
        <v>283</v>
      </c>
      <c r="D19" s="188"/>
      <c r="E19" s="188"/>
      <c r="F19" s="189" t="s">
        <v>284</v>
      </c>
      <c r="G19" s="188"/>
      <c r="H19" s="188"/>
      <c r="I19" s="188"/>
      <c r="J19" s="188"/>
      <c r="K19" s="188"/>
      <c r="L19" s="188"/>
      <c r="M19" s="188"/>
      <c r="N19" s="188"/>
      <c r="O19" s="188"/>
      <c r="P19" s="188"/>
      <c r="Q19" s="188"/>
      <c r="R19" s="188"/>
      <c r="S19" s="188"/>
      <c r="T19" s="188"/>
      <c r="U19" s="190"/>
      <c r="V19" s="190"/>
      <c r="W19" s="190"/>
      <c r="X19" s="188"/>
      <c r="Y19" s="188"/>
      <c r="Z19" s="190"/>
      <c r="AA19" s="188"/>
      <c r="AB19" s="188"/>
      <c r="AC19" s="190"/>
      <c r="AD19" s="190"/>
      <c r="AE19" s="188"/>
    </row>
    <row r="20" ht="14.25" customHeight="1">
      <c r="A20" s="186" t="s">
        <v>285</v>
      </c>
      <c r="B20" s="187" t="s">
        <v>286</v>
      </c>
      <c r="C20" s="186" t="s">
        <v>287</v>
      </c>
      <c r="D20" s="188"/>
      <c r="E20" s="188"/>
      <c r="F20" s="189" t="s">
        <v>288</v>
      </c>
      <c r="G20" s="188"/>
      <c r="H20" s="188"/>
      <c r="I20" s="188"/>
      <c r="J20" s="188"/>
      <c r="K20" s="188"/>
      <c r="L20" s="188"/>
      <c r="M20" s="188"/>
      <c r="N20" s="188"/>
      <c r="O20" s="188"/>
      <c r="P20" s="188"/>
      <c r="Q20" s="188"/>
      <c r="R20" s="188"/>
      <c r="S20" s="188"/>
      <c r="T20" s="188"/>
      <c r="U20" s="190"/>
      <c r="V20" s="190"/>
      <c r="W20" s="190"/>
      <c r="X20" s="188"/>
      <c r="Y20" s="188"/>
      <c r="Z20" s="190"/>
      <c r="AA20" s="188"/>
      <c r="AB20" s="188"/>
      <c r="AC20" s="190"/>
      <c r="AD20" s="190"/>
      <c r="AE20" s="188"/>
    </row>
    <row r="21" ht="14.25" customHeight="1">
      <c r="A21" s="186" t="s">
        <v>289</v>
      </c>
      <c r="B21" s="187" t="s">
        <v>290</v>
      </c>
      <c r="C21" s="186" t="s">
        <v>291</v>
      </c>
      <c r="D21" s="188"/>
      <c r="E21" s="188"/>
      <c r="F21" s="189" t="s">
        <v>292</v>
      </c>
      <c r="G21" s="188"/>
      <c r="H21" s="188"/>
      <c r="I21" s="188"/>
      <c r="J21" s="188"/>
      <c r="K21" s="188"/>
      <c r="L21" s="188"/>
      <c r="M21" s="188"/>
      <c r="N21" s="188"/>
      <c r="O21" s="188"/>
      <c r="P21" s="188"/>
      <c r="Q21" s="188"/>
      <c r="R21" s="188"/>
      <c r="S21" s="188"/>
      <c r="T21" s="188"/>
      <c r="U21" s="190"/>
      <c r="V21" s="190"/>
      <c r="W21" s="190"/>
      <c r="X21" s="188"/>
      <c r="Y21" s="188"/>
      <c r="Z21" s="190"/>
      <c r="AA21" s="188"/>
      <c r="AB21" s="188"/>
      <c r="AC21" s="190"/>
      <c r="AD21" s="190"/>
      <c r="AE21" s="188"/>
    </row>
    <row r="22" ht="14.25" customHeight="1">
      <c r="A22" s="186" t="s">
        <v>293</v>
      </c>
      <c r="B22" s="187" t="s">
        <v>294</v>
      </c>
      <c r="C22" s="186" t="s">
        <v>295</v>
      </c>
      <c r="D22" s="188"/>
      <c r="E22" s="188"/>
      <c r="F22" s="189" t="s">
        <v>296</v>
      </c>
      <c r="G22" s="188"/>
      <c r="H22" s="188"/>
      <c r="I22" s="188"/>
      <c r="J22" s="188"/>
      <c r="K22" s="188"/>
      <c r="L22" s="188"/>
      <c r="M22" s="188"/>
      <c r="N22" s="188"/>
      <c r="O22" s="188"/>
      <c r="P22" s="188"/>
      <c r="Q22" s="188"/>
      <c r="R22" s="188"/>
      <c r="S22" s="188"/>
      <c r="T22" s="188"/>
      <c r="U22" s="190"/>
      <c r="V22" s="190"/>
      <c r="W22" s="190"/>
      <c r="X22" s="188"/>
      <c r="Y22" s="188"/>
      <c r="Z22" s="190"/>
      <c r="AA22" s="188"/>
      <c r="AB22" s="188"/>
      <c r="AC22" s="190"/>
      <c r="AD22" s="190"/>
      <c r="AE22" s="188"/>
    </row>
    <row r="23" ht="14.25" customHeight="1">
      <c r="A23" s="186" t="s">
        <v>297</v>
      </c>
      <c r="B23" s="187" t="s">
        <v>298</v>
      </c>
      <c r="C23" s="186" t="s">
        <v>299</v>
      </c>
      <c r="D23" s="188"/>
      <c r="E23" s="188"/>
      <c r="F23" s="189" t="s">
        <v>300</v>
      </c>
      <c r="G23" s="188"/>
      <c r="H23" s="188"/>
      <c r="I23" s="188"/>
      <c r="J23" s="188"/>
      <c r="K23" s="188"/>
      <c r="L23" s="188"/>
      <c r="M23" s="188"/>
      <c r="N23" s="188"/>
      <c r="O23" s="188"/>
      <c r="P23" s="188"/>
      <c r="Q23" s="188"/>
      <c r="R23" s="188"/>
      <c r="S23" s="188"/>
      <c r="T23" s="188"/>
      <c r="U23" s="190"/>
      <c r="V23" s="190"/>
      <c r="W23" s="190"/>
      <c r="X23" s="188"/>
      <c r="Y23" s="188"/>
      <c r="Z23" s="190"/>
      <c r="AA23" s="188"/>
      <c r="AB23" s="188"/>
      <c r="AC23" s="190"/>
      <c r="AD23" s="190"/>
      <c r="AE23" s="188"/>
    </row>
    <row r="24" ht="14.25" customHeight="1">
      <c r="A24" s="186" t="s">
        <v>301</v>
      </c>
      <c r="B24" s="187" t="s">
        <v>302</v>
      </c>
      <c r="C24" s="186" t="s">
        <v>303</v>
      </c>
      <c r="D24" s="188"/>
      <c r="E24" s="188"/>
      <c r="F24" s="189" t="s">
        <v>232</v>
      </c>
      <c r="G24" s="188"/>
      <c r="H24" s="188"/>
      <c r="I24" s="188"/>
      <c r="J24" s="188"/>
      <c r="K24" s="188"/>
      <c r="L24" s="188"/>
      <c r="M24" s="188"/>
      <c r="N24" s="188"/>
      <c r="O24" s="188"/>
      <c r="P24" s="188"/>
      <c r="Q24" s="188"/>
      <c r="R24" s="188"/>
      <c r="S24" s="188"/>
      <c r="T24" s="188"/>
      <c r="U24" s="190"/>
      <c r="V24" s="190"/>
      <c r="W24" s="190"/>
      <c r="X24" s="188"/>
      <c r="Y24" s="188"/>
      <c r="Z24" s="190"/>
      <c r="AA24" s="188"/>
      <c r="AB24" s="188"/>
      <c r="AC24" s="190"/>
      <c r="AD24" s="190"/>
      <c r="AE24" s="188"/>
    </row>
    <row r="25" ht="14.25" customHeight="1">
      <c r="A25" s="186" t="s">
        <v>304</v>
      </c>
      <c r="B25" s="187" t="s">
        <v>305</v>
      </c>
      <c r="C25" s="186" t="s">
        <v>306</v>
      </c>
      <c r="D25" s="188"/>
      <c r="E25" s="188"/>
      <c r="F25" s="189" t="s">
        <v>307</v>
      </c>
      <c r="G25" s="188"/>
      <c r="H25" s="188"/>
      <c r="I25" s="188"/>
      <c r="J25" s="188"/>
      <c r="K25" s="188"/>
      <c r="L25" s="188"/>
      <c r="M25" s="188"/>
      <c r="N25" s="188"/>
      <c r="O25" s="188"/>
      <c r="P25" s="188"/>
      <c r="Q25" s="188"/>
      <c r="R25" s="188"/>
      <c r="S25" s="188"/>
      <c r="T25" s="188"/>
      <c r="U25" s="190"/>
      <c r="V25" s="190"/>
      <c r="W25" s="190"/>
      <c r="X25" s="188"/>
      <c r="Y25" s="188"/>
      <c r="Z25" s="190"/>
      <c r="AA25" s="188"/>
      <c r="AB25" s="188"/>
      <c r="AC25" s="190"/>
      <c r="AD25" s="190"/>
      <c r="AE25" s="188"/>
    </row>
    <row r="26" ht="14.25" customHeight="1">
      <c r="A26" s="186" t="s">
        <v>308</v>
      </c>
      <c r="B26" s="187" t="s">
        <v>309</v>
      </c>
      <c r="C26" s="186" t="s">
        <v>310</v>
      </c>
      <c r="D26" s="188"/>
      <c r="E26" s="188"/>
      <c r="F26" s="189" t="s">
        <v>311</v>
      </c>
      <c r="G26" s="188"/>
      <c r="H26" s="188"/>
      <c r="I26" s="188"/>
      <c r="J26" s="188"/>
      <c r="K26" s="188"/>
      <c r="L26" s="188"/>
      <c r="M26" s="188"/>
      <c r="N26" s="188"/>
      <c r="O26" s="188"/>
      <c r="P26" s="188"/>
      <c r="Q26" s="188"/>
      <c r="R26" s="188"/>
      <c r="S26" s="188"/>
      <c r="T26" s="188"/>
      <c r="U26" s="190"/>
      <c r="V26" s="190"/>
      <c r="W26" s="190"/>
      <c r="X26" s="188"/>
      <c r="Y26" s="188"/>
      <c r="Z26" s="190"/>
      <c r="AA26" s="188"/>
      <c r="AB26" s="188"/>
      <c r="AC26" s="190"/>
      <c r="AD26" s="190"/>
      <c r="AE26" s="188"/>
    </row>
    <row r="27" ht="14.25" customHeight="1">
      <c r="A27" s="186" t="s">
        <v>312</v>
      </c>
      <c r="B27" s="187" t="s">
        <v>313</v>
      </c>
      <c r="C27" s="186" t="s">
        <v>314</v>
      </c>
      <c r="D27" s="188"/>
      <c r="E27" s="188"/>
      <c r="F27" s="189" t="s">
        <v>315</v>
      </c>
      <c r="G27" s="188"/>
      <c r="H27" s="188"/>
      <c r="I27" s="188"/>
      <c r="J27" s="188"/>
      <c r="K27" s="188"/>
      <c r="L27" s="188"/>
      <c r="M27" s="188"/>
      <c r="N27" s="188"/>
      <c r="O27" s="188"/>
      <c r="P27" s="188"/>
      <c r="Q27" s="188"/>
      <c r="R27" s="188"/>
      <c r="S27" s="188"/>
      <c r="T27" s="188"/>
      <c r="U27" s="190"/>
      <c r="V27" s="190"/>
      <c r="W27" s="190"/>
      <c r="X27" s="188"/>
      <c r="Y27" s="188"/>
      <c r="Z27" s="190"/>
      <c r="AA27" s="188"/>
      <c r="AB27" s="188"/>
      <c r="AC27" s="190"/>
      <c r="AD27" s="190"/>
      <c r="AE27" s="188"/>
    </row>
    <row r="28" ht="14.25" customHeight="1">
      <c r="A28" s="186" t="s">
        <v>316</v>
      </c>
      <c r="B28" s="187" t="s">
        <v>317</v>
      </c>
      <c r="C28" s="186" t="s">
        <v>318</v>
      </c>
      <c r="D28" s="188"/>
      <c r="E28" s="188"/>
      <c r="F28" s="189" t="s">
        <v>319</v>
      </c>
      <c r="G28" s="188"/>
      <c r="H28" s="188"/>
      <c r="I28" s="188"/>
      <c r="J28" s="188"/>
      <c r="K28" s="188"/>
      <c r="L28" s="188"/>
      <c r="M28" s="188"/>
      <c r="N28" s="188"/>
      <c r="O28" s="188"/>
      <c r="P28" s="188"/>
      <c r="Q28" s="188"/>
      <c r="R28" s="188"/>
      <c r="S28" s="188"/>
      <c r="T28" s="188"/>
      <c r="U28" s="190"/>
      <c r="V28" s="190"/>
      <c r="W28" s="190"/>
      <c r="X28" s="188"/>
      <c r="Y28" s="188"/>
      <c r="Z28" s="190"/>
      <c r="AA28" s="188"/>
      <c r="AB28" s="188"/>
      <c r="AC28" s="190"/>
      <c r="AD28" s="190"/>
      <c r="AE28" s="188"/>
    </row>
    <row r="29" ht="14.25" customHeight="1">
      <c r="A29" s="186" t="s">
        <v>320</v>
      </c>
      <c r="B29" s="187" t="s">
        <v>321</v>
      </c>
      <c r="C29" s="186" t="s">
        <v>322</v>
      </c>
      <c r="D29" s="188"/>
      <c r="E29" s="188"/>
      <c r="F29" s="189" t="s">
        <v>323</v>
      </c>
      <c r="G29" s="188"/>
      <c r="H29" s="188"/>
      <c r="I29" s="188"/>
      <c r="J29" s="188"/>
      <c r="K29" s="188"/>
      <c r="L29" s="188"/>
      <c r="M29" s="188"/>
      <c r="N29" s="188"/>
      <c r="O29" s="188"/>
      <c r="P29" s="188"/>
      <c r="Q29" s="188"/>
      <c r="R29" s="188"/>
      <c r="S29" s="188"/>
      <c r="T29" s="188"/>
      <c r="U29" s="190"/>
      <c r="V29" s="190"/>
      <c r="W29" s="190"/>
      <c r="X29" s="188"/>
      <c r="Y29" s="188"/>
      <c r="Z29" s="190"/>
      <c r="AA29" s="188"/>
      <c r="AB29" s="188"/>
      <c r="AC29" s="190"/>
      <c r="AD29" s="190"/>
      <c r="AE29" s="188"/>
    </row>
    <row r="30" ht="14.25" customHeight="1">
      <c r="A30" s="186" t="s">
        <v>324</v>
      </c>
      <c r="B30" s="187" t="s">
        <v>325</v>
      </c>
      <c r="C30" s="186" t="s">
        <v>326</v>
      </c>
      <c r="D30" s="188"/>
      <c r="E30" s="188"/>
      <c r="F30" s="189" t="s">
        <v>327</v>
      </c>
      <c r="G30" s="188"/>
      <c r="H30" s="188"/>
      <c r="I30" s="188"/>
      <c r="J30" s="188"/>
      <c r="K30" s="188"/>
      <c r="L30" s="188"/>
      <c r="M30" s="188"/>
      <c r="N30" s="188"/>
      <c r="O30" s="188"/>
      <c r="P30" s="188"/>
      <c r="Q30" s="188"/>
      <c r="R30" s="188"/>
      <c r="S30" s="188"/>
      <c r="T30" s="188"/>
      <c r="U30" s="190"/>
      <c r="V30" s="190"/>
      <c r="W30" s="190"/>
      <c r="X30" s="188"/>
      <c r="Y30" s="188"/>
      <c r="Z30" s="190"/>
      <c r="AA30" s="188"/>
      <c r="AB30" s="188"/>
      <c r="AC30" s="190"/>
      <c r="AD30" s="190"/>
      <c r="AE30" s="188"/>
    </row>
    <row r="31" ht="14.25" customHeight="1">
      <c r="A31" s="186" t="s">
        <v>328</v>
      </c>
      <c r="B31" s="187" t="s">
        <v>329</v>
      </c>
      <c r="C31" s="186" t="s">
        <v>330</v>
      </c>
      <c r="D31" s="188"/>
      <c r="E31" s="188"/>
      <c r="F31" s="189" t="s">
        <v>331</v>
      </c>
      <c r="G31" s="188"/>
      <c r="H31" s="188"/>
      <c r="I31" s="188"/>
      <c r="J31" s="188"/>
      <c r="K31" s="188"/>
      <c r="L31" s="188"/>
      <c r="M31" s="188"/>
      <c r="N31" s="188"/>
      <c r="O31" s="188"/>
      <c r="P31" s="188"/>
      <c r="Q31" s="188"/>
      <c r="R31" s="188"/>
      <c r="S31" s="188"/>
      <c r="T31" s="188"/>
      <c r="U31" s="190"/>
      <c r="V31" s="190"/>
      <c r="W31" s="190"/>
      <c r="X31" s="188"/>
      <c r="Y31" s="188"/>
      <c r="Z31" s="190"/>
      <c r="AA31" s="188"/>
      <c r="AB31" s="188"/>
      <c r="AC31" s="190"/>
      <c r="AD31" s="190"/>
      <c r="AE31" s="188"/>
    </row>
    <row r="32" ht="14.25" customHeight="1">
      <c r="A32" s="186" t="s">
        <v>332</v>
      </c>
      <c r="B32" s="187" t="s">
        <v>333</v>
      </c>
      <c r="C32" s="186" t="s">
        <v>334</v>
      </c>
      <c r="D32" s="188"/>
      <c r="E32" s="188"/>
      <c r="F32" s="189" t="s">
        <v>335</v>
      </c>
      <c r="G32" s="188"/>
      <c r="H32" s="188"/>
      <c r="I32" s="188"/>
      <c r="J32" s="188"/>
      <c r="K32" s="188"/>
      <c r="L32" s="188"/>
      <c r="M32" s="188"/>
      <c r="N32" s="188"/>
      <c r="O32" s="188"/>
      <c r="P32" s="188"/>
      <c r="Q32" s="188"/>
      <c r="R32" s="188"/>
      <c r="S32" s="188"/>
      <c r="T32" s="188"/>
      <c r="U32" s="190"/>
      <c r="V32" s="190"/>
      <c r="W32" s="190"/>
      <c r="X32" s="188"/>
      <c r="Y32" s="188"/>
      <c r="Z32" s="190"/>
      <c r="AA32" s="188"/>
      <c r="AB32" s="188"/>
      <c r="AC32" s="190"/>
      <c r="AD32" s="190"/>
      <c r="AE32" s="188"/>
    </row>
    <row r="33" ht="14.25" customHeight="1">
      <c r="A33" s="186" t="s">
        <v>336</v>
      </c>
      <c r="B33" s="187" t="s">
        <v>337</v>
      </c>
      <c r="C33" s="186" t="s">
        <v>338</v>
      </c>
      <c r="D33" s="188"/>
      <c r="E33" s="188"/>
      <c r="F33" s="189" t="s">
        <v>339</v>
      </c>
      <c r="G33" s="188"/>
      <c r="H33" s="188"/>
      <c r="I33" s="188"/>
      <c r="J33" s="188"/>
      <c r="K33" s="188"/>
      <c r="L33" s="188"/>
      <c r="M33" s="188"/>
      <c r="N33" s="188"/>
      <c r="O33" s="188"/>
      <c r="P33" s="188"/>
      <c r="Q33" s="188"/>
      <c r="R33" s="188"/>
      <c r="S33" s="188"/>
      <c r="T33" s="188"/>
      <c r="U33" s="190"/>
      <c r="V33" s="190"/>
      <c r="W33" s="190"/>
      <c r="X33" s="188"/>
      <c r="Y33" s="188"/>
      <c r="Z33" s="190"/>
      <c r="AA33" s="188"/>
      <c r="AB33" s="188"/>
      <c r="AC33" s="190"/>
      <c r="AD33" s="190"/>
      <c r="AE33" s="188"/>
    </row>
    <row r="34" ht="14.25" customHeight="1">
      <c r="A34" s="186" t="s">
        <v>340</v>
      </c>
      <c r="B34" s="187" t="s">
        <v>341</v>
      </c>
      <c r="C34" s="186" t="s">
        <v>342</v>
      </c>
      <c r="D34" s="188"/>
      <c r="E34" s="188"/>
      <c r="F34" s="189" t="s">
        <v>343</v>
      </c>
      <c r="G34" s="188"/>
      <c r="H34" s="188"/>
      <c r="I34" s="188"/>
      <c r="J34" s="188"/>
      <c r="K34" s="188"/>
      <c r="L34" s="188"/>
      <c r="M34" s="188"/>
      <c r="N34" s="188"/>
      <c r="O34" s="188"/>
      <c r="P34" s="188"/>
      <c r="Q34" s="188"/>
      <c r="R34" s="188"/>
      <c r="S34" s="188"/>
      <c r="T34" s="188"/>
      <c r="U34" s="190"/>
      <c r="V34" s="190"/>
      <c r="W34" s="190"/>
      <c r="X34" s="188"/>
      <c r="Y34" s="188"/>
      <c r="Z34" s="190"/>
      <c r="AA34" s="188"/>
      <c r="AB34" s="188"/>
      <c r="AC34" s="190"/>
      <c r="AD34" s="190"/>
      <c r="AE34" s="188"/>
    </row>
    <row r="35" ht="14.25" customHeight="1">
      <c r="A35" s="186" t="s">
        <v>344</v>
      </c>
      <c r="B35" s="187" t="s">
        <v>345</v>
      </c>
      <c r="C35" s="186" t="s">
        <v>346</v>
      </c>
      <c r="D35" s="188"/>
      <c r="E35" s="188"/>
      <c r="F35" s="189" t="s">
        <v>347</v>
      </c>
      <c r="G35" s="188"/>
      <c r="H35" s="188"/>
      <c r="I35" s="188"/>
      <c r="J35" s="188"/>
      <c r="K35" s="188"/>
      <c r="L35" s="188"/>
      <c r="M35" s="188"/>
      <c r="N35" s="188"/>
      <c r="O35" s="188"/>
      <c r="P35" s="188"/>
      <c r="Q35" s="188"/>
      <c r="R35" s="188"/>
      <c r="S35" s="188"/>
      <c r="T35" s="188"/>
      <c r="U35" s="190"/>
      <c r="V35" s="190"/>
      <c r="W35" s="190"/>
      <c r="X35" s="188"/>
      <c r="Y35" s="188"/>
      <c r="Z35" s="190"/>
      <c r="AA35" s="188"/>
      <c r="AB35" s="188"/>
      <c r="AC35" s="190"/>
      <c r="AD35" s="190"/>
      <c r="AE35" s="188"/>
    </row>
    <row r="36" ht="14.25" customHeight="1">
      <c r="A36" s="186" t="s">
        <v>348</v>
      </c>
      <c r="B36" s="187" t="s">
        <v>349</v>
      </c>
      <c r="C36" s="186" t="s">
        <v>350</v>
      </c>
      <c r="D36" s="188"/>
      <c r="E36" s="188"/>
      <c r="F36" s="189" t="s">
        <v>351</v>
      </c>
      <c r="G36" s="188"/>
      <c r="H36" s="188"/>
      <c r="I36" s="188"/>
      <c r="J36" s="188"/>
      <c r="K36" s="188"/>
      <c r="L36" s="188"/>
      <c r="M36" s="188"/>
      <c r="N36" s="188"/>
      <c r="O36" s="188"/>
      <c r="P36" s="188"/>
      <c r="Q36" s="188"/>
      <c r="R36" s="188"/>
      <c r="S36" s="188"/>
      <c r="T36" s="188"/>
      <c r="U36" s="190"/>
      <c r="V36" s="190"/>
      <c r="W36" s="190"/>
      <c r="X36" s="188"/>
      <c r="Y36" s="188"/>
      <c r="Z36" s="190"/>
      <c r="AA36" s="188"/>
      <c r="AB36" s="188"/>
      <c r="AC36" s="190"/>
      <c r="AD36" s="190"/>
      <c r="AE36" s="188"/>
    </row>
    <row r="37" ht="14.25" customHeight="1">
      <c r="A37" s="186" t="s">
        <v>352</v>
      </c>
      <c r="B37" s="187" t="s">
        <v>353</v>
      </c>
      <c r="C37" s="186" t="s">
        <v>354</v>
      </c>
      <c r="D37" s="188"/>
      <c r="E37" s="188"/>
      <c r="F37" s="189" t="s">
        <v>355</v>
      </c>
      <c r="G37" s="188"/>
      <c r="H37" s="188"/>
      <c r="I37" s="188"/>
      <c r="J37" s="188"/>
      <c r="K37" s="188"/>
      <c r="L37" s="188"/>
      <c r="M37" s="188"/>
      <c r="N37" s="188"/>
      <c r="O37" s="188"/>
      <c r="P37" s="188"/>
      <c r="Q37" s="188"/>
      <c r="R37" s="188"/>
      <c r="S37" s="188"/>
      <c r="T37" s="188"/>
      <c r="U37" s="190"/>
      <c r="V37" s="190"/>
      <c r="W37" s="190"/>
      <c r="X37" s="188"/>
      <c r="Y37" s="188"/>
      <c r="Z37" s="190"/>
      <c r="AA37" s="188"/>
      <c r="AB37" s="188"/>
      <c r="AC37" s="190"/>
      <c r="AD37" s="190"/>
      <c r="AE37" s="188"/>
    </row>
    <row r="38" ht="14.25" customHeight="1">
      <c r="A38" s="186" t="s">
        <v>356</v>
      </c>
      <c r="B38" s="187" t="s">
        <v>357</v>
      </c>
      <c r="C38" s="186" t="s">
        <v>358</v>
      </c>
      <c r="D38" s="188"/>
      <c r="E38" s="188"/>
      <c r="F38" s="189" t="s">
        <v>359</v>
      </c>
      <c r="G38" s="188"/>
      <c r="H38" s="188"/>
      <c r="I38" s="188"/>
      <c r="J38" s="188"/>
      <c r="K38" s="188"/>
      <c r="L38" s="188"/>
      <c r="M38" s="188"/>
      <c r="N38" s="188"/>
      <c r="O38" s="188"/>
      <c r="P38" s="188"/>
      <c r="Q38" s="188"/>
      <c r="R38" s="188"/>
      <c r="S38" s="188"/>
      <c r="T38" s="188"/>
      <c r="U38" s="190"/>
      <c r="V38" s="190"/>
      <c r="W38" s="190"/>
      <c r="X38" s="188"/>
      <c r="Y38" s="188"/>
      <c r="Z38" s="190"/>
      <c r="AA38" s="188"/>
      <c r="AB38" s="188"/>
      <c r="AC38" s="190"/>
      <c r="AD38" s="190"/>
      <c r="AE38" s="188"/>
    </row>
    <row r="39" ht="14.25" customHeight="1">
      <c r="A39" s="186" t="s">
        <v>360</v>
      </c>
      <c r="B39" s="187" t="s">
        <v>361</v>
      </c>
      <c r="C39" s="186" t="s">
        <v>362</v>
      </c>
      <c r="D39" s="188"/>
      <c r="E39" s="188"/>
      <c r="F39" s="189" t="s">
        <v>363</v>
      </c>
      <c r="G39" s="188"/>
      <c r="H39" s="188"/>
      <c r="I39" s="188"/>
      <c r="J39" s="188"/>
      <c r="K39" s="188"/>
      <c r="L39" s="188"/>
      <c r="M39" s="188"/>
      <c r="N39" s="188"/>
      <c r="O39" s="188"/>
      <c r="P39" s="188"/>
      <c r="Q39" s="188"/>
      <c r="R39" s="188"/>
      <c r="S39" s="188"/>
      <c r="T39" s="188"/>
      <c r="U39" s="190"/>
      <c r="V39" s="190"/>
      <c r="W39" s="190"/>
      <c r="X39" s="188"/>
      <c r="Y39" s="188"/>
      <c r="Z39" s="190"/>
      <c r="AA39" s="188"/>
      <c r="AB39" s="188"/>
      <c r="AC39" s="190"/>
      <c r="AD39" s="190"/>
      <c r="AE39" s="188"/>
    </row>
    <row r="40" ht="14.25" customHeight="1">
      <c r="A40" s="186" t="s">
        <v>364</v>
      </c>
      <c r="B40" s="187" t="s">
        <v>365</v>
      </c>
      <c r="C40" s="186" t="s">
        <v>366</v>
      </c>
      <c r="D40" s="188"/>
      <c r="E40" s="188"/>
      <c r="F40" s="189" t="s">
        <v>367</v>
      </c>
      <c r="G40" s="188"/>
      <c r="H40" s="188"/>
      <c r="I40" s="188"/>
      <c r="J40" s="188"/>
      <c r="K40" s="188"/>
      <c r="L40" s="188"/>
      <c r="M40" s="188"/>
      <c r="N40" s="188"/>
      <c r="O40" s="188"/>
      <c r="P40" s="188"/>
      <c r="Q40" s="188"/>
      <c r="R40" s="188"/>
      <c r="S40" s="188"/>
      <c r="T40" s="188"/>
      <c r="U40" s="190"/>
      <c r="V40" s="190"/>
      <c r="W40" s="190"/>
      <c r="X40" s="188"/>
      <c r="Y40" s="188"/>
      <c r="Z40" s="190"/>
      <c r="AA40" s="188"/>
      <c r="AB40" s="188"/>
      <c r="AC40" s="190"/>
      <c r="AD40" s="190"/>
      <c r="AE40" s="188"/>
    </row>
    <row r="41" ht="14.25" customHeight="1">
      <c r="A41" s="186" t="s">
        <v>368</v>
      </c>
      <c r="B41" s="187" t="s">
        <v>369</v>
      </c>
      <c r="C41" s="186" t="s">
        <v>370</v>
      </c>
      <c r="D41" s="188"/>
      <c r="E41" s="188"/>
      <c r="F41" s="189" t="s">
        <v>371</v>
      </c>
      <c r="G41" s="188"/>
      <c r="H41" s="188"/>
      <c r="I41" s="188"/>
      <c r="J41" s="188"/>
      <c r="K41" s="188"/>
      <c r="L41" s="188"/>
      <c r="M41" s="188"/>
      <c r="N41" s="188"/>
      <c r="O41" s="188"/>
      <c r="P41" s="188"/>
      <c r="Q41" s="188"/>
      <c r="R41" s="188"/>
      <c r="S41" s="188"/>
      <c r="T41" s="188"/>
      <c r="U41" s="190"/>
      <c r="V41" s="190"/>
      <c r="W41" s="190"/>
      <c r="X41" s="188"/>
      <c r="Y41" s="188"/>
      <c r="Z41" s="190"/>
      <c r="AA41" s="188"/>
      <c r="AB41" s="188"/>
      <c r="AC41" s="190"/>
      <c r="AD41" s="190"/>
      <c r="AE41" s="188"/>
    </row>
    <row r="42" ht="14.25" customHeight="1">
      <c r="A42" s="186" t="s">
        <v>372</v>
      </c>
      <c r="B42" s="187" t="s">
        <v>373</v>
      </c>
      <c r="C42" s="186" t="s">
        <v>374</v>
      </c>
      <c r="D42" s="188"/>
      <c r="E42" s="188"/>
      <c r="F42" s="189" t="s">
        <v>232</v>
      </c>
      <c r="G42" s="188"/>
      <c r="H42" s="188"/>
      <c r="I42" s="188"/>
      <c r="J42" s="188"/>
      <c r="K42" s="188"/>
      <c r="L42" s="188"/>
      <c r="M42" s="188"/>
      <c r="N42" s="188"/>
      <c r="O42" s="188"/>
      <c r="P42" s="188"/>
      <c r="Q42" s="188"/>
      <c r="R42" s="188"/>
      <c r="S42" s="188"/>
      <c r="T42" s="188"/>
      <c r="U42" s="190"/>
      <c r="V42" s="190"/>
      <c r="W42" s="190"/>
      <c r="X42" s="188"/>
      <c r="Y42" s="188"/>
      <c r="Z42" s="190"/>
      <c r="AA42" s="188"/>
      <c r="AB42" s="188"/>
      <c r="AC42" s="190"/>
      <c r="AD42" s="190"/>
      <c r="AE42" s="188"/>
    </row>
    <row r="43" ht="14.25" customHeight="1">
      <c r="A43" s="186" t="s">
        <v>375</v>
      </c>
      <c r="B43" s="187" t="s">
        <v>376</v>
      </c>
      <c r="C43" s="186" t="s">
        <v>377</v>
      </c>
      <c r="D43" s="188"/>
      <c r="E43" s="188"/>
      <c r="F43" s="189" t="s">
        <v>378</v>
      </c>
      <c r="G43" s="188"/>
      <c r="H43" s="188"/>
      <c r="I43" s="188"/>
      <c r="J43" s="188"/>
      <c r="K43" s="188"/>
      <c r="L43" s="188"/>
      <c r="M43" s="188"/>
      <c r="N43" s="188"/>
      <c r="O43" s="188"/>
      <c r="P43" s="188"/>
      <c r="Q43" s="188"/>
      <c r="R43" s="188"/>
      <c r="S43" s="188"/>
      <c r="T43" s="188"/>
      <c r="U43" s="190"/>
      <c r="V43" s="190"/>
      <c r="W43" s="190"/>
      <c r="X43" s="188"/>
      <c r="Y43" s="188"/>
      <c r="Z43" s="190"/>
      <c r="AA43" s="188"/>
      <c r="AB43" s="188"/>
      <c r="AC43" s="190"/>
      <c r="AD43" s="190"/>
      <c r="AE43" s="188"/>
    </row>
    <row r="44" ht="14.25" customHeight="1">
      <c r="A44" s="186" t="s">
        <v>379</v>
      </c>
      <c r="B44" s="187" t="s">
        <v>380</v>
      </c>
      <c r="C44" s="186" t="s">
        <v>381</v>
      </c>
      <c r="D44" s="188"/>
      <c r="E44" s="188"/>
      <c r="F44" s="189" t="s">
        <v>382</v>
      </c>
      <c r="G44" s="188"/>
      <c r="H44" s="188"/>
      <c r="I44" s="188"/>
      <c r="J44" s="188"/>
      <c r="K44" s="188"/>
      <c r="L44" s="188"/>
      <c r="M44" s="188"/>
      <c r="N44" s="188"/>
      <c r="O44" s="188"/>
      <c r="P44" s="188"/>
      <c r="Q44" s="188"/>
      <c r="R44" s="188"/>
      <c r="S44" s="188"/>
      <c r="T44" s="188"/>
      <c r="U44" s="190"/>
      <c r="V44" s="190"/>
      <c r="W44" s="190"/>
      <c r="X44" s="188"/>
      <c r="Y44" s="188"/>
      <c r="Z44" s="190"/>
      <c r="AA44" s="188"/>
      <c r="AB44" s="188"/>
      <c r="AC44" s="190"/>
      <c r="AD44" s="190"/>
      <c r="AE44" s="188"/>
    </row>
    <row r="45" ht="14.25" customHeight="1">
      <c r="A45" s="186" t="s">
        <v>383</v>
      </c>
      <c r="B45" s="187" t="s">
        <v>384</v>
      </c>
      <c r="C45" s="186" t="s">
        <v>385</v>
      </c>
      <c r="D45" s="188"/>
      <c r="E45" s="188"/>
      <c r="F45" s="189" t="s">
        <v>386</v>
      </c>
      <c r="G45" s="188"/>
      <c r="H45" s="188"/>
      <c r="I45" s="188"/>
      <c r="J45" s="188"/>
      <c r="K45" s="188"/>
      <c r="L45" s="188"/>
      <c r="M45" s="188"/>
      <c r="N45" s="188"/>
      <c r="O45" s="188"/>
      <c r="P45" s="188"/>
      <c r="Q45" s="188"/>
      <c r="R45" s="188"/>
      <c r="S45" s="188"/>
      <c r="T45" s="188"/>
      <c r="U45" s="190"/>
      <c r="V45" s="190"/>
      <c r="W45" s="190"/>
      <c r="X45" s="188"/>
      <c r="Y45" s="188"/>
      <c r="Z45" s="190"/>
      <c r="AA45" s="188"/>
      <c r="AB45" s="188"/>
      <c r="AC45" s="190"/>
      <c r="AD45" s="190"/>
      <c r="AE45" s="188"/>
    </row>
    <row r="46" ht="14.25" customHeight="1">
      <c r="A46" s="186" t="s">
        <v>387</v>
      </c>
      <c r="B46" s="187" t="s">
        <v>388</v>
      </c>
      <c r="C46" s="186" t="s">
        <v>389</v>
      </c>
      <c r="D46" s="188"/>
      <c r="E46" s="188"/>
      <c r="F46" s="189" t="s">
        <v>390</v>
      </c>
      <c r="G46" s="188"/>
      <c r="H46" s="188"/>
      <c r="I46" s="188"/>
      <c r="J46" s="188"/>
      <c r="K46" s="188"/>
      <c r="L46" s="188"/>
      <c r="M46" s="188"/>
      <c r="N46" s="188"/>
      <c r="O46" s="188"/>
      <c r="P46" s="188"/>
      <c r="Q46" s="188"/>
      <c r="R46" s="188"/>
      <c r="S46" s="188"/>
      <c r="T46" s="188"/>
      <c r="U46" s="190"/>
      <c r="V46" s="190"/>
      <c r="W46" s="190"/>
      <c r="X46" s="188"/>
      <c r="Y46" s="188"/>
      <c r="Z46" s="190"/>
      <c r="AA46" s="188"/>
      <c r="AB46" s="188"/>
      <c r="AC46" s="190"/>
      <c r="AD46" s="190"/>
      <c r="AE46" s="188"/>
    </row>
    <row r="47" ht="14.25" customHeight="1">
      <c r="A47" s="186" t="s">
        <v>391</v>
      </c>
      <c r="B47" s="187" t="s">
        <v>392</v>
      </c>
      <c r="C47" s="186" t="s">
        <v>393</v>
      </c>
      <c r="D47" s="188"/>
      <c r="E47" s="188"/>
      <c r="F47" s="189" t="s">
        <v>394</v>
      </c>
      <c r="G47" s="188"/>
      <c r="H47" s="188"/>
      <c r="I47" s="188"/>
      <c r="J47" s="188"/>
      <c r="K47" s="188"/>
      <c r="L47" s="188"/>
      <c r="M47" s="188"/>
      <c r="N47" s="188"/>
      <c r="O47" s="188"/>
      <c r="P47" s="188"/>
      <c r="Q47" s="188"/>
      <c r="R47" s="188"/>
      <c r="S47" s="188"/>
      <c r="T47" s="188"/>
      <c r="U47" s="190"/>
      <c r="V47" s="190"/>
      <c r="W47" s="190"/>
      <c r="X47" s="188"/>
      <c r="Y47" s="188"/>
      <c r="Z47" s="190"/>
      <c r="AA47" s="188"/>
      <c r="AB47" s="188"/>
      <c r="AC47" s="190"/>
      <c r="AD47" s="190"/>
      <c r="AE47" s="188"/>
    </row>
    <row r="48" ht="14.25" customHeight="1">
      <c r="A48" s="186" t="s">
        <v>395</v>
      </c>
      <c r="B48" s="187" t="s">
        <v>396</v>
      </c>
      <c r="C48" s="186" t="s">
        <v>397</v>
      </c>
      <c r="D48" s="188"/>
      <c r="E48" s="188"/>
      <c r="F48" s="189" t="s">
        <v>398</v>
      </c>
      <c r="G48" s="188"/>
      <c r="H48" s="188"/>
      <c r="I48" s="188"/>
      <c r="J48" s="188"/>
      <c r="K48" s="188"/>
      <c r="L48" s="188"/>
      <c r="M48" s="188"/>
      <c r="N48" s="188"/>
      <c r="O48" s="188"/>
      <c r="P48" s="188"/>
      <c r="Q48" s="188"/>
      <c r="R48" s="188"/>
      <c r="S48" s="188"/>
      <c r="T48" s="188"/>
      <c r="U48" s="190"/>
      <c r="V48" s="190"/>
      <c r="W48" s="190"/>
      <c r="X48" s="188"/>
      <c r="Y48" s="188"/>
      <c r="Z48" s="190"/>
      <c r="AA48" s="188"/>
      <c r="AB48" s="188"/>
      <c r="AC48" s="190"/>
      <c r="AD48" s="190"/>
      <c r="AE48" s="188"/>
    </row>
    <row r="49" ht="14.25" customHeight="1">
      <c r="A49" s="186" t="s">
        <v>399</v>
      </c>
      <c r="B49" s="187" t="s">
        <v>400</v>
      </c>
      <c r="C49" s="186" t="s">
        <v>401</v>
      </c>
      <c r="D49" s="188"/>
      <c r="E49" s="188"/>
      <c r="F49" s="189" t="s">
        <v>402</v>
      </c>
      <c r="G49" s="188"/>
      <c r="H49" s="188"/>
      <c r="I49" s="188"/>
      <c r="J49" s="188"/>
      <c r="K49" s="188"/>
      <c r="L49" s="188"/>
      <c r="M49" s="188"/>
      <c r="N49" s="188"/>
      <c r="O49" s="188"/>
      <c r="P49" s="188"/>
      <c r="Q49" s="188"/>
      <c r="R49" s="188"/>
      <c r="S49" s="188"/>
      <c r="T49" s="188"/>
      <c r="U49" s="190"/>
      <c r="V49" s="190"/>
      <c r="W49" s="190"/>
      <c r="X49" s="188"/>
      <c r="Y49" s="188"/>
      <c r="Z49" s="190"/>
      <c r="AA49" s="188"/>
      <c r="AB49" s="188"/>
      <c r="AC49" s="190"/>
      <c r="AD49" s="190"/>
      <c r="AE49" s="188"/>
    </row>
    <row r="50" ht="14.25" customHeight="1">
      <c r="A50" s="186" t="s">
        <v>403</v>
      </c>
      <c r="B50" s="187" t="s">
        <v>404</v>
      </c>
      <c r="C50" s="186" t="s">
        <v>405</v>
      </c>
      <c r="D50" s="188"/>
      <c r="E50" s="188"/>
      <c r="F50" s="189" t="s">
        <v>406</v>
      </c>
      <c r="G50" s="188"/>
      <c r="H50" s="188"/>
      <c r="I50" s="188"/>
      <c r="J50" s="188"/>
      <c r="K50" s="188"/>
      <c r="L50" s="188"/>
      <c r="M50" s="188"/>
      <c r="N50" s="188"/>
      <c r="O50" s="188"/>
      <c r="P50" s="188"/>
      <c r="Q50" s="188"/>
      <c r="R50" s="188"/>
      <c r="S50" s="188"/>
      <c r="T50" s="188"/>
      <c r="U50" s="190"/>
      <c r="V50" s="190"/>
      <c r="W50" s="190"/>
      <c r="X50" s="188"/>
      <c r="Y50" s="188"/>
      <c r="Z50" s="190"/>
      <c r="AA50" s="188"/>
      <c r="AB50" s="188"/>
      <c r="AC50" s="190"/>
      <c r="AD50" s="190"/>
      <c r="AE50" s="188"/>
    </row>
    <row r="51" ht="14.25" customHeight="1">
      <c r="A51" s="186" t="s">
        <v>407</v>
      </c>
      <c r="B51" s="187" t="s">
        <v>408</v>
      </c>
      <c r="C51" s="186" t="s">
        <v>409</v>
      </c>
      <c r="D51" s="188"/>
      <c r="E51" s="188"/>
      <c r="F51" s="189" t="s">
        <v>410</v>
      </c>
      <c r="G51" s="188"/>
      <c r="H51" s="188"/>
      <c r="I51" s="188"/>
      <c r="J51" s="188"/>
      <c r="K51" s="188"/>
      <c r="L51" s="188"/>
      <c r="M51" s="188"/>
      <c r="N51" s="188"/>
      <c r="O51" s="188"/>
      <c r="P51" s="188"/>
      <c r="Q51" s="188"/>
      <c r="R51" s="188"/>
      <c r="S51" s="188"/>
      <c r="T51" s="188"/>
      <c r="U51" s="190"/>
      <c r="V51" s="190"/>
      <c r="W51" s="190"/>
      <c r="X51" s="188"/>
      <c r="Y51" s="188"/>
      <c r="Z51" s="190"/>
      <c r="AA51" s="188"/>
      <c r="AB51" s="188"/>
      <c r="AC51" s="190"/>
      <c r="AD51" s="190"/>
      <c r="AE51" s="188"/>
    </row>
    <row r="52" ht="14.25" customHeight="1">
      <c r="A52" s="186" t="s">
        <v>411</v>
      </c>
      <c r="B52" s="187" t="s">
        <v>412</v>
      </c>
      <c r="C52" s="186" t="s">
        <v>413</v>
      </c>
      <c r="D52" s="188"/>
      <c r="E52" s="188"/>
      <c r="F52" s="189" t="s">
        <v>414</v>
      </c>
      <c r="G52" s="188"/>
      <c r="H52" s="188"/>
      <c r="I52" s="188"/>
      <c r="J52" s="188"/>
      <c r="K52" s="188"/>
      <c r="L52" s="188"/>
      <c r="M52" s="188"/>
      <c r="N52" s="188"/>
      <c r="O52" s="188"/>
      <c r="P52" s="188"/>
      <c r="Q52" s="188"/>
      <c r="R52" s="188"/>
      <c r="S52" s="188"/>
      <c r="T52" s="188"/>
      <c r="U52" s="190"/>
      <c r="V52" s="190"/>
      <c r="W52" s="190"/>
      <c r="X52" s="188"/>
      <c r="Y52" s="188"/>
      <c r="Z52" s="190"/>
      <c r="AA52" s="188"/>
      <c r="AB52" s="188"/>
      <c r="AC52" s="190"/>
      <c r="AD52" s="190"/>
      <c r="AE52" s="188"/>
    </row>
    <row r="53" ht="14.25" customHeight="1">
      <c r="A53" s="186" t="s">
        <v>415</v>
      </c>
      <c r="B53" s="187" t="s">
        <v>416</v>
      </c>
      <c r="C53" s="186" t="s">
        <v>417</v>
      </c>
      <c r="D53" s="188"/>
      <c r="E53" s="188"/>
      <c r="F53" s="189" t="s">
        <v>418</v>
      </c>
      <c r="G53" s="188"/>
      <c r="H53" s="188"/>
      <c r="I53" s="188"/>
      <c r="J53" s="188"/>
      <c r="K53" s="188"/>
      <c r="L53" s="188"/>
      <c r="M53" s="188"/>
      <c r="N53" s="188"/>
      <c r="O53" s="188"/>
      <c r="P53" s="188"/>
      <c r="Q53" s="188"/>
      <c r="R53" s="188"/>
      <c r="S53" s="188"/>
      <c r="T53" s="188"/>
      <c r="U53" s="190"/>
      <c r="V53" s="190"/>
      <c r="W53" s="190"/>
      <c r="X53" s="188"/>
      <c r="Y53" s="188"/>
      <c r="Z53" s="190"/>
      <c r="AA53" s="188"/>
      <c r="AB53" s="188"/>
      <c r="AC53" s="190"/>
      <c r="AD53" s="190"/>
      <c r="AE53" s="188"/>
    </row>
    <row r="54" ht="14.25" customHeight="1">
      <c r="A54" s="186" t="s">
        <v>419</v>
      </c>
      <c r="B54" s="187" t="s">
        <v>420</v>
      </c>
      <c r="C54" s="186" t="s">
        <v>144</v>
      </c>
      <c r="D54" s="188"/>
      <c r="E54" s="188"/>
      <c r="F54" s="189" t="s">
        <v>145</v>
      </c>
      <c r="G54" s="188"/>
      <c r="H54" s="188"/>
      <c r="I54" s="188"/>
      <c r="J54" s="188"/>
      <c r="K54" s="188"/>
      <c r="L54" s="188"/>
      <c r="M54" s="188"/>
      <c r="N54" s="188"/>
      <c r="O54" s="188"/>
      <c r="P54" s="188"/>
      <c r="Q54" s="188"/>
      <c r="R54" s="188"/>
      <c r="S54" s="188"/>
      <c r="T54" s="188"/>
      <c r="U54" s="190"/>
      <c r="V54" s="190"/>
      <c r="W54" s="190"/>
      <c r="X54" s="188"/>
      <c r="Y54" s="188"/>
      <c r="Z54" s="190"/>
      <c r="AA54" s="188"/>
      <c r="AB54" s="188"/>
      <c r="AC54" s="190"/>
      <c r="AD54" s="190"/>
      <c r="AE54" s="188"/>
    </row>
    <row r="55" ht="14.25" customHeight="1">
      <c r="A55" s="186" t="s">
        <v>421</v>
      </c>
      <c r="B55" s="187" t="s">
        <v>422</v>
      </c>
      <c r="C55" s="186" t="s">
        <v>423</v>
      </c>
      <c r="D55" s="188"/>
      <c r="E55" s="188"/>
      <c r="F55" s="189" t="s">
        <v>424</v>
      </c>
      <c r="G55" s="188"/>
      <c r="H55" s="188"/>
      <c r="I55" s="188"/>
      <c r="J55" s="188"/>
      <c r="K55" s="188"/>
      <c r="L55" s="188"/>
      <c r="M55" s="188"/>
      <c r="N55" s="188"/>
      <c r="O55" s="188"/>
      <c r="P55" s="188"/>
      <c r="Q55" s="188"/>
      <c r="R55" s="188"/>
      <c r="S55" s="188"/>
      <c r="T55" s="188"/>
      <c r="U55" s="190"/>
      <c r="V55" s="190"/>
      <c r="W55" s="190"/>
      <c r="X55" s="188"/>
      <c r="Y55" s="188"/>
      <c r="Z55" s="190"/>
      <c r="AA55" s="188"/>
      <c r="AB55" s="188"/>
      <c r="AC55" s="190"/>
      <c r="AD55" s="190"/>
      <c r="AE55" s="188"/>
    </row>
    <row r="56" ht="14.25" customHeight="1">
      <c r="A56" s="186" t="s">
        <v>425</v>
      </c>
      <c r="B56" s="187" t="s">
        <v>426</v>
      </c>
      <c r="C56" s="186" t="s">
        <v>427</v>
      </c>
      <c r="D56" s="188"/>
      <c r="E56" s="188"/>
      <c r="F56" s="189" t="s">
        <v>428</v>
      </c>
      <c r="G56" s="188"/>
      <c r="H56" s="188"/>
      <c r="I56" s="188"/>
      <c r="J56" s="188"/>
      <c r="K56" s="188"/>
      <c r="L56" s="188"/>
      <c r="M56" s="188"/>
      <c r="N56" s="188"/>
      <c r="O56" s="188"/>
      <c r="P56" s="188"/>
      <c r="Q56" s="188"/>
      <c r="R56" s="188"/>
      <c r="S56" s="188"/>
      <c r="T56" s="188"/>
      <c r="U56" s="190"/>
      <c r="V56" s="190"/>
      <c r="W56" s="190"/>
      <c r="X56" s="188"/>
      <c r="Y56" s="188"/>
      <c r="Z56" s="190"/>
      <c r="AA56" s="188"/>
      <c r="AB56" s="188"/>
      <c r="AC56" s="190"/>
      <c r="AD56" s="190"/>
      <c r="AE56" s="188"/>
    </row>
    <row r="57" ht="14.25" customHeight="1">
      <c r="A57" s="186" t="s">
        <v>429</v>
      </c>
      <c r="B57" s="187" t="s">
        <v>430</v>
      </c>
      <c r="C57" s="186" t="s">
        <v>431</v>
      </c>
      <c r="D57" s="188"/>
      <c r="E57" s="188"/>
      <c r="F57" s="189" t="s">
        <v>432</v>
      </c>
      <c r="G57" s="188"/>
      <c r="H57" s="188"/>
      <c r="I57" s="188"/>
      <c r="J57" s="188"/>
      <c r="K57" s="188"/>
      <c r="L57" s="188"/>
      <c r="M57" s="188"/>
      <c r="N57" s="188"/>
      <c r="O57" s="188"/>
      <c r="P57" s="188"/>
      <c r="Q57" s="188"/>
      <c r="R57" s="188"/>
      <c r="S57" s="188"/>
      <c r="T57" s="188"/>
      <c r="U57" s="190"/>
      <c r="V57" s="190"/>
      <c r="W57" s="190"/>
      <c r="X57" s="188"/>
      <c r="Y57" s="188"/>
      <c r="Z57" s="190"/>
      <c r="AA57" s="188"/>
      <c r="AB57" s="188"/>
      <c r="AC57" s="190"/>
      <c r="AD57" s="190"/>
      <c r="AE57" s="188"/>
    </row>
    <row r="58" ht="14.25" customHeight="1">
      <c r="A58" s="186" t="s">
        <v>433</v>
      </c>
      <c r="B58" s="187" t="s">
        <v>434</v>
      </c>
      <c r="C58" s="186" t="s">
        <v>435</v>
      </c>
      <c r="D58" s="188"/>
      <c r="E58" s="188"/>
      <c r="F58" s="189" t="s">
        <v>436</v>
      </c>
      <c r="G58" s="188"/>
      <c r="H58" s="188"/>
      <c r="I58" s="188"/>
      <c r="J58" s="188"/>
      <c r="K58" s="188"/>
      <c r="L58" s="188"/>
      <c r="M58" s="188"/>
      <c r="N58" s="188"/>
      <c r="O58" s="188"/>
      <c r="P58" s="188"/>
      <c r="Q58" s="188"/>
      <c r="R58" s="188"/>
      <c r="S58" s="188"/>
      <c r="T58" s="188"/>
      <c r="U58" s="190"/>
      <c r="V58" s="190"/>
      <c r="W58" s="190"/>
      <c r="X58" s="188"/>
      <c r="Y58" s="188"/>
      <c r="Z58" s="190"/>
      <c r="AA58" s="188"/>
      <c r="AB58" s="188"/>
      <c r="AC58" s="190"/>
      <c r="AD58" s="190"/>
      <c r="AE58" s="188"/>
    </row>
    <row r="59" ht="14.25" customHeight="1">
      <c r="A59" s="186" t="s">
        <v>437</v>
      </c>
      <c r="B59" s="187" t="s">
        <v>438</v>
      </c>
      <c r="C59" s="186" t="s">
        <v>439</v>
      </c>
      <c r="D59" s="188"/>
      <c r="E59" s="188"/>
      <c r="F59" s="189" t="s">
        <v>440</v>
      </c>
      <c r="G59" s="188"/>
      <c r="H59" s="188"/>
      <c r="I59" s="188"/>
      <c r="J59" s="188"/>
      <c r="K59" s="188"/>
      <c r="L59" s="188"/>
      <c r="M59" s="188"/>
      <c r="N59" s="188"/>
      <c r="O59" s="188"/>
      <c r="P59" s="188"/>
      <c r="Q59" s="188"/>
      <c r="R59" s="188"/>
      <c r="S59" s="188"/>
      <c r="T59" s="188"/>
      <c r="U59" s="190"/>
      <c r="V59" s="190"/>
      <c r="W59" s="190"/>
      <c r="X59" s="188"/>
      <c r="Y59" s="188"/>
      <c r="Z59" s="190"/>
      <c r="AA59" s="188"/>
      <c r="AB59" s="188"/>
      <c r="AC59" s="190"/>
      <c r="AD59" s="190"/>
      <c r="AE59" s="188"/>
    </row>
    <row r="60" ht="14.25" customHeight="1">
      <c r="A60" s="186" t="s">
        <v>441</v>
      </c>
      <c r="B60" s="187" t="s">
        <v>442</v>
      </c>
      <c r="C60" s="186" t="s">
        <v>443</v>
      </c>
      <c r="D60" s="188"/>
      <c r="E60" s="188"/>
      <c r="F60" s="189" t="s">
        <v>444</v>
      </c>
      <c r="G60" s="188"/>
      <c r="H60" s="188"/>
      <c r="I60" s="188"/>
      <c r="J60" s="188"/>
      <c r="K60" s="188"/>
      <c r="L60" s="188"/>
      <c r="M60" s="188"/>
      <c r="N60" s="188"/>
      <c r="O60" s="188"/>
      <c r="P60" s="188"/>
      <c r="Q60" s="188"/>
      <c r="R60" s="188"/>
      <c r="S60" s="188"/>
      <c r="T60" s="188"/>
      <c r="U60" s="190"/>
      <c r="V60" s="190"/>
      <c r="W60" s="190"/>
      <c r="X60" s="188"/>
      <c r="Y60" s="188"/>
      <c r="Z60" s="190"/>
      <c r="AA60" s="188"/>
      <c r="AB60" s="188"/>
      <c r="AC60" s="190"/>
      <c r="AD60" s="190"/>
      <c r="AE60" s="188"/>
    </row>
    <row r="61" ht="14.25" customHeight="1">
      <c r="A61" s="186" t="s">
        <v>445</v>
      </c>
      <c r="B61" s="187" t="s">
        <v>446</v>
      </c>
      <c r="C61" s="186" t="s">
        <v>447</v>
      </c>
      <c r="D61" s="188"/>
      <c r="E61" s="188"/>
      <c r="F61" s="189" t="s">
        <v>448</v>
      </c>
      <c r="G61" s="188"/>
      <c r="H61" s="188"/>
      <c r="I61" s="188"/>
      <c r="J61" s="188"/>
      <c r="K61" s="188"/>
      <c r="L61" s="188"/>
      <c r="M61" s="188"/>
      <c r="N61" s="188"/>
      <c r="O61" s="188"/>
      <c r="P61" s="188"/>
      <c r="Q61" s="188"/>
      <c r="R61" s="188"/>
      <c r="S61" s="188"/>
      <c r="T61" s="188"/>
      <c r="U61" s="190"/>
      <c r="V61" s="190"/>
      <c r="W61" s="190"/>
      <c r="X61" s="188"/>
      <c r="Y61" s="188"/>
      <c r="Z61" s="190"/>
      <c r="AA61" s="188"/>
      <c r="AB61" s="188"/>
      <c r="AC61" s="190"/>
      <c r="AD61" s="190"/>
      <c r="AE61" s="188"/>
    </row>
    <row r="62" ht="14.25" customHeight="1">
      <c r="A62" s="186" t="s">
        <v>449</v>
      </c>
      <c r="B62" s="187" t="s">
        <v>450</v>
      </c>
      <c r="C62" s="186" t="s">
        <v>451</v>
      </c>
      <c r="D62" s="188"/>
      <c r="E62" s="188"/>
      <c r="F62" s="189" t="s">
        <v>452</v>
      </c>
      <c r="G62" s="188"/>
      <c r="H62" s="188"/>
      <c r="I62" s="188"/>
      <c r="J62" s="188"/>
      <c r="K62" s="188"/>
      <c r="L62" s="188"/>
      <c r="M62" s="188"/>
      <c r="N62" s="188"/>
      <c r="O62" s="188"/>
      <c r="P62" s="188"/>
      <c r="Q62" s="188"/>
      <c r="R62" s="188"/>
      <c r="S62" s="188"/>
      <c r="T62" s="188"/>
      <c r="U62" s="190"/>
      <c r="V62" s="190"/>
      <c r="W62" s="190"/>
      <c r="X62" s="188"/>
      <c r="Y62" s="188"/>
      <c r="Z62" s="190"/>
      <c r="AA62" s="188"/>
      <c r="AB62" s="188"/>
      <c r="AC62" s="190"/>
      <c r="AD62" s="190"/>
      <c r="AE62" s="188"/>
    </row>
    <row r="63" ht="14.25" customHeight="1">
      <c r="A63" s="186" t="s">
        <v>453</v>
      </c>
      <c r="B63" s="187" t="s">
        <v>454</v>
      </c>
      <c r="C63" s="186" t="s">
        <v>455</v>
      </c>
      <c r="D63" s="188"/>
      <c r="E63" s="188"/>
      <c r="F63" s="189" t="s">
        <v>456</v>
      </c>
      <c r="G63" s="188"/>
      <c r="H63" s="188"/>
      <c r="I63" s="188"/>
      <c r="J63" s="188"/>
      <c r="K63" s="188"/>
      <c r="L63" s="188"/>
      <c r="M63" s="188"/>
      <c r="N63" s="188"/>
      <c r="O63" s="188"/>
      <c r="P63" s="188"/>
      <c r="Q63" s="188"/>
      <c r="R63" s="188"/>
      <c r="S63" s="188"/>
      <c r="T63" s="188"/>
      <c r="U63" s="190"/>
      <c r="V63" s="190"/>
      <c r="W63" s="190"/>
      <c r="X63" s="188"/>
      <c r="Y63" s="188"/>
      <c r="Z63" s="190"/>
      <c r="AA63" s="188"/>
      <c r="AB63" s="188"/>
      <c r="AC63" s="190"/>
      <c r="AD63" s="190"/>
      <c r="AE63" s="188"/>
    </row>
    <row r="64" ht="14.25" customHeight="1">
      <c r="A64" s="186" t="s">
        <v>457</v>
      </c>
      <c r="B64" s="187" t="s">
        <v>458</v>
      </c>
      <c r="C64" s="186" t="s">
        <v>459</v>
      </c>
      <c r="D64" s="188"/>
      <c r="E64" s="188"/>
      <c r="F64" s="189" t="s">
        <v>460</v>
      </c>
      <c r="G64" s="188"/>
      <c r="H64" s="188"/>
      <c r="I64" s="188"/>
      <c r="J64" s="188"/>
      <c r="K64" s="188"/>
      <c r="L64" s="188"/>
      <c r="M64" s="188"/>
      <c r="N64" s="188"/>
      <c r="O64" s="188"/>
      <c r="P64" s="188"/>
      <c r="Q64" s="188"/>
      <c r="R64" s="188"/>
      <c r="S64" s="188"/>
      <c r="T64" s="188"/>
      <c r="U64" s="190"/>
      <c r="V64" s="190"/>
      <c r="W64" s="190"/>
      <c r="X64" s="188"/>
      <c r="Y64" s="188"/>
      <c r="Z64" s="190"/>
      <c r="AA64" s="188"/>
      <c r="AB64" s="188"/>
      <c r="AC64" s="190"/>
      <c r="AD64" s="190"/>
      <c r="AE64" s="188"/>
    </row>
    <row r="65" ht="14.25" customHeight="1">
      <c r="A65" s="186" t="s">
        <v>461</v>
      </c>
      <c r="B65" s="187" t="s">
        <v>462</v>
      </c>
      <c r="C65" s="186" t="s">
        <v>463</v>
      </c>
      <c r="D65" s="188"/>
      <c r="E65" s="188"/>
      <c r="F65" s="189" t="s">
        <v>464</v>
      </c>
      <c r="G65" s="188"/>
      <c r="H65" s="188"/>
      <c r="I65" s="188"/>
      <c r="J65" s="188"/>
      <c r="K65" s="188"/>
      <c r="L65" s="188"/>
      <c r="M65" s="188"/>
      <c r="N65" s="188"/>
      <c r="O65" s="188"/>
      <c r="P65" s="188"/>
      <c r="Q65" s="188"/>
      <c r="R65" s="188"/>
      <c r="S65" s="188"/>
      <c r="T65" s="188"/>
      <c r="U65" s="190"/>
      <c r="V65" s="190"/>
      <c r="W65" s="190"/>
      <c r="X65" s="188"/>
      <c r="Y65" s="188"/>
      <c r="Z65" s="190"/>
      <c r="AA65" s="188"/>
      <c r="AB65" s="188"/>
      <c r="AC65" s="190"/>
      <c r="AD65" s="190"/>
      <c r="AE65" s="188"/>
    </row>
    <row r="66" ht="14.25" customHeight="1">
      <c r="A66" s="186" t="s">
        <v>465</v>
      </c>
      <c r="B66" s="187" t="s">
        <v>466</v>
      </c>
      <c r="C66" s="186" t="s">
        <v>467</v>
      </c>
      <c r="D66" s="188"/>
      <c r="E66" s="188"/>
      <c r="F66" s="189" t="s">
        <v>468</v>
      </c>
      <c r="G66" s="188"/>
      <c r="H66" s="188"/>
      <c r="I66" s="188"/>
      <c r="J66" s="188"/>
      <c r="K66" s="188"/>
      <c r="L66" s="188"/>
      <c r="M66" s="188"/>
      <c r="N66" s="188"/>
      <c r="O66" s="188"/>
      <c r="P66" s="188"/>
      <c r="Q66" s="188"/>
      <c r="R66" s="188"/>
      <c r="S66" s="188"/>
      <c r="T66" s="188"/>
      <c r="U66" s="190"/>
      <c r="V66" s="190"/>
      <c r="W66" s="190"/>
      <c r="X66" s="188"/>
      <c r="Y66" s="188"/>
      <c r="Z66" s="190"/>
      <c r="AA66" s="188"/>
      <c r="AB66" s="188"/>
      <c r="AC66" s="190"/>
      <c r="AD66" s="190"/>
      <c r="AE66" s="188"/>
    </row>
    <row r="67" ht="14.25" customHeight="1">
      <c r="A67" s="186" t="s">
        <v>469</v>
      </c>
      <c r="B67" s="187" t="s">
        <v>470</v>
      </c>
      <c r="C67" s="186" t="s">
        <v>471</v>
      </c>
      <c r="D67" s="188"/>
      <c r="E67" s="188"/>
      <c r="F67" s="189" t="s">
        <v>472</v>
      </c>
      <c r="G67" s="188"/>
      <c r="H67" s="188"/>
      <c r="I67" s="188"/>
      <c r="J67" s="188"/>
      <c r="K67" s="188"/>
      <c r="L67" s="188"/>
      <c r="M67" s="188"/>
      <c r="N67" s="188"/>
      <c r="O67" s="188"/>
      <c r="P67" s="188"/>
      <c r="Q67" s="188"/>
      <c r="R67" s="188"/>
      <c r="S67" s="188"/>
      <c r="T67" s="188"/>
      <c r="U67" s="190"/>
      <c r="V67" s="190"/>
      <c r="W67" s="190"/>
      <c r="X67" s="188"/>
      <c r="Y67" s="188"/>
      <c r="Z67" s="190"/>
      <c r="AA67" s="188"/>
      <c r="AB67" s="188"/>
      <c r="AC67" s="190"/>
      <c r="AD67" s="190"/>
      <c r="AE67" s="188"/>
    </row>
    <row r="68" ht="14.25" customHeight="1">
      <c r="A68" s="186" t="s">
        <v>473</v>
      </c>
      <c r="B68" s="187" t="s">
        <v>474</v>
      </c>
      <c r="C68" s="186" t="s">
        <v>475</v>
      </c>
      <c r="D68" s="188"/>
      <c r="E68" s="188"/>
      <c r="F68" s="189" t="s">
        <v>476</v>
      </c>
      <c r="G68" s="188"/>
      <c r="H68" s="188"/>
      <c r="I68" s="188"/>
      <c r="J68" s="188"/>
      <c r="K68" s="188"/>
      <c r="L68" s="188"/>
      <c r="M68" s="188"/>
      <c r="N68" s="188"/>
      <c r="O68" s="188"/>
      <c r="P68" s="188"/>
      <c r="Q68" s="188"/>
      <c r="R68" s="188"/>
      <c r="S68" s="188"/>
      <c r="T68" s="188"/>
      <c r="U68" s="190"/>
      <c r="V68" s="190"/>
      <c r="W68" s="190"/>
      <c r="X68" s="188"/>
      <c r="Y68" s="188"/>
      <c r="Z68" s="190"/>
      <c r="AA68" s="188"/>
      <c r="AB68" s="188"/>
      <c r="AC68" s="190"/>
      <c r="AD68" s="190"/>
      <c r="AE68" s="188"/>
    </row>
    <row r="69" ht="14.25" customHeight="1">
      <c r="A69" s="186" t="s">
        <v>477</v>
      </c>
      <c r="B69" s="187" t="s">
        <v>478</v>
      </c>
      <c r="C69" s="186" t="s">
        <v>479</v>
      </c>
      <c r="D69" s="188"/>
      <c r="E69" s="188"/>
      <c r="F69" s="189" t="s">
        <v>480</v>
      </c>
      <c r="G69" s="188"/>
      <c r="H69" s="188"/>
      <c r="I69" s="188"/>
      <c r="J69" s="188"/>
      <c r="K69" s="188"/>
      <c r="L69" s="188"/>
      <c r="M69" s="188"/>
      <c r="N69" s="188"/>
      <c r="O69" s="188"/>
      <c r="P69" s="188"/>
      <c r="Q69" s="188"/>
      <c r="R69" s="188"/>
      <c r="S69" s="188"/>
      <c r="T69" s="188"/>
      <c r="U69" s="190"/>
      <c r="V69" s="190"/>
      <c r="W69" s="190"/>
      <c r="X69" s="188"/>
      <c r="Y69" s="188"/>
      <c r="Z69" s="190"/>
      <c r="AA69" s="188"/>
      <c r="AB69" s="188"/>
      <c r="AC69" s="190"/>
      <c r="AD69" s="190"/>
      <c r="AE69" s="188"/>
    </row>
    <row r="70" ht="14.25" customHeight="1">
      <c r="A70" s="186" t="s">
        <v>481</v>
      </c>
      <c r="B70" s="187" t="s">
        <v>482</v>
      </c>
      <c r="C70" s="186" t="s">
        <v>483</v>
      </c>
      <c r="D70" s="188"/>
      <c r="E70" s="188"/>
      <c r="F70" s="189" t="s">
        <v>484</v>
      </c>
      <c r="G70" s="188"/>
      <c r="H70" s="188"/>
      <c r="I70" s="188"/>
      <c r="J70" s="188"/>
      <c r="K70" s="188"/>
      <c r="L70" s="188"/>
      <c r="M70" s="188"/>
      <c r="N70" s="188"/>
      <c r="O70" s="188"/>
      <c r="P70" s="188"/>
      <c r="Q70" s="188"/>
      <c r="R70" s="188"/>
      <c r="S70" s="188"/>
      <c r="T70" s="188"/>
      <c r="U70" s="190"/>
      <c r="V70" s="190"/>
      <c r="W70" s="190"/>
      <c r="X70" s="188"/>
      <c r="Y70" s="188"/>
      <c r="Z70" s="190"/>
      <c r="AA70" s="188"/>
      <c r="AB70" s="188"/>
      <c r="AC70" s="190"/>
      <c r="AD70" s="190"/>
      <c r="AE70" s="188"/>
    </row>
    <row r="71" ht="14.25" customHeight="1">
      <c r="A71" s="186" t="s">
        <v>485</v>
      </c>
      <c r="B71" s="187" t="s">
        <v>486</v>
      </c>
      <c r="C71" s="186" t="s">
        <v>487</v>
      </c>
      <c r="D71" s="188"/>
      <c r="E71" s="188"/>
      <c r="F71" s="189" t="s">
        <v>488</v>
      </c>
      <c r="G71" s="188"/>
      <c r="H71" s="188"/>
      <c r="I71" s="188"/>
      <c r="J71" s="188"/>
      <c r="K71" s="188"/>
      <c r="L71" s="188"/>
      <c r="M71" s="188"/>
      <c r="N71" s="188"/>
      <c r="O71" s="188"/>
      <c r="P71" s="188"/>
      <c r="Q71" s="188"/>
      <c r="R71" s="188"/>
      <c r="S71" s="188"/>
      <c r="T71" s="188"/>
      <c r="U71" s="190"/>
      <c r="V71" s="190"/>
      <c r="W71" s="190"/>
      <c r="X71" s="188"/>
      <c r="Y71" s="188"/>
      <c r="Z71" s="190"/>
      <c r="AA71" s="188"/>
      <c r="AB71" s="188"/>
      <c r="AC71" s="190"/>
      <c r="AD71" s="190"/>
      <c r="AE71" s="188"/>
    </row>
    <row r="72" ht="14.25" customHeight="1">
      <c r="A72" s="186" t="s">
        <v>489</v>
      </c>
      <c r="B72" s="187" t="s">
        <v>490</v>
      </c>
      <c r="C72" s="186" t="s">
        <v>491</v>
      </c>
      <c r="D72" s="188"/>
      <c r="E72" s="188"/>
      <c r="F72" s="189" t="s">
        <v>492</v>
      </c>
      <c r="G72" s="188"/>
      <c r="H72" s="188"/>
      <c r="I72" s="188"/>
      <c r="J72" s="188"/>
      <c r="K72" s="188"/>
      <c r="L72" s="188"/>
      <c r="M72" s="188"/>
      <c r="N72" s="188"/>
      <c r="O72" s="188"/>
      <c r="P72" s="188"/>
      <c r="Q72" s="188"/>
      <c r="R72" s="188"/>
      <c r="S72" s="188"/>
      <c r="T72" s="188"/>
      <c r="U72" s="190"/>
      <c r="V72" s="190"/>
      <c r="W72" s="190"/>
      <c r="X72" s="188"/>
      <c r="Y72" s="188"/>
      <c r="Z72" s="190"/>
      <c r="AA72" s="188"/>
      <c r="AB72" s="188"/>
      <c r="AC72" s="190"/>
      <c r="AD72" s="190"/>
      <c r="AE72" s="188"/>
    </row>
    <row r="73" ht="14.25" customHeight="1">
      <c r="A73" s="186" t="s">
        <v>493</v>
      </c>
      <c r="B73" s="187" t="s">
        <v>494</v>
      </c>
      <c r="C73" s="186" t="s">
        <v>495</v>
      </c>
      <c r="D73" s="188"/>
      <c r="E73" s="188"/>
      <c r="F73" s="189" t="s">
        <v>496</v>
      </c>
      <c r="G73" s="188"/>
      <c r="H73" s="188"/>
      <c r="I73" s="188"/>
      <c r="J73" s="188"/>
      <c r="K73" s="188"/>
      <c r="L73" s="188"/>
      <c r="M73" s="188"/>
      <c r="N73" s="188"/>
      <c r="O73" s="188"/>
      <c r="P73" s="188"/>
      <c r="Q73" s="188"/>
      <c r="R73" s="188"/>
      <c r="S73" s="188"/>
      <c r="T73" s="188"/>
      <c r="U73" s="190"/>
      <c r="V73" s="190"/>
      <c r="W73" s="190"/>
      <c r="X73" s="188"/>
      <c r="Y73" s="188"/>
      <c r="Z73" s="190"/>
      <c r="AA73" s="188"/>
      <c r="AB73" s="188"/>
      <c r="AC73" s="190"/>
      <c r="AD73" s="190"/>
      <c r="AE73" s="188"/>
    </row>
    <row r="74" ht="14.25" customHeight="1">
      <c r="A74" s="186" t="s">
        <v>497</v>
      </c>
      <c r="B74" s="187" t="s">
        <v>498</v>
      </c>
      <c r="C74" s="186" t="s">
        <v>499</v>
      </c>
      <c r="D74" s="188"/>
      <c r="E74" s="188"/>
      <c r="F74" s="189" t="s">
        <v>500</v>
      </c>
      <c r="G74" s="188"/>
      <c r="H74" s="188"/>
      <c r="I74" s="188"/>
      <c r="J74" s="188"/>
      <c r="K74" s="188"/>
      <c r="L74" s="188"/>
      <c r="M74" s="188"/>
      <c r="N74" s="188"/>
      <c r="O74" s="188"/>
      <c r="P74" s="188"/>
      <c r="Q74" s="188"/>
      <c r="R74" s="188"/>
      <c r="S74" s="188"/>
      <c r="T74" s="188"/>
      <c r="U74" s="190"/>
      <c r="V74" s="190"/>
      <c r="W74" s="190"/>
      <c r="X74" s="188"/>
      <c r="Y74" s="188"/>
      <c r="Z74" s="190"/>
      <c r="AA74" s="188"/>
      <c r="AB74" s="188"/>
      <c r="AC74" s="190"/>
      <c r="AD74" s="190"/>
      <c r="AE74" s="188"/>
    </row>
    <row r="75" ht="14.25" customHeight="1">
      <c r="A75" s="186" t="s">
        <v>501</v>
      </c>
      <c r="B75" s="187" t="s">
        <v>502</v>
      </c>
      <c r="C75" s="186" t="s">
        <v>503</v>
      </c>
      <c r="D75" s="188"/>
      <c r="E75" s="188"/>
      <c r="F75" s="189" t="s">
        <v>504</v>
      </c>
      <c r="G75" s="188"/>
      <c r="H75" s="188"/>
      <c r="I75" s="188"/>
      <c r="J75" s="188"/>
      <c r="K75" s="188"/>
      <c r="L75" s="188"/>
      <c r="M75" s="188"/>
      <c r="N75" s="188"/>
      <c r="O75" s="188"/>
      <c r="P75" s="188"/>
      <c r="Q75" s="188"/>
      <c r="R75" s="188"/>
      <c r="S75" s="188"/>
      <c r="T75" s="188"/>
      <c r="U75" s="190"/>
      <c r="V75" s="190"/>
      <c r="W75" s="190"/>
      <c r="X75" s="188"/>
      <c r="Y75" s="188"/>
      <c r="Z75" s="190"/>
      <c r="AA75" s="188"/>
      <c r="AB75" s="188"/>
      <c r="AC75" s="190"/>
      <c r="AD75" s="190"/>
      <c r="AE75" s="188"/>
    </row>
    <row r="76" ht="14.25" customHeight="1">
      <c r="A76" s="186" t="s">
        <v>505</v>
      </c>
      <c r="B76" s="187" t="s">
        <v>506</v>
      </c>
      <c r="C76" s="186" t="s">
        <v>507</v>
      </c>
      <c r="D76" s="188"/>
      <c r="E76" s="188"/>
      <c r="F76" s="189" t="s">
        <v>508</v>
      </c>
      <c r="G76" s="188"/>
      <c r="H76" s="188"/>
      <c r="I76" s="188"/>
      <c r="J76" s="188"/>
      <c r="K76" s="188"/>
      <c r="L76" s="188"/>
      <c r="M76" s="188"/>
      <c r="N76" s="188"/>
      <c r="O76" s="188"/>
      <c r="P76" s="188"/>
      <c r="Q76" s="188"/>
      <c r="R76" s="188"/>
      <c r="S76" s="188"/>
      <c r="T76" s="188"/>
      <c r="U76" s="190"/>
      <c r="V76" s="190"/>
      <c r="W76" s="190"/>
      <c r="X76" s="188"/>
      <c r="Y76" s="188"/>
      <c r="Z76" s="190"/>
      <c r="AA76" s="188"/>
      <c r="AB76" s="188"/>
      <c r="AC76" s="190"/>
      <c r="AD76" s="190"/>
      <c r="AE76" s="188"/>
    </row>
    <row r="77" ht="14.25" customHeight="1">
      <c r="A77" s="186" t="s">
        <v>509</v>
      </c>
      <c r="B77" s="187" t="s">
        <v>510</v>
      </c>
      <c r="C77" s="186" t="s">
        <v>511</v>
      </c>
      <c r="D77" s="188"/>
      <c r="E77" s="188"/>
      <c r="F77" s="189" t="s">
        <v>512</v>
      </c>
      <c r="G77" s="188"/>
      <c r="H77" s="188"/>
      <c r="I77" s="188"/>
      <c r="J77" s="188"/>
      <c r="K77" s="188"/>
      <c r="L77" s="188"/>
      <c r="M77" s="188"/>
      <c r="N77" s="188"/>
      <c r="O77" s="188"/>
      <c r="P77" s="188"/>
      <c r="Q77" s="188"/>
      <c r="R77" s="188"/>
      <c r="S77" s="188"/>
      <c r="T77" s="188"/>
      <c r="U77" s="190"/>
      <c r="V77" s="190"/>
      <c r="W77" s="190"/>
      <c r="X77" s="188"/>
      <c r="Y77" s="188"/>
      <c r="Z77" s="190"/>
      <c r="AA77" s="188"/>
      <c r="AB77" s="188"/>
      <c r="AC77" s="190"/>
      <c r="AD77" s="190"/>
      <c r="AE77" s="188"/>
    </row>
    <row r="78" ht="14.25" customHeight="1">
      <c r="A78" s="186" t="s">
        <v>513</v>
      </c>
      <c r="B78" s="187" t="s">
        <v>514</v>
      </c>
      <c r="C78" s="186" t="s">
        <v>515</v>
      </c>
      <c r="D78" s="188"/>
      <c r="E78" s="188"/>
      <c r="F78" s="189" t="s">
        <v>516</v>
      </c>
      <c r="G78" s="188"/>
      <c r="H78" s="188"/>
      <c r="I78" s="188"/>
      <c r="J78" s="188"/>
      <c r="K78" s="188"/>
      <c r="L78" s="188"/>
      <c r="M78" s="188"/>
      <c r="N78" s="188"/>
      <c r="O78" s="188"/>
      <c r="P78" s="188"/>
      <c r="Q78" s="188"/>
      <c r="R78" s="188"/>
      <c r="S78" s="188"/>
      <c r="T78" s="188"/>
      <c r="U78" s="190"/>
      <c r="V78" s="190"/>
      <c r="W78" s="190"/>
      <c r="X78" s="188"/>
      <c r="Y78" s="188"/>
      <c r="Z78" s="190"/>
      <c r="AA78" s="188"/>
      <c r="AB78" s="188"/>
      <c r="AC78" s="190"/>
      <c r="AD78" s="190"/>
      <c r="AE78" s="188"/>
    </row>
    <row r="79" ht="14.25" customHeight="1">
      <c r="A79" s="186" t="s">
        <v>517</v>
      </c>
      <c r="B79" s="187" t="s">
        <v>518</v>
      </c>
      <c r="C79" s="186" t="s">
        <v>519</v>
      </c>
      <c r="D79" s="188"/>
      <c r="E79" s="188"/>
      <c r="F79" s="189" t="s">
        <v>520</v>
      </c>
      <c r="G79" s="188"/>
      <c r="H79" s="188"/>
      <c r="I79" s="188"/>
      <c r="J79" s="188"/>
      <c r="K79" s="188"/>
      <c r="L79" s="188"/>
      <c r="M79" s="188"/>
      <c r="N79" s="188"/>
      <c r="O79" s="188"/>
      <c r="P79" s="188"/>
      <c r="Q79" s="188"/>
      <c r="R79" s="188"/>
      <c r="S79" s="188"/>
      <c r="T79" s="188"/>
      <c r="U79" s="190"/>
      <c r="V79" s="190"/>
      <c r="W79" s="190"/>
      <c r="X79" s="188"/>
      <c r="Y79" s="188"/>
      <c r="Z79" s="190"/>
      <c r="AA79" s="188"/>
      <c r="AB79" s="188"/>
      <c r="AC79" s="190"/>
      <c r="AD79" s="190"/>
      <c r="AE79" s="188"/>
    </row>
    <row r="80" ht="14.25" customHeight="1">
      <c r="A80" s="186" t="s">
        <v>521</v>
      </c>
      <c r="B80" s="187" t="s">
        <v>522</v>
      </c>
      <c r="C80" s="186" t="s">
        <v>523</v>
      </c>
      <c r="D80" s="188"/>
      <c r="E80" s="188"/>
      <c r="F80" s="189" t="s">
        <v>524</v>
      </c>
      <c r="G80" s="188"/>
      <c r="H80" s="188"/>
      <c r="I80" s="188"/>
      <c r="J80" s="188"/>
      <c r="K80" s="188"/>
      <c r="L80" s="188"/>
      <c r="M80" s="188"/>
      <c r="N80" s="188"/>
      <c r="O80" s="188"/>
      <c r="P80" s="188"/>
      <c r="Q80" s="188"/>
      <c r="R80" s="188"/>
      <c r="S80" s="188"/>
      <c r="T80" s="188"/>
      <c r="U80" s="190"/>
      <c r="V80" s="190"/>
      <c r="W80" s="190"/>
      <c r="X80" s="188"/>
      <c r="Y80" s="188"/>
      <c r="Z80" s="190"/>
      <c r="AA80" s="188"/>
      <c r="AB80" s="188"/>
      <c r="AC80" s="190"/>
      <c r="AD80" s="190"/>
      <c r="AE80" s="188"/>
    </row>
    <row r="81" ht="14.25" customHeight="1">
      <c r="A81" s="186" t="s">
        <v>525</v>
      </c>
      <c r="B81" s="187" t="s">
        <v>526</v>
      </c>
      <c r="C81" s="186" t="s">
        <v>527</v>
      </c>
      <c r="D81" s="188"/>
      <c r="E81" s="188"/>
      <c r="F81" s="189" t="s">
        <v>528</v>
      </c>
      <c r="G81" s="188"/>
      <c r="H81" s="188"/>
      <c r="I81" s="188"/>
      <c r="J81" s="188"/>
      <c r="K81" s="188"/>
      <c r="L81" s="188"/>
      <c r="M81" s="188"/>
      <c r="N81" s="188"/>
      <c r="O81" s="188"/>
      <c r="P81" s="188"/>
      <c r="Q81" s="188"/>
      <c r="R81" s="188"/>
      <c r="S81" s="188"/>
      <c r="T81" s="188"/>
      <c r="U81" s="190"/>
      <c r="V81" s="190"/>
      <c r="W81" s="190"/>
      <c r="X81" s="188"/>
      <c r="Y81" s="188"/>
      <c r="Z81" s="190"/>
      <c r="AA81" s="188"/>
      <c r="AB81" s="188"/>
      <c r="AC81" s="190"/>
      <c r="AD81" s="190"/>
      <c r="AE81" s="188"/>
    </row>
    <row r="82" ht="14.25" customHeight="1">
      <c r="A82" s="186" t="s">
        <v>529</v>
      </c>
      <c r="B82" s="187" t="s">
        <v>530</v>
      </c>
      <c r="C82" s="186" t="s">
        <v>531</v>
      </c>
      <c r="D82" s="188"/>
      <c r="E82" s="188"/>
      <c r="F82" s="189" t="s">
        <v>532</v>
      </c>
      <c r="G82" s="188"/>
      <c r="H82" s="188"/>
      <c r="I82" s="188"/>
      <c r="J82" s="188"/>
      <c r="K82" s="188"/>
      <c r="L82" s="188"/>
      <c r="M82" s="188"/>
      <c r="N82" s="188"/>
      <c r="O82" s="188"/>
      <c r="P82" s="188"/>
      <c r="Q82" s="188"/>
      <c r="R82" s="188"/>
      <c r="S82" s="188"/>
      <c r="T82" s="188"/>
      <c r="U82" s="190"/>
      <c r="V82" s="190"/>
      <c r="W82" s="190"/>
      <c r="X82" s="188"/>
      <c r="Y82" s="188"/>
      <c r="Z82" s="190"/>
      <c r="AA82" s="188"/>
      <c r="AB82" s="188"/>
      <c r="AC82" s="190"/>
      <c r="AD82" s="190"/>
      <c r="AE82" s="188"/>
    </row>
    <row r="83" ht="14.25" customHeight="1">
      <c r="A83" s="186" t="s">
        <v>533</v>
      </c>
      <c r="B83" s="187" t="s">
        <v>534</v>
      </c>
      <c r="C83" s="186" t="s">
        <v>535</v>
      </c>
      <c r="D83" s="188"/>
      <c r="E83" s="188"/>
      <c r="F83" s="189" t="s">
        <v>536</v>
      </c>
      <c r="G83" s="188"/>
      <c r="H83" s="188"/>
      <c r="I83" s="188"/>
      <c r="J83" s="188"/>
      <c r="K83" s="188"/>
      <c r="L83" s="188"/>
      <c r="M83" s="188"/>
      <c r="N83" s="188"/>
      <c r="O83" s="188"/>
      <c r="P83" s="188"/>
      <c r="Q83" s="188"/>
      <c r="R83" s="188"/>
      <c r="S83" s="188"/>
      <c r="T83" s="188"/>
      <c r="U83" s="190"/>
      <c r="V83" s="190"/>
      <c r="W83" s="190"/>
      <c r="X83" s="188"/>
      <c r="Y83" s="188"/>
      <c r="Z83" s="190"/>
      <c r="AA83" s="188"/>
      <c r="AB83" s="188"/>
      <c r="AC83" s="190"/>
      <c r="AD83" s="190"/>
      <c r="AE83" s="188"/>
    </row>
    <row r="84" ht="14.25" customHeight="1">
      <c r="A84" s="186" t="s">
        <v>537</v>
      </c>
      <c r="B84" s="187" t="s">
        <v>538</v>
      </c>
      <c r="C84" s="186" t="s">
        <v>539</v>
      </c>
      <c r="D84" s="188"/>
      <c r="E84" s="188"/>
      <c r="F84" s="189" t="s">
        <v>540</v>
      </c>
      <c r="G84" s="188"/>
      <c r="H84" s="188"/>
      <c r="I84" s="188"/>
      <c r="J84" s="188"/>
      <c r="K84" s="188"/>
      <c r="L84" s="188"/>
      <c r="M84" s="188"/>
      <c r="N84" s="188"/>
      <c r="O84" s="188"/>
      <c r="P84" s="188"/>
      <c r="Q84" s="188"/>
      <c r="R84" s="188"/>
      <c r="S84" s="188"/>
      <c r="T84" s="188"/>
      <c r="U84" s="190"/>
      <c r="V84" s="190"/>
      <c r="W84" s="190"/>
      <c r="X84" s="188"/>
      <c r="Y84" s="188"/>
      <c r="Z84" s="190"/>
      <c r="AA84" s="188"/>
      <c r="AB84" s="188"/>
      <c r="AC84" s="190"/>
      <c r="AD84" s="190"/>
      <c r="AE84" s="188"/>
    </row>
    <row r="85" ht="14.25" customHeight="1">
      <c r="A85" s="186" t="s">
        <v>541</v>
      </c>
      <c r="B85" s="187" t="s">
        <v>542</v>
      </c>
      <c r="C85" s="186" t="s">
        <v>543</v>
      </c>
      <c r="D85" s="188"/>
      <c r="E85" s="188"/>
      <c r="F85" s="189" t="s">
        <v>544</v>
      </c>
      <c r="G85" s="188"/>
      <c r="H85" s="188"/>
      <c r="I85" s="188"/>
      <c r="J85" s="188"/>
      <c r="K85" s="188"/>
      <c r="L85" s="188"/>
      <c r="M85" s="188"/>
      <c r="N85" s="188"/>
      <c r="O85" s="188"/>
      <c r="P85" s="188"/>
      <c r="Q85" s="188"/>
      <c r="R85" s="188"/>
      <c r="S85" s="188"/>
      <c r="T85" s="188"/>
      <c r="U85" s="190"/>
      <c r="V85" s="190"/>
      <c r="W85" s="190"/>
      <c r="X85" s="188"/>
      <c r="Y85" s="188"/>
      <c r="Z85" s="190"/>
      <c r="AA85" s="188"/>
      <c r="AB85" s="188"/>
      <c r="AC85" s="190"/>
      <c r="AD85" s="190"/>
      <c r="AE85" s="188"/>
    </row>
    <row r="86" ht="14.25" customHeight="1">
      <c r="A86" s="186" t="s">
        <v>545</v>
      </c>
      <c r="B86" s="187" t="s">
        <v>546</v>
      </c>
      <c r="C86" s="186" t="s">
        <v>547</v>
      </c>
      <c r="D86" s="188"/>
      <c r="E86" s="188"/>
      <c r="F86" s="189" t="s">
        <v>548</v>
      </c>
      <c r="G86" s="188"/>
      <c r="H86" s="188"/>
      <c r="I86" s="188"/>
      <c r="J86" s="188"/>
      <c r="K86" s="188"/>
      <c r="L86" s="188"/>
      <c r="M86" s="188"/>
      <c r="N86" s="188"/>
      <c r="O86" s="188"/>
      <c r="P86" s="188"/>
      <c r="Q86" s="188"/>
      <c r="R86" s="188"/>
      <c r="S86" s="188"/>
      <c r="T86" s="188"/>
      <c r="U86" s="190"/>
      <c r="V86" s="190"/>
      <c r="W86" s="190"/>
      <c r="X86" s="188"/>
      <c r="Y86" s="188"/>
      <c r="Z86" s="190"/>
      <c r="AA86" s="188"/>
      <c r="AB86" s="188"/>
      <c r="AC86" s="190"/>
      <c r="AD86" s="190"/>
      <c r="AE86" s="188"/>
    </row>
    <row r="87" ht="14.25" customHeight="1">
      <c r="A87" s="186" t="s">
        <v>549</v>
      </c>
      <c r="B87" s="187" t="s">
        <v>550</v>
      </c>
      <c r="C87" s="186" t="s">
        <v>551</v>
      </c>
      <c r="D87" s="188"/>
      <c r="E87" s="188"/>
      <c r="F87" s="189" t="s">
        <v>552</v>
      </c>
      <c r="G87" s="188"/>
      <c r="H87" s="188"/>
      <c r="I87" s="188"/>
      <c r="J87" s="188"/>
      <c r="K87" s="188"/>
      <c r="L87" s="188"/>
      <c r="M87" s="188"/>
      <c r="N87" s="188"/>
      <c r="O87" s="188"/>
      <c r="P87" s="188"/>
      <c r="Q87" s="188"/>
      <c r="R87" s="188"/>
      <c r="S87" s="188"/>
      <c r="T87" s="188"/>
      <c r="U87" s="190"/>
      <c r="V87" s="190"/>
      <c r="W87" s="190"/>
      <c r="X87" s="188"/>
      <c r="Y87" s="188"/>
      <c r="Z87" s="190"/>
      <c r="AA87" s="188"/>
      <c r="AB87" s="188"/>
      <c r="AC87" s="190"/>
      <c r="AD87" s="190"/>
      <c r="AE87" s="188"/>
    </row>
    <row r="88" ht="14.25" customHeight="1">
      <c r="A88" s="186" t="s">
        <v>553</v>
      </c>
      <c r="B88" s="187" t="s">
        <v>554</v>
      </c>
      <c r="C88" s="186" t="s">
        <v>95</v>
      </c>
      <c r="D88" s="188"/>
      <c r="E88" s="188"/>
      <c r="F88" s="189" t="s">
        <v>96</v>
      </c>
      <c r="G88" s="188"/>
      <c r="H88" s="188"/>
      <c r="I88" s="188"/>
      <c r="J88" s="188"/>
      <c r="K88" s="188"/>
      <c r="L88" s="188"/>
      <c r="M88" s="188"/>
      <c r="N88" s="188"/>
      <c r="O88" s="188"/>
      <c r="P88" s="188"/>
      <c r="Q88" s="188"/>
      <c r="R88" s="188"/>
      <c r="S88" s="188"/>
      <c r="T88" s="188"/>
      <c r="U88" s="190"/>
      <c r="V88" s="190"/>
      <c r="W88" s="190"/>
      <c r="X88" s="188"/>
      <c r="Y88" s="188"/>
      <c r="Z88" s="190"/>
      <c r="AA88" s="188"/>
      <c r="AB88" s="188"/>
      <c r="AC88" s="190"/>
      <c r="AD88" s="190"/>
      <c r="AE88" s="188"/>
    </row>
    <row r="89" ht="14.25" customHeight="1">
      <c r="A89" s="186" t="s">
        <v>555</v>
      </c>
      <c r="B89" s="187" t="s">
        <v>556</v>
      </c>
      <c r="C89" s="186" t="s">
        <v>557</v>
      </c>
      <c r="D89" s="188"/>
      <c r="E89" s="188"/>
      <c r="F89" s="189" t="s">
        <v>558</v>
      </c>
      <c r="G89" s="188"/>
      <c r="H89" s="188"/>
      <c r="I89" s="188"/>
      <c r="J89" s="188"/>
      <c r="K89" s="188"/>
      <c r="L89" s="188"/>
      <c r="M89" s="188"/>
      <c r="N89" s="188"/>
      <c r="O89" s="188"/>
      <c r="P89" s="188"/>
      <c r="Q89" s="188"/>
      <c r="R89" s="188"/>
      <c r="S89" s="188"/>
      <c r="T89" s="188"/>
      <c r="U89" s="190"/>
      <c r="V89" s="190"/>
      <c r="W89" s="190"/>
      <c r="X89" s="188"/>
      <c r="Y89" s="188"/>
      <c r="Z89" s="190"/>
      <c r="AA89" s="188"/>
      <c r="AB89" s="188"/>
      <c r="AC89" s="190"/>
      <c r="AD89" s="190"/>
      <c r="AE89" s="188"/>
    </row>
    <row r="90" ht="14.25" customHeight="1">
      <c r="A90" s="186" t="s">
        <v>559</v>
      </c>
      <c r="B90" s="187" t="s">
        <v>560</v>
      </c>
      <c r="C90" s="186" t="s">
        <v>561</v>
      </c>
      <c r="D90" s="188"/>
      <c r="E90" s="188"/>
      <c r="F90" s="189" t="s">
        <v>562</v>
      </c>
      <c r="G90" s="188"/>
      <c r="H90" s="188"/>
      <c r="I90" s="188"/>
      <c r="J90" s="188"/>
      <c r="K90" s="188"/>
      <c r="L90" s="188"/>
      <c r="M90" s="188"/>
      <c r="N90" s="188"/>
      <c r="O90" s="188"/>
      <c r="P90" s="188"/>
      <c r="Q90" s="188"/>
      <c r="R90" s="188"/>
      <c r="S90" s="188"/>
      <c r="T90" s="188"/>
      <c r="U90" s="190"/>
      <c r="V90" s="190"/>
      <c r="W90" s="190"/>
      <c r="X90" s="188"/>
      <c r="Y90" s="188"/>
      <c r="Z90" s="190"/>
      <c r="AA90" s="188"/>
      <c r="AB90" s="188"/>
      <c r="AC90" s="190"/>
      <c r="AD90" s="190"/>
      <c r="AE90" s="188"/>
    </row>
    <row r="91" ht="14.25" customHeight="1">
      <c r="A91" s="186" t="s">
        <v>563</v>
      </c>
      <c r="B91" s="187" t="s">
        <v>564</v>
      </c>
      <c r="C91" s="186" t="s">
        <v>565</v>
      </c>
      <c r="D91" s="188"/>
      <c r="E91" s="188"/>
      <c r="F91" s="189" t="s">
        <v>566</v>
      </c>
      <c r="G91" s="188"/>
      <c r="H91" s="188"/>
      <c r="I91" s="188"/>
      <c r="J91" s="188"/>
      <c r="K91" s="188"/>
      <c r="L91" s="188"/>
      <c r="M91" s="188"/>
      <c r="N91" s="188"/>
      <c r="O91" s="188"/>
      <c r="P91" s="188"/>
      <c r="Q91" s="188"/>
      <c r="R91" s="188"/>
      <c r="S91" s="188"/>
      <c r="T91" s="188"/>
      <c r="U91" s="190"/>
      <c r="V91" s="190"/>
      <c r="W91" s="190"/>
      <c r="X91" s="188"/>
      <c r="Y91" s="188"/>
      <c r="Z91" s="190"/>
      <c r="AA91" s="188"/>
      <c r="AB91" s="188"/>
      <c r="AC91" s="190"/>
      <c r="AD91" s="190"/>
      <c r="AE91" s="188"/>
    </row>
    <row r="92" ht="14.25" customHeight="1">
      <c r="A92" s="186" t="s">
        <v>567</v>
      </c>
      <c r="B92" s="187" t="s">
        <v>568</v>
      </c>
      <c r="C92" s="186" t="s">
        <v>569</v>
      </c>
      <c r="D92" s="188"/>
      <c r="E92" s="188"/>
      <c r="F92" s="189" t="s">
        <v>570</v>
      </c>
      <c r="G92" s="188"/>
      <c r="H92" s="188"/>
      <c r="I92" s="188"/>
      <c r="J92" s="188"/>
      <c r="K92" s="188"/>
      <c r="L92" s="188"/>
      <c r="M92" s="188"/>
      <c r="N92" s="188"/>
      <c r="O92" s="188"/>
      <c r="P92" s="188"/>
      <c r="Q92" s="188"/>
      <c r="R92" s="188"/>
      <c r="S92" s="188"/>
      <c r="T92" s="188"/>
      <c r="U92" s="190"/>
      <c r="V92" s="190"/>
      <c r="W92" s="190"/>
      <c r="X92" s="188"/>
      <c r="Y92" s="188"/>
      <c r="Z92" s="190"/>
      <c r="AA92" s="188"/>
      <c r="AB92" s="188"/>
      <c r="AC92" s="190"/>
      <c r="AD92" s="190"/>
      <c r="AE92" s="188"/>
    </row>
    <row r="93" ht="14.25" customHeight="1">
      <c r="A93" s="186" t="s">
        <v>571</v>
      </c>
      <c r="B93" s="187" t="s">
        <v>572</v>
      </c>
      <c r="C93" s="186" t="s">
        <v>573</v>
      </c>
      <c r="D93" s="188"/>
      <c r="E93" s="188"/>
      <c r="F93" s="189" t="s">
        <v>574</v>
      </c>
      <c r="G93" s="188"/>
      <c r="H93" s="188"/>
      <c r="I93" s="188"/>
      <c r="J93" s="188"/>
      <c r="K93" s="188"/>
      <c r="L93" s="188"/>
      <c r="M93" s="188"/>
      <c r="N93" s="188"/>
      <c r="O93" s="188"/>
      <c r="P93" s="188"/>
      <c r="Q93" s="188"/>
      <c r="R93" s="188"/>
      <c r="S93" s="188"/>
      <c r="T93" s="188"/>
      <c r="U93" s="190"/>
      <c r="V93" s="190"/>
      <c r="W93" s="190"/>
      <c r="X93" s="188"/>
      <c r="Y93" s="188"/>
      <c r="Z93" s="190"/>
      <c r="AA93" s="188"/>
      <c r="AB93" s="188"/>
      <c r="AC93" s="190"/>
      <c r="AD93" s="190"/>
      <c r="AE93" s="188"/>
    </row>
    <row r="94" ht="14.25" customHeight="1">
      <c r="A94" s="186" t="s">
        <v>575</v>
      </c>
      <c r="B94" s="187" t="s">
        <v>576</v>
      </c>
      <c r="C94" s="186" t="s">
        <v>577</v>
      </c>
      <c r="D94" s="188"/>
      <c r="E94" s="188"/>
      <c r="F94" s="189" t="s">
        <v>578</v>
      </c>
      <c r="G94" s="188"/>
      <c r="H94" s="188"/>
      <c r="I94" s="188"/>
      <c r="J94" s="188"/>
      <c r="K94" s="188"/>
      <c r="L94" s="188"/>
      <c r="M94" s="188"/>
      <c r="N94" s="188"/>
      <c r="O94" s="188"/>
      <c r="P94" s="188"/>
      <c r="Q94" s="188"/>
      <c r="R94" s="188"/>
      <c r="S94" s="188"/>
      <c r="T94" s="188"/>
      <c r="U94" s="190"/>
      <c r="V94" s="190"/>
      <c r="W94" s="190"/>
      <c r="X94" s="188"/>
      <c r="Y94" s="188"/>
      <c r="Z94" s="190"/>
      <c r="AA94" s="188"/>
      <c r="AB94" s="188"/>
      <c r="AC94" s="190"/>
      <c r="AD94" s="190"/>
      <c r="AE94" s="188"/>
    </row>
    <row r="95" ht="14.25" customHeight="1">
      <c r="A95" s="186" t="s">
        <v>579</v>
      </c>
      <c r="B95" s="187" t="s">
        <v>580</v>
      </c>
      <c r="C95" s="186" t="s">
        <v>581</v>
      </c>
      <c r="D95" s="188"/>
      <c r="E95" s="188"/>
      <c r="F95" s="189" t="s">
        <v>582</v>
      </c>
      <c r="G95" s="188"/>
      <c r="H95" s="188"/>
      <c r="I95" s="188"/>
      <c r="J95" s="188"/>
      <c r="K95" s="188"/>
      <c r="L95" s="188"/>
      <c r="M95" s="188"/>
      <c r="N95" s="188"/>
      <c r="O95" s="188"/>
      <c r="P95" s="188"/>
      <c r="Q95" s="188"/>
      <c r="R95" s="188"/>
      <c r="S95" s="188"/>
      <c r="T95" s="188"/>
      <c r="U95" s="190"/>
      <c r="V95" s="190"/>
      <c r="W95" s="190"/>
      <c r="X95" s="188"/>
      <c r="Y95" s="188"/>
      <c r="Z95" s="190"/>
      <c r="AA95" s="188"/>
      <c r="AB95" s="188"/>
      <c r="AC95" s="190"/>
      <c r="AD95" s="190"/>
      <c r="AE95" s="188"/>
    </row>
    <row r="96" ht="14.25" customHeight="1">
      <c r="A96" s="186" t="s">
        <v>583</v>
      </c>
      <c r="B96" s="187" t="s">
        <v>584</v>
      </c>
      <c r="C96" s="186" t="s">
        <v>585</v>
      </c>
      <c r="D96" s="188"/>
      <c r="E96" s="188"/>
      <c r="F96" s="189" t="s">
        <v>586</v>
      </c>
      <c r="G96" s="188"/>
      <c r="H96" s="188"/>
      <c r="I96" s="188"/>
      <c r="J96" s="188"/>
      <c r="K96" s="188"/>
      <c r="L96" s="188"/>
      <c r="M96" s="188"/>
      <c r="N96" s="188"/>
      <c r="O96" s="188"/>
      <c r="P96" s="188"/>
      <c r="Q96" s="188"/>
      <c r="R96" s="188"/>
      <c r="S96" s="188"/>
      <c r="T96" s="188"/>
      <c r="U96" s="190"/>
      <c r="V96" s="190"/>
      <c r="W96" s="190"/>
      <c r="X96" s="188"/>
      <c r="Y96" s="188"/>
      <c r="Z96" s="190"/>
      <c r="AA96" s="188"/>
      <c r="AB96" s="188"/>
      <c r="AC96" s="190"/>
      <c r="AD96" s="190"/>
      <c r="AE96" s="188"/>
    </row>
    <row r="97" ht="14.25" customHeight="1">
      <c r="A97" s="186" t="s">
        <v>587</v>
      </c>
      <c r="B97" s="187" t="s">
        <v>588</v>
      </c>
      <c r="C97" s="186" t="s">
        <v>589</v>
      </c>
      <c r="D97" s="188"/>
      <c r="E97" s="188"/>
      <c r="F97" s="189" t="s">
        <v>590</v>
      </c>
      <c r="G97" s="188"/>
      <c r="H97" s="188"/>
      <c r="I97" s="188"/>
      <c r="J97" s="188"/>
      <c r="K97" s="188"/>
      <c r="L97" s="188"/>
      <c r="M97" s="188"/>
      <c r="N97" s="188"/>
      <c r="O97" s="188"/>
      <c r="P97" s="188"/>
      <c r="Q97" s="188"/>
      <c r="R97" s="188"/>
      <c r="S97" s="188"/>
      <c r="T97" s="188"/>
      <c r="U97" s="190"/>
      <c r="V97" s="190"/>
      <c r="W97" s="190"/>
      <c r="X97" s="188"/>
      <c r="Y97" s="188"/>
      <c r="Z97" s="190"/>
      <c r="AA97" s="188"/>
      <c r="AB97" s="188"/>
      <c r="AC97" s="190"/>
      <c r="AD97" s="190"/>
      <c r="AE97" s="188"/>
    </row>
    <row r="98" ht="14.25" customHeight="1">
      <c r="A98" s="186" t="s">
        <v>591</v>
      </c>
      <c r="B98" s="187" t="s">
        <v>592</v>
      </c>
      <c r="C98" s="186" t="s">
        <v>593</v>
      </c>
      <c r="D98" s="188"/>
      <c r="E98" s="188"/>
      <c r="F98" s="189" t="s">
        <v>594</v>
      </c>
      <c r="G98" s="188"/>
      <c r="H98" s="188"/>
      <c r="I98" s="188"/>
      <c r="J98" s="188"/>
      <c r="K98" s="188"/>
      <c r="L98" s="188"/>
      <c r="M98" s="188"/>
      <c r="N98" s="188"/>
      <c r="O98" s="188"/>
      <c r="P98" s="188"/>
      <c r="Q98" s="188"/>
      <c r="R98" s="188"/>
      <c r="S98" s="188"/>
      <c r="T98" s="188"/>
      <c r="U98" s="190"/>
      <c r="V98" s="190"/>
      <c r="W98" s="190"/>
      <c r="X98" s="188"/>
      <c r="Y98" s="188"/>
      <c r="Z98" s="190"/>
      <c r="AA98" s="188"/>
      <c r="AB98" s="188"/>
      <c r="AC98" s="190"/>
      <c r="AD98" s="190"/>
      <c r="AE98" s="188"/>
    </row>
    <row r="99" ht="14.25" customHeight="1">
      <c r="A99" s="186" t="s">
        <v>595</v>
      </c>
      <c r="B99" s="187" t="s">
        <v>596</v>
      </c>
      <c r="C99" s="186" t="s">
        <v>597</v>
      </c>
      <c r="D99" s="188"/>
      <c r="E99" s="188"/>
      <c r="F99" s="189" t="s">
        <v>598</v>
      </c>
      <c r="G99" s="188"/>
      <c r="H99" s="188"/>
      <c r="I99" s="188"/>
      <c r="J99" s="188"/>
      <c r="K99" s="188"/>
      <c r="L99" s="188"/>
      <c r="M99" s="188"/>
      <c r="N99" s="188"/>
      <c r="O99" s="188"/>
      <c r="P99" s="188"/>
      <c r="Q99" s="188"/>
      <c r="R99" s="188"/>
      <c r="S99" s="188"/>
      <c r="T99" s="188"/>
      <c r="U99" s="190"/>
      <c r="V99" s="190"/>
      <c r="W99" s="190"/>
      <c r="X99" s="188"/>
      <c r="Y99" s="188"/>
      <c r="Z99" s="190"/>
      <c r="AA99" s="188"/>
      <c r="AB99" s="188"/>
      <c r="AC99" s="188"/>
      <c r="AD99" s="188"/>
      <c r="AE99" s="188"/>
    </row>
    <row r="100" ht="14.25" customHeight="1">
      <c r="A100" s="186" t="s">
        <v>599</v>
      </c>
      <c r="B100" s="187" t="s">
        <v>600</v>
      </c>
      <c r="C100" s="186" t="s">
        <v>601</v>
      </c>
      <c r="D100" s="188"/>
      <c r="E100" s="188"/>
      <c r="F100" s="189" t="s">
        <v>602</v>
      </c>
      <c r="G100" s="188"/>
      <c r="H100" s="188"/>
      <c r="I100" s="188"/>
      <c r="J100" s="188"/>
      <c r="K100" s="188"/>
      <c r="L100" s="188"/>
      <c r="M100" s="188"/>
      <c r="N100" s="188"/>
      <c r="O100" s="188"/>
      <c r="P100" s="188"/>
      <c r="Q100" s="188"/>
      <c r="R100" s="188"/>
      <c r="S100" s="188"/>
      <c r="T100" s="188"/>
      <c r="U100" s="190"/>
      <c r="V100" s="190"/>
      <c r="W100" s="190"/>
      <c r="X100" s="188"/>
      <c r="Y100" s="188"/>
      <c r="Z100" s="190"/>
      <c r="AA100" s="188"/>
      <c r="AB100" s="188"/>
      <c r="AC100" s="188"/>
      <c r="AD100" s="188"/>
      <c r="AE100" s="188"/>
    </row>
    <row r="101" ht="14.25" customHeight="1">
      <c r="A101" s="186" t="s">
        <v>603</v>
      </c>
      <c r="B101" s="187" t="s">
        <v>604</v>
      </c>
      <c r="C101" s="186" t="s">
        <v>605</v>
      </c>
      <c r="D101" s="188"/>
      <c r="E101" s="188"/>
      <c r="F101" s="189" t="s">
        <v>606</v>
      </c>
      <c r="G101" s="188"/>
      <c r="H101" s="188"/>
      <c r="I101" s="188"/>
      <c r="J101" s="188"/>
      <c r="K101" s="188"/>
      <c r="L101" s="188"/>
      <c r="M101" s="188"/>
      <c r="N101" s="188"/>
      <c r="O101" s="188"/>
      <c r="P101" s="188"/>
      <c r="Q101" s="188"/>
      <c r="R101" s="188"/>
      <c r="S101" s="188"/>
      <c r="T101" s="188"/>
      <c r="U101" s="190"/>
      <c r="V101" s="190"/>
      <c r="W101" s="190"/>
      <c r="X101" s="188"/>
      <c r="Y101" s="188"/>
      <c r="Z101" s="190"/>
      <c r="AA101" s="188"/>
      <c r="AB101" s="188"/>
      <c r="AC101" s="188"/>
      <c r="AD101" s="188"/>
      <c r="AE101" s="188"/>
    </row>
    <row r="102" ht="14.25" customHeight="1">
      <c r="A102" s="186" t="s">
        <v>607</v>
      </c>
      <c r="B102" s="187" t="s">
        <v>608</v>
      </c>
      <c r="C102" s="186" t="s">
        <v>609</v>
      </c>
      <c r="D102" s="188"/>
      <c r="E102" s="188"/>
      <c r="F102" s="189" t="s">
        <v>610</v>
      </c>
      <c r="G102" s="188"/>
      <c r="H102" s="188"/>
      <c r="I102" s="188"/>
      <c r="J102" s="188"/>
      <c r="K102" s="188"/>
      <c r="L102" s="188"/>
      <c r="M102" s="188"/>
      <c r="N102" s="188"/>
      <c r="O102" s="188"/>
      <c r="P102" s="188"/>
      <c r="Q102" s="188"/>
      <c r="R102" s="188"/>
      <c r="S102" s="188"/>
      <c r="T102" s="188"/>
      <c r="U102" s="190"/>
      <c r="V102" s="190"/>
      <c r="W102" s="190"/>
      <c r="X102" s="188"/>
      <c r="Y102" s="188"/>
      <c r="Z102" s="190"/>
      <c r="AA102" s="188"/>
      <c r="AB102" s="188"/>
      <c r="AC102" s="188"/>
      <c r="AD102" s="188"/>
      <c r="AE102" s="188"/>
    </row>
    <row r="103" ht="14.25" customHeight="1">
      <c r="A103" s="186" t="s">
        <v>611</v>
      </c>
      <c r="B103" s="187" t="s">
        <v>612</v>
      </c>
      <c r="C103" s="186" t="s">
        <v>613</v>
      </c>
      <c r="D103" s="188"/>
      <c r="E103" s="188"/>
      <c r="F103" s="189" t="s">
        <v>614</v>
      </c>
      <c r="G103" s="188"/>
      <c r="H103" s="188"/>
      <c r="I103" s="188"/>
      <c r="J103" s="188"/>
      <c r="K103" s="188"/>
      <c r="L103" s="188"/>
      <c r="M103" s="188"/>
      <c r="N103" s="188"/>
      <c r="O103" s="188"/>
      <c r="P103" s="188"/>
      <c r="Q103" s="188"/>
      <c r="R103" s="188"/>
      <c r="S103" s="188"/>
      <c r="T103" s="188"/>
      <c r="U103" s="190"/>
      <c r="V103" s="190"/>
      <c r="W103" s="190"/>
      <c r="X103" s="188"/>
      <c r="Y103" s="188"/>
      <c r="Z103" s="190"/>
      <c r="AA103" s="188"/>
      <c r="AB103" s="188"/>
      <c r="AC103" s="188"/>
      <c r="AD103" s="188"/>
      <c r="AE103" s="188"/>
    </row>
    <row r="104" ht="14.25" customHeight="1">
      <c r="A104" s="186" t="s">
        <v>615</v>
      </c>
      <c r="B104" s="187" t="s">
        <v>616</v>
      </c>
      <c r="C104" s="186" t="s">
        <v>617</v>
      </c>
      <c r="D104" s="188"/>
      <c r="E104" s="188"/>
      <c r="F104" s="189" t="s">
        <v>618</v>
      </c>
      <c r="G104" s="188"/>
      <c r="H104" s="188"/>
      <c r="I104" s="188"/>
      <c r="J104" s="188"/>
      <c r="K104" s="188"/>
      <c r="L104" s="188"/>
      <c r="M104" s="188"/>
      <c r="N104" s="188"/>
      <c r="O104" s="188"/>
      <c r="P104" s="188"/>
      <c r="Q104" s="188"/>
      <c r="R104" s="188"/>
      <c r="S104" s="188"/>
      <c r="T104" s="188"/>
      <c r="U104" s="190"/>
      <c r="V104" s="190"/>
      <c r="W104" s="190"/>
      <c r="X104" s="188"/>
      <c r="Y104" s="188"/>
      <c r="Z104" s="190"/>
      <c r="AA104" s="188"/>
      <c r="AB104" s="188"/>
      <c r="AC104" s="188"/>
      <c r="AD104" s="188"/>
      <c r="AE104" s="188"/>
    </row>
    <row r="105" ht="14.25" customHeight="1">
      <c r="A105" s="186" t="s">
        <v>619</v>
      </c>
      <c r="B105" s="187" t="s">
        <v>620</v>
      </c>
      <c r="C105" s="186" t="s">
        <v>160</v>
      </c>
      <c r="D105" s="188"/>
      <c r="E105" s="188"/>
      <c r="F105" s="189" t="s">
        <v>161</v>
      </c>
      <c r="G105" s="188"/>
      <c r="H105" s="188"/>
      <c r="I105" s="188"/>
      <c r="J105" s="188"/>
      <c r="K105" s="188"/>
      <c r="L105" s="188"/>
      <c r="M105" s="188"/>
      <c r="N105" s="188"/>
      <c r="O105" s="188"/>
      <c r="P105" s="188"/>
      <c r="Q105" s="188"/>
      <c r="R105" s="188"/>
      <c r="S105" s="188"/>
      <c r="T105" s="188"/>
      <c r="U105" s="190"/>
      <c r="V105" s="190"/>
      <c r="W105" s="190"/>
      <c r="X105" s="188"/>
      <c r="Y105" s="188"/>
      <c r="Z105" s="190"/>
      <c r="AA105" s="188"/>
      <c r="AB105" s="188"/>
      <c r="AC105" s="188"/>
      <c r="AD105" s="188"/>
      <c r="AE105" s="188"/>
    </row>
    <row r="106" ht="14.25" customHeight="1">
      <c r="A106" s="186" t="s">
        <v>621</v>
      </c>
      <c r="B106" s="187" t="s">
        <v>622</v>
      </c>
      <c r="C106" s="186" t="s">
        <v>623</v>
      </c>
      <c r="D106" s="188"/>
      <c r="E106" s="188"/>
      <c r="F106" s="189" t="s">
        <v>624</v>
      </c>
      <c r="G106" s="188"/>
      <c r="H106" s="188"/>
      <c r="I106" s="188"/>
      <c r="J106" s="188"/>
      <c r="K106" s="188"/>
      <c r="L106" s="188"/>
      <c r="M106" s="188"/>
      <c r="N106" s="188"/>
      <c r="O106" s="188"/>
      <c r="P106" s="188"/>
      <c r="Q106" s="188"/>
      <c r="R106" s="188"/>
      <c r="S106" s="188"/>
      <c r="T106" s="188"/>
      <c r="U106" s="190"/>
      <c r="V106" s="190"/>
      <c r="W106" s="190"/>
      <c r="X106" s="188"/>
      <c r="Y106" s="188"/>
      <c r="Z106" s="190"/>
      <c r="AA106" s="188"/>
      <c r="AB106" s="188"/>
      <c r="AC106" s="188"/>
      <c r="AD106" s="188"/>
      <c r="AE106" s="188"/>
    </row>
    <row r="107" ht="14.25" customHeight="1">
      <c r="A107" s="186" t="s">
        <v>625</v>
      </c>
      <c r="B107" s="187" t="s">
        <v>626</v>
      </c>
      <c r="C107" s="186" t="s">
        <v>627</v>
      </c>
      <c r="D107" s="188"/>
      <c r="E107" s="188"/>
      <c r="F107" s="189" t="s">
        <v>628</v>
      </c>
      <c r="G107" s="188"/>
      <c r="H107" s="188"/>
      <c r="I107" s="188"/>
      <c r="J107" s="188"/>
      <c r="K107" s="188"/>
      <c r="L107" s="188"/>
      <c r="M107" s="188"/>
      <c r="N107" s="188"/>
      <c r="O107" s="188"/>
      <c r="P107" s="188"/>
      <c r="Q107" s="188"/>
      <c r="R107" s="188"/>
      <c r="S107" s="188"/>
      <c r="T107" s="188"/>
      <c r="U107" s="190"/>
      <c r="V107" s="190"/>
      <c r="W107" s="190"/>
      <c r="X107" s="188"/>
      <c r="Y107" s="188"/>
      <c r="Z107" s="190"/>
      <c r="AA107" s="188"/>
      <c r="AB107" s="188"/>
      <c r="AC107" s="188"/>
      <c r="AD107" s="188"/>
      <c r="AE107" s="188"/>
    </row>
    <row r="108" ht="14.25" customHeight="1">
      <c r="A108" s="186" t="s">
        <v>629</v>
      </c>
      <c r="B108" s="187" t="s">
        <v>630</v>
      </c>
      <c r="C108" s="186" t="s">
        <v>631</v>
      </c>
      <c r="D108" s="188"/>
      <c r="E108" s="188"/>
      <c r="F108" s="189" t="s">
        <v>632</v>
      </c>
      <c r="G108" s="188"/>
      <c r="H108" s="188"/>
      <c r="I108" s="188"/>
      <c r="J108" s="188"/>
      <c r="K108" s="188"/>
      <c r="L108" s="188"/>
      <c r="M108" s="188"/>
      <c r="N108" s="188"/>
      <c r="O108" s="188"/>
      <c r="P108" s="188"/>
      <c r="Q108" s="188"/>
      <c r="R108" s="188"/>
      <c r="S108" s="188"/>
      <c r="T108" s="188"/>
      <c r="U108" s="190"/>
      <c r="V108" s="190"/>
      <c r="W108" s="190"/>
      <c r="X108" s="188"/>
      <c r="Y108" s="188"/>
      <c r="Z108" s="190"/>
      <c r="AA108" s="188"/>
      <c r="AB108" s="188"/>
      <c r="AC108" s="188"/>
      <c r="AD108" s="188"/>
      <c r="AE108" s="188"/>
    </row>
    <row r="109" ht="14.25" customHeight="1">
      <c r="A109" s="186" t="s">
        <v>633</v>
      </c>
      <c r="B109" s="187" t="s">
        <v>634</v>
      </c>
      <c r="C109" s="186" t="s">
        <v>635</v>
      </c>
      <c r="D109" s="188"/>
      <c r="E109" s="188"/>
      <c r="F109" s="189" t="s">
        <v>636</v>
      </c>
      <c r="G109" s="188"/>
      <c r="H109" s="188"/>
      <c r="I109" s="188"/>
      <c r="J109" s="188"/>
      <c r="K109" s="188"/>
      <c r="L109" s="188"/>
      <c r="M109" s="188"/>
      <c r="N109" s="188"/>
      <c r="O109" s="188"/>
      <c r="P109" s="188"/>
      <c r="Q109" s="188"/>
      <c r="R109" s="188"/>
      <c r="S109" s="188"/>
      <c r="T109" s="188"/>
      <c r="U109" s="190"/>
      <c r="V109" s="190"/>
      <c r="W109" s="190"/>
      <c r="X109" s="188"/>
      <c r="Y109" s="188"/>
      <c r="Z109" s="190"/>
      <c r="AA109" s="188"/>
      <c r="AB109" s="188"/>
      <c r="AC109" s="188"/>
      <c r="AD109" s="188"/>
      <c r="AE109" s="188"/>
    </row>
    <row r="110" ht="14.25" customHeight="1">
      <c r="A110" s="186" t="s">
        <v>637</v>
      </c>
      <c r="B110" s="187" t="s">
        <v>638</v>
      </c>
      <c r="C110" s="186" t="s">
        <v>639</v>
      </c>
      <c r="D110" s="188"/>
      <c r="E110" s="188"/>
      <c r="F110" s="189" t="s">
        <v>640</v>
      </c>
      <c r="G110" s="188"/>
      <c r="H110" s="188"/>
      <c r="I110" s="188"/>
      <c r="J110" s="188"/>
      <c r="K110" s="188"/>
      <c r="L110" s="188"/>
      <c r="M110" s="188"/>
      <c r="N110" s="188"/>
      <c r="O110" s="188"/>
      <c r="P110" s="188"/>
      <c r="Q110" s="188"/>
      <c r="R110" s="188"/>
      <c r="S110" s="188"/>
      <c r="T110" s="188"/>
      <c r="U110" s="190"/>
      <c r="V110" s="190"/>
      <c r="W110" s="190"/>
      <c r="X110" s="188"/>
      <c r="Y110" s="188"/>
      <c r="Z110" s="190"/>
      <c r="AA110" s="188"/>
      <c r="AB110" s="188"/>
      <c r="AC110" s="188"/>
      <c r="AD110" s="188"/>
      <c r="AE110" s="188"/>
    </row>
    <row r="111" ht="14.25" customHeight="1">
      <c r="A111" s="186" t="s">
        <v>641</v>
      </c>
      <c r="B111" s="187" t="s">
        <v>642</v>
      </c>
      <c r="C111" s="186" t="s">
        <v>643</v>
      </c>
      <c r="D111" s="188"/>
      <c r="E111" s="188"/>
      <c r="F111" s="189" t="s">
        <v>644</v>
      </c>
      <c r="G111" s="188"/>
      <c r="H111" s="188"/>
      <c r="I111" s="188"/>
      <c r="J111" s="188"/>
      <c r="K111" s="188"/>
      <c r="L111" s="188"/>
      <c r="M111" s="188"/>
      <c r="N111" s="188"/>
      <c r="O111" s="188"/>
      <c r="P111" s="188"/>
      <c r="Q111" s="188"/>
      <c r="R111" s="188"/>
      <c r="S111" s="188"/>
      <c r="T111" s="188"/>
      <c r="U111" s="190"/>
      <c r="V111" s="190"/>
      <c r="W111" s="190"/>
      <c r="X111" s="188"/>
      <c r="Y111" s="188"/>
      <c r="Z111" s="190"/>
      <c r="AA111" s="188"/>
      <c r="AB111" s="188"/>
      <c r="AC111" s="188"/>
      <c r="AD111" s="188"/>
      <c r="AE111" s="188"/>
    </row>
    <row r="112" ht="14.25" customHeight="1">
      <c r="A112" s="186" t="s">
        <v>645</v>
      </c>
      <c r="B112" s="187" t="s">
        <v>646</v>
      </c>
      <c r="C112" s="186" t="s">
        <v>647</v>
      </c>
      <c r="D112" s="188"/>
      <c r="E112" s="188"/>
      <c r="F112" s="189" t="s">
        <v>648</v>
      </c>
      <c r="G112" s="188"/>
      <c r="H112" s="188"/>
      <c r="I112" s="188"/>
      <c r="J112" s="188"/>
      <c r="K112" s="188"/>
      <c r="L112" s="188"/>
      <c r="M112" s="188"/>
      <c r="N112" s="188"/>
      <c r="O112" s="188"/>
      <c r="P112" s="188"/>
      <c r="Q112" s="188"/>
      <c r="R112" s="188"/>
      <c r="S112" s="188"/>
      <c r="T112" s="188"/>
      <c r="U112" s="190"/>
      <c r="V112" s="190"/>
      <c r="W112" s="190"/>
      <c r="X112" s="188"/>
      <c r="Y112" s="188"/>
      <c r="Z112" s="190"/>
      <c r="AA112" s="188"/>
      <c r="AB112" s="188"/>
      <c r="AC112" s="188"/>
      <c r="AD112" s="188"/>
      <c r="AE112" s="188"/>
    </row>
    <row r="113" ht="14.25" customHeight="1">
      <c r="A113" s="186" t="s">
        <v>649</v>
      </c>
      <c r="B113" s="187" t="s">
        <v>650</v>
      </c>
      <c r="C113" s="186" t="s">
        <v>651</v>
      </c>
      <c r="D113" s="188"/>
      <c r="E113" s="188"/>
      <c r="F113" s="189" t="s">
        <v>652</v>
      </c>
      <c r="G113" s="188"/>
      <c r="H113" s="188"/>
      <c r="I113" s="188"/>
      <c r="J113" s="188"/>
      <c r="K113" s="188"/>
      <c r="L113" s="188"/>
      <c r="M113" s="188"/>
      <c r="N113" s="188"/>
      <c r="O113" s="188"/>
      <c r="P113" s="188"/>
      <c r="Q113" s="188"/>
      <c r="R113" s="188"/>
      <c r="S113" s="188"/>
      <c r="T113" s="188"/>
      <c r="U113" s="190"/>
      <c r="V113" s="190"/>
      <c r="W113" s="190"/>
      <c r="X113" s="188"/>
      <c r="Y113" s="188"/>
      <c r="Z113" s="190"/>
      <c r="AA113" s="188"/>
      <c r="AB113" s="188"/>
      <c r="AC113" s="188"/>
      <c r="AD113" s="188"/>
      <c r="AE113" s="188"/>
    </row>
    <row r="114" ht="14.25" customHeight="1">
      <c r="A114" s="186" t="s">
        <v>653</v>
      </c>
      <c r="B114" s="187" t="s">
        <v>654</v>
      </c>
      <c r="C114" s="186" t="s">
        <v>655</v>
      </c>
      <c r="D114" s="188"/>
      <c r="E114" s="188"/>
      <c r="F114" s="189" t="s">
        <v>656</v>
      </c>
      <c r="G114" s="188"/>
      <c r="H114" s="188"/>
      <c r="I114" s="188"/>
      <c r="J114" s="188"/>
      <c r="K114" s="188"/>
      <c r="L114" s="188"/>
      <c r="M114" s="188"/>
      <c r="N114" s="188"/>
      <c r="O114" s="188"/>
      <c r="P114" s="188"/>
      <c r="Q114" s="188"/>
      <c r="R114" s="188"/>
      <c r="S114" s="188"/>
      <c r="T114" s="188"/>
      <c r="U114" s="190"/>
      <c r="V114" s="190"/>
      <c r="W114" s="190"/>
      <c r="X114" s="188"/>
      <c r="Y114" s="188"/>
      <c r="Z114" s="190"/>
      <c r="AA114" s="188"/>
      <c r="AB114" s="188"/>
      <c r="AC114" s="188"/>
      <c r="AD114" s="188"/>
      <c r="AE114" s="188"/>
    </row>
    <row r="115" ht="14.25" customHeight="1">
      <c r="A115" s="186" t="s">
        <v>657</v>
      </c>
      <c r="B115" s="187" t="s">
        <v>658</v>
      </c>
      <c r="C115" s="186" t="s">
        <v>659</v>
      </c>
      <c r="D115" s="188"/>
      <c r="E115" s="188"/>
      <c r="F115" s="189" t="s">
        <v>660</v>
      </c>
      <c r="G115" s="188"/>
      <c r="H115" s="188"/>
      <c r="I115" s="188"/>
      <c r="J115" s="188"/>
      <c r="K115" s="188"/>
      <c r="L115" s="188"/>
      <c r="M115" s="188"/>
      <c r="N115" s="188"/>
      <c r="O115" s="188"/>
      <c r="P115" s="188"/>
      <c r="Q115" s="188"/>
      <c r="R115" s="188"/>
      <c r="S115" s="188"/>
      <c r="T115" s="188"/>
      <c r="U115" s="190"/>
      <c r="V115" s="190"/>
      <c r="W115" s="190"/>
      <c r="X115" s="188"/>
      <c r="Y115" s="188"/>
      <c r="Z115" s="190"/>
      <c r="AA115" s="188"/>
      <c r="AB115" s="188"/>
      <c r="AC115" s="188"/>
      <c r="AD115" s="188"/>
      <c r="AE115" s="188"/>
    </row>
    <row r="116" ht="14.25" customHeight="1">
      <c r="A116" s="186" t="s">
        <v>661</v>
      </c>
      <c r="B116" s="187" t="s">
        <v>662</v>
      </c>
      <c r="C116" s="186" t="s">
        <v>663</v>
      </c>
      <c r="D116" s="188"/>
      <c r="E116" s="188"/>
      <c r="F116" s="189" t="s">
        <v>664</v>
      </c>
      <c r="G116" s="188"/>
      <c r="H116" s="188"/>
      <c r="I116" s="188"/>
      <c r="J116" s="188"/>
      <c r="K116" s="188"/>
      <c r="L116" s="188"/>
      <c r="M116" s="188"/>
      <c r="N116" s="188"/>
      <c r="O116" s="188"/>
      <c r="P116" s="188"/>
      <c r="Q116" s="188"/>
      <c r="R116" s="188"/>
      <c r="S116" s="188"/>
      <c r="T116" s="188"/>
      <c r="U116" s="190"/>
      <c r="V116" s="190"/>
      <c r="W116" s="190"/>
      <c r="X116" s="188"/>
      <c r="Y116" s="188"/>
      <c r="Z116" s="190"/>
      <c r="AA116" s="188"/>
      <c r="AB116" s="188"/>
      <c r="AC116" s="188"/>
      <c r="AD116" s="188"/>
      <c r="AE116" s="188"/>
    </row>
    <row r="117" ht="14.25" customHeight="1">
      <c r="A117" s="186" t="s">
        <v>665</v>
      </c>
      <c r="B117" s="187" t="s">
        <v>666</v>
      </c>
      <c r="C117" s="186" t="s">
        <v>667</v>
      </c>
      <c r="D117" s="188"/>
      <c r="E117" s="188"/>
      <c r="F117" s="189" t="s">
        <v>668</v>
      </c>
      <c r="G117" s="188"/>
      <c r="H117" s="188"/>
      <c r="I117" s="188"/>
      <c r="J117" s="188"/>
      <c r="K117" s="188"/>
      <c r="L117" s="188"/>
      <c r="M117" s="188"/>
      <c r="N117" s="188"/>
      <c r="O117" s="188"/>
      <c r="P117" s="188"/>
      <c r="Q117" s="188"/>
      <c r="R117" s="188"/>
      <c r="S117" s="188"/>
      <c r="T117" s="188"/>
      <c r="U117" s="190"/>
      <c r="V117" s="190"/>
      <c r="W117" s="190"/>
      <c r="X117" s="188"/>
      <c r="Y117" s="188"/>
      <c r="Z117" s="190"/>
      <c r="AA117" s="188"/>
      <c r="AB117" s="188"/>
      <c r="AC117" s="188"/>
      <c r="AD117" s="188"/>
      <c r="AE117" s="188"/>
    </row>
    <row r="118" ht="14.25" customHeight="1">
      <c r="A118" s="186" t="s">
        <v>669</v>
      </c>
      <c r="B118" s="187" t="s">
        <v>670</v>
      </c>
      <c r="C118" s="186" t="s">
        <v>671</v>
      </c>
      <c r="D118" s="188"/>
      <c r="E118" s="188"/>
      <c r="F118" s="189" t="s">
        <v>672</v>
      </c>
      <c r="G118" s="188"/>
      <c r="H118" s="188"/>
      <c r="I118" s="188"/>
      <c r="J118" s="188"/>
      <c r="K118" s="188"/>
      <c r="L118" s="188"/>
      <c r="M118" s="188"/>
      <c r="N118" s="188"/>
      <c r="O118" s="188"/>
      <c r="P118" s="188"/>
      <c r="Q118" s="188"/>
      <c r="R118" s="188"/>
      <c r="S118" s="188"/>
      <c r="T118" s="188"/>
      <c r="U118" s="190"/>
      <c r="V118" s="190"/>
      <c r="W118" s="190"/>
      <c r="X118" s="188"/>
      <c r="Y118" s="188"/>
      <c r="Z118" s="190"/>
      <c r="AA118" s="188"/>
      <c r="AB118" s="188"/>
      <c r="AC118" s="188"/>
      <c r="AD118" s="188"/>
      <c r="AE118" s="188"/>
    </row>
    <row r="119" ht="14.25" customHeight="1">
      <c r="A119" s="186" t="s">
        <v>673</v>
      </c>
      <c r="B119" s="187" t="s">
        <v>674</v>
      </c>
      <c r="C119" s="186" t="s">
        <v>675</v>
      </c>
      <c r="D119" s="188"/>
      <c r="E119" s="188"/>
      <c r="F119" s="189" t="s">
        <v>676</v>
      </c>
      <c r="G119" s="188"/>
      <c r="H119" s="188"/>
      <c r="I119" s="188"/>
      <c r="J119" s="188"/>
      <c r="K119" s="188"/>
      <c r="L119" s="188"/>
      <c r="M119" s="188"/>
      <c r="N119" s="188"/>
      <c r="O119" s="188"/>
      <c r="P119" s="188"/>
      <c r="Q119" s="188"/>
      <c r="R119" s="188"/>
      <c r="S119" s="188"/>
      <c r="T119" s="188"/>
      <c r="U119" s="190"/>
      <c r="V119" s="190"/>
      <c r="W119" s="190"/>
      <c r="X119" s="188"/>
      <c r="Y119" s="188"/>
      <c r="Z119" s="190"/>
      <c r="AA119" s="188"/>
      <c r="AB119" s="188"/>
      <c r="AC119" s="188"/>
      <c r="AD119" s="188"/>
      <c r="AE119" s="188"/>
    </row>
    <row r="120" ht="14.25" customHeight="1">
      <c r="A120" s="186" t="s">
        <v>677</v>
      </c>
      <c r="B120" s="187" t="s">
        <v>678</v>
      </c>
      <c r="C120" s="186" t="s">
        <v>679</v>
      </c>
      <c r="D120" s="188"/>
      <c r="E120" s="188"/>
      <c r="F120" s="189" t="s">
        <v>680</v>
      </c>
      <c r="G120" s="188"/>
      <c r="H120" s="188"/>
      <c r="I120" s="188"/>
      <c r="J120" s="188"/>
      <c r="K120" s="188"/>
      <c r="L120" s="188"/>
      <c r="M120" s="188"/>
      <c r="N120" s="188"/>
      <c r="O120" s="188"/>
      <c r="P120" s="188"/>
      <c r="Q120" s="188"/>
      <c r="R120" s="188"/>
      <c r="S120" s="188"/>
      <c r="T120" s="188"/>
      <c r="U120" s="190"/>
      <c r="V120" s="190"/>
      <c r="W120" s="190"/>
      <c r="X120" s="188"/>
      <c r="Y120" s="188"/>
      <c r="Z120" s="190"/>
      <c r="AA120" s="188"/>
      <c r="AB120" s="188"/>
      <c r="AC120" s="188"/>
      <c r="AD120" s="188"/>
      <c r="AE120" s="188"/>
    </row>
    <row r="121" ht="14.25" customHeight="1">
      <c r="A121" s="186" t="s">
        <v>681</v>
      </c>
      <c r="B121" s="187" t="s">
        <v>682</v>
      </c>
      <c r="C121" s="186" t="s">
        <v>683</v>
      </c>
      <c r="D121" s="188"/>
      <c r="E121" s="188"/>
      <c r="F121" s="189" t="s">
        <v>684</v>
      </c>
      <c r="G121" s="188"/>
      <c r="H121" s="188"/>
      <c r="I121" s="188"/>
      <c r="J121" s="188"/>
      <c r="K121" s="188"/>
      <c r="L121" s="188"/>
      <c r="M121" s="188"/>
      <c r="N121" s="188"/>
      <c r="O121" s="188"/>
      <c r="P121" s="188"/>
      <c r="Q121" s="188"/>
      <c r="R121" s="188"/>
      <c r="S121" s="188"/>
      <c r="T121" s="188"/>
      <c r="U121" s="190"/>
      <c r="V121" s="190"/>
      <c r="W121" s="190"/>
      <c r="X121" s="188"/>
      <c r="Y121" s="188"/>
      <c r="Z121" s="190"/>
      <c r="AA121" s="188"/>
      <c r="AB121" s="188"/>
      <c r="AC121" s="188"/>
      <c r="AD121" s="188"/>
      <c r="AE121" s="188"/>
    </row>
    <row r="122" ht="14.25" customHeight="1">
      <c r="A122" s="186" t="s">
        <v>685</v>
      </c>
      <c r="B122" s="187" t="s">
        <v>686</v>
      </c>
      <c r="C122" s="186" t="s">
        <v>687</v>
      </c>
      <c r="D122" s="188"/>
      <c r="E122" s="188"/>
      <c r="F122" s="189" t="s">
        <v>688</v>
      </c>
      <c r="G122" s="188"/>
      <c r="H122" s="188"/>
      <c r="I122" s="188"/>
      <c r="J122" s="188"/>
      <c r="K122" s="188"/>
      <c r="L122" s="188"/>
      <c r="M122" s="188"/>
      <c r="N122" s="188"/>
      <c r="O122" s="188"/>
      <c r="P122" s="188"/>
      <c r="Q122" s="188"/>
      <c r="R122" s="188"/>
      <c r="S122" s="188"/>
      <c r="T122" s="188"/>
      <c r="U122" s="190"/>
      <c r="V122" s="190"/>
      <c r="W122" s="190"/>
      <c r="X122" s="188"/>
      <c r="Y122" s="188"/>
      <c r="Z122" s="190"/>
      <c r="AA122" s="188"/>
      <c r="AB122" s="188"/>
      <c r="AC122" s="188"/>
      <c r="AD122" s="188"/>
      <c r="AE122" s="188"/>
    </row>
    <row r="123" ht="14.25" customHeight="1">
      <c r="A123" s="186" t="s">
        <v>689</v>
      </c>
      <c r="B123" s="187" t="s">
        <v>690</v>
      </c>
      <c r="C123" s="186" t="s">
        <v>691</v>
      </c>
      <c r="D123" s="188"/>
      <c r="E123" s="188"/>
      <c r="F123" s="189" t="s">
        <v>692</v>
      </c>
      <c r="G123" s="188"/>
      <c r="H123" s="188"/>
      <c r="I123" s="188"/>
      <c r="J123" s="188"/>
      <c r="K123" s="188"/>
      <c r="L123" s="188"/>
      <c r="M123" s="188"/>
      <c r="N123" s="188"/>
      <c r="O123" s="188"/>
      <c r="P123" s="188"/>
      <c r="Q123" s="188"/>
      <c r="R123" s="188"/>
      <c r="S123" s="188"/>
      <c r="T123" s="188"/>
      <c r="U123" s="190"/>
      <c r="V123" s="190"/>
      <c r="W123" s="190"/>
      <c r="X123" s="188"/>
      <c r="Y123" s="188"/>
      <c r="Z123" s="190"/>
      <c r="AA123" s="188"/>
      <c r="AB123" s="188"/>
      <c r="AC123" s="188"/>
      <c r="AD123" s="188"/>
      <c r="AE123" s="188"/>
    </row>
    <row r="124" ht="14.25" customHeight="1">
      <c r="A124" s="186" t="s">
        <v>693</v>
      </c>
      <c r="B124" s="187" t="s">
        <v>694</v>
      </c>
      <c r="C124" s="186" t="s">
        <v>695</v>
      </c>
      <c r="D124" s="188"/>
      <c r="E124" s="188"/>
      <c r="F124" s="189" t="s">
        <v>696</v>
      </c>
      <c r="G124" s="188"/>
      <c r="H124" s="188"/>
      <c r="I124" s="188"/>
      <c r="J124" s="188"/>
      <c r="K124" s="188"/>
      <c r="L124" s="188"/>
      <c r="M124" s="188"/>
      <c r="N124" s="188"/>
      <c r="O124" s="188"/>
      <c r="P124" s="188"/>
      <c r="Q124" s="188"/>
      <c r="R124" s="188"/>
      <c r="S124" s="188"/>
      <c r="T124" s="188"/>
      <c r="U124" s="190"/>
      <c r="V124" s="190"/>
      <c r="W124" s="190"/>
      <c r="X124" s="188"/>
      <c r="Y124" s="188"/>
      <c r="Z124" s="190"/>
      <c r="AA124" s="188"/>
      <c r="AB124" s="188"/>
      <c r="AC124" s="188"/>
      <c r="AD124" s="188"/>
      <c r="AE124" s="188"/>
    </row>
    <row r="125" ht="14.25" customHeight="1">
      <c r="A125" s="186" t="s">
        <v>697</v>
      </c>
      <c r="B125" s="187" t="s">
        <v>698</v>
      </c>
      <c r="C125" s="186" t="s">
        <v>699</v>
      </c>
      <c r="D125" s="188"/>
      <c r="E125" s="188"/>
      <c r="F125" s="189" t="s">
        <v>700</v>
      </c>
      <c r="G125" s="188"/>
      <c r="H125" s="188"/>
      <c r="I125" s="188"/>
      <c r="J125" s="188"/>
      <c r="K125" s="188"/>
      <c r="L125" s="188"/>
      <c r="M125" s="188"/>
      <c r="N125" s="188"/>
      <c r="O125" s="188"/>
      <c r="P125" s="188"/>
      <c r="Q125" s="188"/>
      <c r="R125" s="188"/>
      <c r="S125" s="188"/>
      <c r="T125" s="188"/>
      <c r="U125" s="190"/>
      <c r="V125" s="190"/>
      <c r="W125" s="190"/>
      <c r="X125" s="188"/>
      <c r="Y125" s="188"/>
      <c r="Z125" s="190"/>
      <c r="AA125" s="188"/>
      <c r="AB125" s="188"/>
      <c r="AC125" s="188"/>
      <c r="AD125" s="188"/>
      <c r="AE125" s="188"/>
    </row>
    <row r="126" ht="14.25" customHeight="1">
      <c r="A126" s="186" t="s">
        <v>701</v>
      </c>
      <c r="B126" s="187" t="s">
        <v>702</v>
      </c>
      <c r="C126" s="186" t="s">
        <v>128</v>
      </c>
      <c r="D126" s="188"/>
      <c r="E126" s="188"/>
      <c r="F126" s="189" t="s">
        <v>124</v>
      </c>
      <c r="G126" s="188"/>
      <c r="H126" s="188"/>
      <c r="I126" s="188"/>
      <c r="J126" s="188"/>
      <c r="K126" s="188"/>
      <c r="L126" s="188"/>
      <c r="M126" s="188"/>
      <c r="N126" s="188"/>
      <c r="O126" s="188"/>
      <c r="P126" s="188"/>
      <c r="Q126" s="188"/>
      <c r="R126" s="188"/>
      <c r="S126" s="188"/>
      <c r="T126" s="188"/>
      <c r="U126" s="190"/>
      <c r="V126" s="190"/>
      <c r="W126" s="190"/>
      <c r="X126" s="188"/>
      <c r="Y126" s="188"/>
      <c r="Z126" s="190"/>
      <c r="AA126" s="188"/>
      <c r="AB126" s="188"/>
      <c r="AC126" s="188"/>
      <c r="AD126" s="188"/>
      <c r="AE126" s="188"/>
    </row>
    <row r="127" ht="14.25" customHeight="1">
      <c r="A127" s="186" t="s">
        <v>703</v>
      </c>
      <c r="B127" s="187" t="s">
        <v>704</v>
      </c>
      <c r="C127" s="186" t="s">
        <v>705</v>
      </c>
      <c r="D127" s="188"/>
      <c r="E127" s="188"/>
      <c r="F127" s="189" t="s">
        <v>706</v>
      </c>
      <c r="G127" s="188"/>
      <c r="H127" s="188"/>
      <c r="I127" s="188"/>
      <c r="J127" s="188"/>
      <c r="K127" s="188"/>
      <c r="L127" s="188"/>
      <c r="M127" s="188"/>
      <c r="N127" s="188"/>
      <c r="O127" s="188"/>
      <c r="P127" s="188"/>
      <c r="Q127" s="188"/>
      <c r="R127" s="188"/>
      <c r="S127" s="188"/>
      <c r="T127" s="188"/>
      <c r="U127" s="190"/>
      <c r="V127" s="190"/>
      <c r="W127" s="190"/>
      <c r="X127" s="188"/>
      <c r="Y127" s="188"/>
      <c r="Z127" s="190"/>
      <c r="AA127" s="188"/>
      <c r="AB127" s="188"/>
      <c r="AC127" s="188"/>
      <c r="AD127" s="188"/>
      <c r="AE127" s="188"/>
    </row>
    <row r="128" ht="14.25" customHeight="1">
      <c r="A128" s="186" t="s">
        <v>707</v>
      </c>
      <c r="B128" s="187" t="s">
        <v>708</v>
      </c>
      <c r="C128" s="186" t="s">
        <v>709</v>
      </c>
      <c r="D128" s="188"/>
      <c r="E128" s="188"/>
      <c r="F128" s="189" t="s">
        <v>710</v>
      </c>
      <c r="G128" s="188"/>
      <c r="H128" s="188"/>
      <c r="I128" s="188"/>
      <c r="J128" s="188"/>
      <c r="K128" s="188"/>
      <c r="L128" s="188"/>
      <c r="M128" s="188"/>
      <c r="N128" s="188"/>
      <c r="O128" s="188"/>
      <c r="P128" s="188"/>
      <c r="Q128" s="188"/>
      <c r="R128" s="188"/>
      <c r="S128" s="188"/>
      <c r="T128" s="188"/>
      <c r="U128" s="190"/>
      <c r="V128" s="190"/>
      <c r="W128" s="190"/>
      <c r="X128" s="188"/>
      <c r="Y128" s="188"/>
      <c r="Z128" s="190"/>
      <c r="AA128" s="188"/>
      <c r="AB128" s="188"/>
      <c r="AC128" s="188"/>
      <c r="AD128" s="188"/>
      <c r="AE128" s="188"/>
    </row>
    <row r="129" ht="14.25" customHeight="1">
      <c r="A129" s="186" t="s">
        <v>711</v>
      </c>
      <c r="B129" s="187" t="s">
        <v>712</v>
      </c>
      <c r="C129" s="186" t="s">
        <v>713</v>
      </c>
      <c r="D129" s="188"/>
      <c r="E129" s="188"/>
      <c r="F129" s="189" t="s">
        <v>714</v>
      </c>
      <c r="G129" s="188"/>
      <c r="H129" s="188"/>
      <c r="I129" s="188"/>
      <c r="J129" s="188"/>
      <c r="K129" s="188"/>
      <c r="L129" s="188"/>
      <c r="M129" s="188"/>
      <c r="N129" s="188"/>
      <c r="O129" s="188"/>
      <c r="P129" s="188"/>
      <c r="Q129" s="188"/>
      <c r="R129" s="188"/>
      <c r="S129" s="188"/>
      <c r="T129" s="188"/>
      <c r="U129" s="190"/>
      <c r="V129" s="190"/>
      <c r="W129" s="190"/>
      <c r="X129" s="188"/>
      <c r="Y129" s="188"/>
      <c r="Z129" s="190"/>
      <c r="AA129" s="188"/>
      <c r="AB129" s="188"/>
      <c r="AC129" s="188"/>
      <c r="AD129" s="188"/>
      <c r="AE129" s="188"/>
    </row>
    <row r="130" ht="14.25" customHeight="1">
      <c r="A130" s="186" t="s">
        <v>715</v>
      </c>
      <c r="B130" s="187" t="s">
        <v>716</v>
      </c>
      <c r="C130" s="186" t="s">
        <v>717</v>
      </c>
      <c r="D130" s="188"/>
      <c r="E130" s="188"/>
      <c r="F130" s="189" t="s">
        <v>718</v>
      </c>
      <c r="G130" s="188"/>
      <c r="H130" s="188"/>
      <c r="I130" s="188"/>
      <c r="J130" s="188"/>
      <c r="K130" s="188"/>
      <c r="L130" s="188"/>
      <c r="M130" s="188"/>
      <c r="N130" s="188"/>
      <c r="O130" s="188"/>
      <c r="P130" s="188"/>
      <c r="Q130" s="188"/>
      <c r="R130" s="188"/>
      <c r="S130" s="188"/>
      <c r="T130" s="188"/>
      <c r="U130" s="190"/>
      <c r="V130" s="190"/>
      <c r="W130" s="190"/>
      <c r="X130" s="188"/>
      <c r="Y130" s="188"/>
      <c r="Z130" s="190"/>
      <c r="AA130" s="188"/>
      <c r="AB130" s="188"/>
      <c r="AC130" s="188"/>
      <c r="AD130" s="188"/>
      <c r="AE130" s="188"/>
    </row>
    <row r="131" ht="14.25" customHeight="1">
      <c r="A131" s="186" t="s">
        <v>719</v>
      </c>
      <c r="B131" s="187" t="s">
        <v>720</v>
      </c>
      <c r="C131" s="186" t="s">
        <v>721</v>
      </c>
      <c r="D131" s="188"/>
      <c r="E131" s="188"/>
      <c r="F131" s="189" t="s">
        <v>722</v>
      </c>
      <c r="G131" s="188"/>
      <c r="H131" s="188"/>
      <c r="I131" s="188"/>
      <c r="J131" s="188"/>
      <c r="K131" s="188"/>
      <c r="L131" s="188"/>
      <c r="M131" s="188"/>
      <c r="N131" s="188"/>
      <c r="O131" s="188"/>
      <c r="P131" s="188"/>
      <c r="Q131" s="188"/>
      <c r="R131" s="188"/>
      <c r="S131" s="188"/>
      <c r="T131" s="188"/>
      <c r="U131" s="190"/>
      <c r="V131" s="190"/>
      <c r="W131" s="190"/>
      <c r="X131" s="188"/>
      <c r="Y131" s="188"/>
      <c r="Z131" s="190"/>
      <c r="AA131" s="188"/>
      <c r="AB131" s="188"/>
      <c r="AC131" s="188"/>
      <c r="AD131" s="188"/>
      <c r="AE131" s="188"/>
    </row>
    <row r="132" ht="14.25" customHeight="1">
      <c r="A132" s="186" t="s">
        <v>723</v>
      </c>
      <c r="B132" s="187" t="s">
        <v>724</v>
      </c>
      <c r="C132" s="186" t="s">
        <v>725</v>
      </c>
      <c r="D132" s="188"/>
      <c r="E132" s="188"/>
      <c r="F132" s="189" t="s">
        <v>726</v>
      </c>
      <c r="G132" s="188"/>
      <c r="H132" s="188"/>
      <c r="I132" s="188"/>
      <c r="J132" s="188"/>
      <c r="K132" s="188"/>
      <c r="L132" s="188"/>
      <c r="M132" s="188"/>
      <c r="N132" s="188"/>
      <c r="O132" s="188"/>
      <c r="P132" s="188"/>
      <c r="Q132" s="188"/>
      <c r="R132" s="188"/>
      <c r="S132" s="188"/>
      <c r="T132" s="188"/>
      <c r="U132" s="190"/>
      <c r="V132" s="190"/>
      <c r="W132" s="190"/>
      <c r="X132" s="188"/>
      <c r="Y132" s="188"/>
      <c r="Z132" s="190"/>
      <c r="AA132" s="188"/>
      <c r="AB132" s="188"/>
      <c r="AC132" s="188"/>
      <c r="AD132" s="188"/>
      <c r="AE132" s="188"/>
    </row>
    <row r="133" ht="14.25" customHeight="1">
      <c r="A133" s="186" t="s">
        <v>727</v>
      </c>
      <c r="B133" s="187" t="s">
        <v>728</v>
      </c>
      <c r="C133" s="186" t="s">
        <v>729</v>
      </c>
      <c r="D133" s="188"/>
      <c r="E133" s="188"/>
      <c r="F133" s="189" t="s">
        <v>730</v>
      </c>
      <c r="G133" s="188"/>
      <c r="H133" s="188"/>
      <c r="I133" s="188"/>
      <c r="J133" s="188"/>
      <c r="K133" s="188"/>
      <c r="L133" s="188"/>
      <c r="M133" s="188"/>
      <c r="N133" s="188"/>
      <c r="O133" s="188"/>
      <c r="P133" s="188"/>
      <c r="Q133" s="188"/>
      <c r="R133" s="188"/>
      <c r="S133" s="188"/>
      <c r="T133" s="188"/>
      <c r="U133" s="190"/>
      <c r="V133" s="190"/>
      <c r="W133" s="190"/>
      <c r="X133" s="188"/>
      <c r="Y133" s="188"/>
      <c r="Z133" s="190"/>
      <c r="AA133" s="188"/>
      <c r="AB133" s="188"/>
      <c r="AC133" s="188"/>
      <c r="AD133" s="188"/>
      <c r="AE133" s="188"/>
    </row>
    <row r="134" ht="14.25" customHeight="1">
      <c r="A134" s="186" t="s">
        <v>731</v>
      </c>
      <c r="B134" s="187" t="s">
        <v>732</v>
      </c>
      <c r="C134" s="186" t="s">
        <v>138</v>
      </c>
      <c r="D134" s="188"/>
      <c r="E134" s="188"/>
      <c r="F134" s="189" t="s">
        <v>139</v>
      </c>
      <c r="G134" s="188"/>
      <c r="H134" s="188"/>
      <c r="I134" s="188"/>
      <c r="J134" s="188"/>
      <c r="K134" s="188"/>
      <c r="L134" s="188"/>
      <c r="M134" s="188"/>
      <c r="N134" s="188"/>
      <c r="O134" s="188"/>
      <c r="P134" s="188"/>
      <c r="Q134" s="188"/>
      <c r="R134" s="188"/>
      <c r="S134" s="188"/>
      <c r="T134" s="188"/>
      <c r="U134" s="190"/>
      <c r="V134" s="190"/>
      <c r="W134" s="190"/>
      <c r="X134" s="188"/>
      <c r="Y134" s="188"/>
      <c r="Z134" s="190"/>
      <c r="AA134" s="188"/>
      <c r="AB134" s="188"/>
      <c r="AC134" s="188"/>
      <c r="AD134" s="188"/>
      <c r="AE134" s="188"/>
    </row>
    <row r="135" ht="14.25" customHeight="1">
      <c r="A135" s="186" t="s">
        <v>733</v>
      </c>
      <c r="B135" s="187" t="s">
        <v>734</v>
      </c>
      <c r="C135" s="186" t="s">
        <v>735</v>
      </c>
      <c r="D135" s="188"/>
      <c r="E135" s="188"/>
      <c r="F135" s="189" t="s">
        <v>736</v>
      </c>
      <c r="G135" s="188"/>
      <c r="H135" s="188"/>
      <c r="I135" s="188"/>
      <c r="J135" s="188"/>
      <c r="K135" s="188"/>
      <c r="L135" s="188"/>
      <c r="M135" s="188"/>
      <c r="N135" s="188"/>
      <c r="O135" s="188"/>
      <c r="P135" s="188"/>
      <c r="Q135" s="188"/>
      <c r="R135" s="188"/>
      <c r="S135" s="188"/>
      <c r="T135" s="188"/>
      <c r="U135" s="190"/>
      <c r="V135" s="190"/>
      <c r="W135" s="190"/>
      <c r="X135" s="188"/>
      <c r="Y135" s="188"/>
      <c r="Z135" s="190"/>
      <c r="AA135" s="188"/>
      <c r="AB135" s="188"/>
      <c r="AC135" s="188"/>
      <c r="AD135" s="188"/>
      <c r="AE135" s="188"/>
    </row>
    <row r="136" ht="14.25" customHeight="1">
      <c r="A136" s="186" t="s">
        <v>737</v>
      </c>
      <c r="B136" s="187" t="s">
        <v>738</v>
      </c>
      <c r="C136" s="186" t="s">
        <v>739</v>
      </c>
      <c r="D136" s="188"/>
      <c r="E136" s="188"/>
      <c r="F136" s="189" t="s">
        <v>740</v>
      </c>
      <c r="G136" s="188"/>
      <c r="H136" s="188"/>
      <c r="I136" s="188"/>
      <c r="J136" s="188"/>
      <c r="K136" s="188"/>
      <c r="L136" s="188"/>
      <c r="M136" s="188"/>
      <c r="N136" s="188"/>
      <c r="O136" s="188"/>
      <c r="P136" s="188"/>
      <c r="Q136" s="188"/>
      <c r="R136" s="188"/>
      <c r="S136" s="188"/>
      <c r="T136" s="188"/>
      <c r="U136" s="190"/>
      <c r="V136" s="190"/>
      <c r="W136" s="190"/>
      <c r="X136" s="188"/>
      <c r="Y136" s="188"/>
      <c r="Z136" s="190"/>
      <c r="AA136" s="188"/>
      <c r="AB136" s="188"/>
      <c r="AC136" s="188"/>
      <c r="AD136" s="188"/>
      <c r="AE136" s="188"/>
    </row>
    <row r="137" ht="14.25" customHeight="1">
      <c r="A137" s="186" t="s">
        <v>741</v>
      </c>
      <c r="B137" s="187" t="s">
        <v>742</v>
      </c>
      <c r="C137" s="186" t="s">
        <v>743</v>
      </c>
      <c r="D137" s="188"/>
      <c r="E137" s="188"/>
      <c r="F137" s="189" t="s">
        <v>744</v>
      </c>
      <c r="G137" s="188"/>
      <c r="H137" s="188"/>
      <c r="I137" s="188"/>
      <c r="J137" s="188"/>
      <c r="K137" s="188"/>
      <c r="L137" s="188"/>
      <c r="M137" s="188"/>
      <c r="N137" s="188"/>
      <c r="O137" s="188"/>
      <c r="P137" s="188"/>
      <c r="Q137" s="188"/>
      <c r="R137" s="188"/>
      <c r="S137" s="188"/>
      <c r="T137" s="188"/>
      <c r="U137" s="190"/>
      <c r="V137" s="190"/>
      <c r="W137" s="190"/>
      <c r="X137" s="188"/>
      <c r="Y137" s="188"/>
      <c r="Z137" s="190"/>
      <c r="AA137" s="188"/>
      <c r="AB137" s="188"/>
      <c r="AC137" s="188"/>
      <c r="AD137" s="188"/>
      <c r="AE137" s="188"/>
    </row>
    <row r="138" ht="14.25" customHeight="1">
      <c r="A138" s="186" t="s">
        <v>745</v>
      </c>
      <c r="B138" s="187" t="s">
        <v>746</v>
      </c>
      <c r="C138" s="186" t="s">
        <v>747</v>
      </c>
      <c r="D138" s="188"/>
      <c r="E138" s="188"/>
      <c r="F138" s="189" t="s">
        <v>748</v>
      </c>
      <c r="G138" s="188"/>
      <c r="H138" s="188"/>
      <c r="I138" s="188"/>
      <c r="J138" s="188"/>
      <c r="K138" s="188"/>
      <c r="L138" s="188"/>
      <c r="M138" s="188"/>
      <c r="N138" s="188"/>
      <c r="O138" s="188"/>
      <c r="P138" s="188"/>
      <c r="Q138" s="188"/>
      <c r="R138" s="188"/>
      <c r="S138" s="188"/>
      <c r="T138" s="188"/>
      <c r="U138" s="190"/>
      <c r="V138" s="190"/>
      <c r="W138" s="190"/>
      <c r="X138" s="188"/>
      <c r="Y138" s="188"/>
      <c r="Z138" s="190"/>
      <c r="AA138" s="188"/>
      <c r="AB138" s="188"/>
      <c r="AC138" s="188"/>
      <c r="AD138" s="188"/>
      <c r="AE138" s="188"/>
    </row>
    <row r="139" ht="14.25" customHeight="1">
      <c r="A139" s="186" t="s">
        <v>749</v>
      </c>
      <c r="B139" s="187" t="s">
        <v>750</v>
      </c>
      <c r="C139" s="186" t="s">
        <v>751</v>
      </c>
      <c r="D139" s="188"/>
      <c r="E139" s="188"/>
      <c r="F139" s="189" t="s">
        <v>752</v>
      </c>
      <c r="G139" s="188"/>
      <c r="H139" s="188"/>
      <c r="I139" s="188"/>
      <c r="J139" s="188"/>
      <c r="K139" s="188"/>
      <c r="L139" s="188"/>
      <c r="M139" s="188"/>
      <c r="N139" s="188"/>
      <c r="O139" s="188"/>
      <c r="P139" s="188"/>
      <c r="Q139" s="188"/>
      <c r="R139" s="188"/>
      <c r="S139" s="188"/>
      <c r="T139" s="188"/>
      <c r="U139" s="190"/>
      <c r="V139" s="190"/>
      <c r="W139" s="190"/>
      <c r="X139" s="188"/>
      <c r="Y139" s="188"/>
      <c r="Z139" s="190"/>
      <c r="AA139" s="188"/>
      <c r="AB139" s="188"/>
      <c r="AC139" s="188"/>
      <c r="AD139" s="188"/>
      <c r="AE139" s="188"/>
    </row>
    <row r="140" ht="14.25" customHeight="1">
      <c r="A140" s="186" t="s">
        <v>753</v>
      </c>
      <c r="B140" s="187" t="s">
        <v>754</v>
      </c>
      <c r="C140" s="186" t="s">
        <v>755</v>
      </c>
      <c r="D140" s="188"/>
      <c r="E140" s="188"/>
      <c r="F140" s="189" t="s">
        <v>756</v>
      </c>
      <c r="G140" s="188"/>
      <c r="H140" s="188"/>
      <c r="I140" s="188"/>
      <c r="J140" s="188"/>
      <c r="K140" s="188"/>
      <c r="L140" s="188"/>
      <c r="M140" s="188"/>
      <c r="N140" s="188"/>
      <c r="O140" s="188"/>
      <c r="P140" s="188"/>
      <c r="Q140" s="188"/>
      <c r="R140" s="188"/>
      <c r="S140" s="188"/>
      <c r="T140" s="188"/>
      <c r="U140" s="190"/>
      <c r="V140" s="190"/>
      <c r="W140" s="190"/>
      <c r="X140" s="188"/>
      <c r="Y140" s="188"/>
      <c r="Z140" s="190"/>
      <c r="AA140" s="188"/>
      <c r="AB140" s="188"/>
      <c r="AC140" s="188"/>
      <c r="AD140" s="188"/>
      <c r="AE140" s="188"/>
    </row>
    <row r="141" ht="14.25" customHeight="1">
      <c r="A141" s="186" t="s">
        <v>757</v>
      </c>
      <c r="B141" s="187" t="s">
        <v>758</v>
      </c>
      <c r="C141" s="186" t="s">
        <v>759</v>
      </c>
      <c r="D141" s="188"/>
      <c r="E141" s="188"/>
      <c r="F141" s="189" t="s">
        <v>760</v>
      </c>
      <c r="G141" s="188"/>
      <c r="H141" s="188"/>
      <c r="I141" s="188"/>
      <c r="J141" s="188"/>
      <c r="K141" s="188"/>
      <c r="L141" s="188"/>
      <c r="M141" s="188"/>
      <c r="N141" s="188"/>
      <c r="O141" s="188"/>
      <c r="P141" s="188"/>
      <c r="Q141" s="188"/>
      <c r="R141" s="188"/>
      <c r="S141" s="188"/>
      <c r="T141" s="188"/>
      <c r="U141" s="190"/>
      <c r="V141" s="190"/>
      <c r="W141" s="190"/>
      <c r="X141" s="188"/>
      <c r="Y141" s="188"/>
      <c r="Z141" s="190"/>
      <c r="AA141" s="188"/>
      <c r="AB141" s="188"/>
      <c r="AC141" s="188"/>
      <c r="AD141" s="188"/>
      <c r="AE141" s="188"/>
    </row>
    <row r="142" ht="14.25" customHeight="1">
      <c r="A142" s="186" t="s">
        <v>761</v>
      </c>
      <c r="B142" s="187" t="s">
        <v>762</v>
      </c>
      <c r="C142" s="186" t="s">
        <v>763</v>
      </c>
      <c r="D142" s="188"/>
      <c r="E142" s="188"/>
      <c r="F142" s="189" t="s">
        <v>764</v>
      </c>
      <c r="G142" s="188"/>
      <c r="H142" s="188"/>
      <c r="I142" s="188"/>
      <c r="J142" s="188"/>
      <c r="K142" s="188"/>
      <c r="L142" s="188"/>
      <c r="M142" s="188"/>
      <c r="N142" s="188"/>
      <c r="O142" s="188"/>
      <c r="P142" s="188"/>
      <c r="Q142" s="188"/>
      <c r="R142" s="188"/>
      <c r="S142" s="188"/>
      <c r="T142" s="188"/>
      <c r="U142" s="190"/>
      <c r="V142" s="190"/>
      <c r="W142" s="190"/>
      <c r="X142" s="188"/>
      <c r="Y142" s="188"/>
      <c r="Z142" s="190"/>
      <c r="AA142" s="188"/>
      <c r="AB142" s="188"/>
      <c r="AC142" s="188"/>
      <c r="AD142" s="188"/>
      <c r="AE142" s="188"/>
    </row>
    <row r="143" ht="14.25" customHeight="1">
      <c r="A143" s="186" t="s">
        <v>765</v>
      </c>
      <c r="B143" s="187" t="s">
        <v>766</v>
      </c>
      <c r="C143" s="186" t="s">
        <v>767</v>
      </c>
      <c r="D143" s="188"/>
      <c r="E143" s="188"/>
      <c r="F143" s="189" t="s">
        <v>768</v>
      </c>
      <c r="G143" s="188"/>
      <c r="H143" s="188"/>
      <c r="I143" s="188"/>
      <c r="J143" s="188"/>
      <c r="K143" s="188"/>
      <c r="L143" s="188"/>
      <c r="M143" s="188"/>
      <c r="N143" s="188"/>
      <c r="O143" s="188"/>
      <c r="P143" s="188"/>
      <c r="Q143" s="188"/>
      <c r="R143" s="188"/>
      <c r="S143" s="188"/>
      <c r="T143" s="188"/>
      <c r="U143" s="190"/>
      <c r="V143" s="190"/>
      <c r="W143" s="190"/>
      <c r="X143" s="188"/>
      <c r="Y143" s="188"/>
      <c r="Z143" s="190"/>
      <c r="AA143" s="188"/>
      <c r="AB143" s="188"/>
      <c r="AC143" s="188"/>
      <c r="AD143" s="188"/>
      <c r="AE143" s="188"/>
    </row>
    <row r="144" ht="14.25" customHeight="1">
      <c r="A144" s="186" t="s">
        <v>769</v>
      </c>
      <c r="B144" s="187" t="s">
        <v>770</v>
      </c>
      <c r="C144" s="186" t="s">
        <v>771</v>
      </c>
      <c r="D144" s="188"/>
      <c r="E144" s="188"/>
      <c r="F144" s="189" t="s">
        <v>772</v>
      </c>
      <c r="G144" s="188"/>
      <c r="H144" s="188"/>
      <c r="I144" s="188"/>
      <c r="J144" s="188"/>
      <c r="K144" s="188"/>
      <c r="L144" s="188"/>
      <c r="M144" s="188"/>
      <c r="N144" s="188"/>
      <c r="O144" s="188"/>
      <c r="P144" s="188"/>
      <c r="Q144" s="188"/>
      <c r="R144" s="188"/>
      <c r="S144" s="188"/>
      <c r="T144" s="188"/>
      <c r="U144" s="190"/>
      <c r="V144" s="190"/>
      <c r="W144" s="190"/>
      <c r="X144" s="188"/>
      <c r="Y144" s="188"/>
      <c r="Z144" s="190"/>
      <c r="AA144" s="188"/>
      <c r="AB144" s="188"/>
      <c r="AC144" s="188"/>
      <c r="AD144" s="188"/>
      <c r="AE144" s="188"/>
    </row>
    <row r="145" ht="14.25" customHeight="1">
      <c r="A145" s="186" t="s">
        <v>773</v>
      </c>
      <c r="B145" s="187" t="s">
        <v>774</v>
      </c>
      <c r="C145" s="186" t="s">
        <v>775</v>
      </c>
      <c r="D145" s="188"/>
      <c r="E145" s="188"/>
      <c r="F145" s="189" t="s">
        <v>776</v>
      </c>
      <c r="G145" s="188"/>
      <c r="H145" s="188"/>
      <c r="I145" s="188"/>
      <c r="J145" s="188"/>
      <c r="K145" s="188"/>
      <c r="L145" s="188"/>
      <c r="M145" s="188"/>
      <c r="N145" s="188"/>
      <c r="O145" s="188"/>
      <c r="P145" s="188"/>
      <c r="Q145" s="188"/>
      <c r="R145" s="188"/>
      <c r="S145" s="188"/>
      <c r="T145" s="188"/>
      <c r="U145" s="190"/>
      <c r="V145" s="190"/>
      <c r="W145" s="190"/>
      <c r="X145" s="188"/>
      <c r="Y145" s="188"/>
      <c r="Z145" s="190"/>
      <c r="AA145" s="188"/>
      <c r="AB145" s="188"/>
      <c r="AC145" s="188"/>
      <c r="AD145" s="188"/>
      <c r="AE145" s="188"/>
    </row>
    <row r="146" ht="14.25" customHeight="1">
      <c r="A146" s="186" t="s">
        <v>777</v>
      </c>
      <c r="B146" s="187" t="s">
        <v>778</v>
      </c>
      <c r="C146" s="186" t="s">
        <v>779</v>
      </c>
      <c r="D146" s="188"/>
      <c r="E146" s="188"/>
      <c r="F146" s="189" t="s">
        <v>780</v>
      </c>
      <c r="G146" s="188"/>
      <c r="H146" s="188"/>
      <c r="I146" s="188"/>
      <c r="J146" s="188"/>
      <c r="K146" s="188"/>
      <c r="L146" s="188"/>
      <c r="M146" s="188"/>
      <c r="N146" s="188"/>
      <c r="O146" s="188"/>
      <c r="P146" s="188"/>
      <c r="Q146" s="188"/>
      <c r="R146" s="188"/>
      <c r="S146" s="188"/>
      <c r="T146" s="188"/>
      <c r="U146" s="190"/>
      <c r="V146" s="190"/>
      <c r="W146" s="190"/>
      <c r="X146" s="188"/>
      <c r="Y146" s="188"/>
      <c r="Z146" s="190"/>
      <c r="AA146" s="188"/>
      <c r="AB146" s="188"/>
      <c r="AC146" s="188"/>
      <c r="AD146" s="188"/>
      <c r="AE146" s="188"/>
    </row>
    <row r="147" ht="14.25" customHeight="1">
      <c r="A147" s="186" t="s">
        <v>781</v>
      </c>
      <c r="B147" s="187" t="s">
        <v>782</v>
      </c>
      <c r="C147" s="186" t="s">
        <v>783</v>
      </c>
      <c r="D147" s="188"/>
      <c r="E147" s="188"/>
      <c r="F147" s="189" t="s">
        <v>784</v>
      </c>
      <c r="G147" s="188"/>
      <c r="H147" s="188"/>
      <c r="I147" s="188"/>
      <c r="J147" s="188"/>
      <c r="K147" s="188"/>
      <c r="L147" s="188"/>
      <c r="M147" s="188"/>
      <c r="N147" s="188"/>
      <c r="O147" s="188"/>
      <c r="P147" s="188"/>
      <c r="Q147" s="188"/>
      <c r="R147" s="188"/>
      <c r="S147" s="188"/>
      <c r="T147" s="188"/>
      <c r="U147" s="190"/>
      <c r="V147" s="190"/>
      <c r="W147" s="190"/>
      <c r="X147" s="188"/>
      <c r="Y147" s="188"/>
      <c r="Z147" s="190"/>
      <c r="AA147" s="188"/>
      <c r="AB147" s="188"/>
      <c r="AC147" s="188"/>
      <c r="AD147" s="188"/>
      <c r="AE147" s="188"/>
    </row>
    <row r="148" ht="14.25" customHeight="1">
      <c r="A148" s="186" t="s">
        <v>785</v>
      </c>
      <c r="B148" s="187" t="s">
        <v>786</v>
      </c>
      <c r="C148" s="186" t="s">
        <v>787</v>
      </c>
      <c r="D148" s="188"/>
      <c r="E148" s="188"/>
      <c r="F148" s="189" t="s">
        <v>788</v>
      </c>
      <c r="G148" s="188"/>
      <c r="H148" s="188"/>
      <c r="I148" s="188"/>
      <c r="J148" s="188"/>
      <c r="K148" s="188"/>
      <c r="L148" s="188"/>
      <c r="M148" s="188"/>
      <c r="N148" s="188"/>
      <c r="O148" s="188"/>
      <c r="P148" s="188"/>
      <c r="Q148" s="188"/>
      <c r="R148" s="188"/>
      <c r="S148" s="188"/>
      <c r="T148" s="188"/>
      <c r="U148" s="190"/>
      <c r="V148" s="190"/>
      <c r="W148" s="190"/>
      <c r="X148" s="188"/>
      <c r="Y148" s="188"/>
      <c r="Z148" s="190"/>
      <c r="AA148" s="188"/>
      <c r="AB148" s="188"/>
      <c r="AC148" s="188"/>
      <c r="AD148" s="188"/>
      <c r="AE148" s="188"/>
    </row>
    <row r="149" ht="14.25" customHeight="1">
      <c r="A149" s="186" t="s">
        <v>789</v>
      </c>
      <c r="B149" s="187" t="s">
        <v>790</v>
      </c>
      <c r="C149" s="186" t="s">
        <v>791</v>
      </c>
      <c r="D149" s="188"/>
      <c r="E149" s="188"/>
      <c r="F149" s="189" t="s">
        <v>792</v>
      </c>
      <c r="G149" s="188"/>
      <c r="H149" s="188"/>
      <c r="I149" s="188"/>
      <c r="J149" s="188"/>
      <c r="K149" s="188"/>
      <c r="L149" s="188"/>
      <c r="M149" s="188"/>
      <c r="N149" s="188"/>
      <c r="O149" s="188"/>
      <c r="P149" s="188"/>
      <c r="Q149" s="188"/>
      <c r="R149" s="188"/>
      <c r="S149" s="188"/>
      <c r="T149" s="188"/>
      <c r="U149" s="190"/>
      <c r="V149" s="190"/>
      <c r="W149" s="190"/>
      <c r="X149" s="188"/>
      <c r="Y149" s="188"/>
      <c r="Z149" s="190"/>
      <c r="AA149" s="188"/>
      <c r="AB149" s="188"/>
      <c r="AC149" s="190"/>
      <c r="AD149" s="190"/>
      <c r="AE149" s="188"/>
    </row>
    <row r="150" ht="14.25" customHeight="1">
      <c r="A150" s="186" t="s">
        <v>793</v>
      </c>
      <c r="B150" s="187" t="s">
        <v>794</v>
      </c>
      <c r="C150" s="186" t="s">
        <v>795</v>
      </c>
      <c r="D150" s="188"/>
      <c r="E150" s="188"/>
      <c r="F150" s="189" t="s">
        <v>796</v>
      </c>
      <c r="G150" s="188"/>
      <c r="H150" s="188"/>
      <c r="I150" s="188"/>
      <c r="J150" s="188"/>
      <c r="K150" s="188"/>
      <c r="L150" s="188"/>
      <c r="M150" s="188"/>
      <c r="N150" s="188"/>
      <c r="O150" s="188"/>
      <c r="P150" s="188"/>
      <c r="Q150" s="188"/>
      <c r="R150" s="188"/>
      <c r="S150" s="188"/>
      <c r="T150" s="188"/>
      <c r="U150" s="190"/>
      <c r="V150" s="190"/>
      <c r="W150" s="190"/>
      <c r="X150" s="188"/>
      <c r="Y150" s="188"/>
      <c r="Z150" s="190"/>
      <c r="AA150" s="188"/>
      <c r="AB150" s="188"/>
      <c r="AC150" s="188"/>
      <c r="AD150" s="188"/>
      <c r="AE150" s="188"/>
    </row>
    <row r="151" ht="14.25" customHeight="1">
      <c r="A151" s="186" t="s">
        <v>797</v>
      </c>
      <c r="B151" s="187" t="s">
        <v>798</v>
      </c>
      <c r="C151" s="186" t="s">
        <v>799</v>
      </c>
      <c r="D151" s="188"/>
      <c r="E151" s="188"/>
      <c r="F151" s="189" t="s">
        <v>800</v>
      </c>
      <c r="G151" s="188"/>
      <c r="H151" s="188"/>
      <c r="I151" s="188"/>
      <c r="J151" s="188"/>
      <c r="K151" s="188"/>
      <c r="L151" s="188"/>
      <c r="M151" s="188"/>
      <c r="N151" s="188"/>
      <c r="O151" s="188"/>
      <c r="P151" s="188"/>
      <c r="Q151" s="188"/>
      <c r="R151" s="188"/>
      <c r="S151" s="188"/>
      <c r="T151" s="188"/>
      <c r="U151" s="190"/>
      <c r="V151" s="190"/>
      <c r="W151" s="190"/>
      <c r="X151" s="188"/>
      <c r="Y151" s="188"/>
      <c r="Z151" s="190"/>
      <c r="AA151" s="188"/>
      <c r="AB151" s="188"/>
      <c r="AC151" s="188"/>
      <c r="AD151" s="188"/>
      <c r="AE151" s="188"/>
    </row>
    <row r="152" ht="14.25" customHeight="1">
      <c r="A152" s="186" t="s">
        <v>801</v>
      </c>
      <c r="B152" s="187" t="s">
        <v>802</v>
      </c>
      <c r="C152" s="186" t="s">
        <v>803</v>
      </c>
      <c r="D152" s="188"/>
      <c r="E152" s="188"/>
      <c r="F152" s="189" t="s">
        <v>804</v>
      </c>
      <c r="G152" s="188"/>
      <c r="H152" s="188"/>
      <c r="I152" s="188"/>
      <c r="J152" s="188"/>
      <c r="K152" s="188"/>
      <c r="L152" s="188"/>
      <c r="M152" s="188"/>
      <c r="N152" s="188"/>
      <c r="O152" s="188"/>
      <c r="P152" s="188"/>
      <c r="Q152" s="188"/>
      <c r="R152" s="188"/>
      <c r="S152" s="188"/>
      <c r="T152" s="188"/>
      <c r="U152" s="190"/>
      <c r="V152" s="190"/>
      <c r="W152" s="190"/>
      <c r="X152" s="188"/>
      <c r="Y152" s="188"/>
      <c r="Z152" s="190"/>
      <c r="AA152" s="188"/>
      <c r="AB152" s="188"/>
      <c r="AC152" s="188"/>
      <c r="AD152" s="188"/>
      <c r="AE152" s="188"/>
    </row>
    <row r="153" ht="14.25" customHeight="1">
      <c r="A153" s="186" t="s">
        <v>805</v>
      </c>
      <c r="B153" s="187" t="s">
        <v>806</v>
      </c>
      <c r="C153" s="186" t="s">
        <v>807</v>
      </c>
      <c r="D153" s="188"/>
      <c r="E153" s="188"/>
      <c r="F153" s="189" t="s">
        <v>808</v>
      </c>
      <c r="G153" s="188"/>
      <c r="H153" s="188"/>
      <c r="I153" s="188"/>
      <c r="J153" s="188"/>
      <c r="K153" s="188"/>
      <c r="L153" s="188"/>
      <c r="M153" s="188"/>
      <c r="N153" s="188"/>
      <c r="O153" s="188"/>
      <c r="P153" s="188"/>
      <c r="Q153" s="188"/>
      <c r="R153" s="188"/>
      <c r="S153" s="188"/>
      <c r="T153" s="188"/>
      <c r="U153" s="190"/>
      <c r="V153" s="190"/>
      <c r="W153" s="190"/>
      <c r="X153" s="188"/>
      <c r="Y153" s="188"/>
      <c r="Z153" s="190"/>
      <c r="AA153" s="188"/>
      <c r="AB153" s="188"/>
      <c r="AC153" s="188"/>
      <c r="AD153" s="188"/>
      <c r="AE153" s="188"/>
    </row>
    <row r="154" ht="14.25" customHeight="1">
      <c r="A154" s="186" t="s">
        <v>809</v>
      </c>
      <c r="B154" s="187" t="s">
        <v>810</v>
      </c>
      <c r="C154" s="186" t="s">
        <v>811</v>
      </c>
      <c r="D154" s="188"/>
      <c r="E154" s="188"/>
      <c r="F154" s="189" t="s">
        <v>812</v>
      </c>
      <c r="G154" s="188"/>
      <c r="H154" s="188"/>
      <c r="I154" s="188"/>
      <c r="J154" s="188"/>
      <c r="K154" s="188"/>
      <c r="L154" s="188"/>
      <c r="M154" s="188"/>
      <c r="N154" s="188"/>
      <c r="O154" s="188"/>
      <c r="P154" s="188"/>
      <c r="Q154" s="188"/>
      <c r="R154" s="188"/>
      <c r="S154" s="188"/>
      <c r="T154" s="188"/>
      <c r="U154" s="190"/>
      <c r="V154" s="190"/>
      <c r="W154" s="190"/>
      <c r="X154" s="188"/>
      <c r="Y154" s="188"/>
      <c r="Z154" s="190"/>
      <c r="AA154" s="188"/>
      <c r="AB154" s="188"/>
      <c r="AC154" s="188"/>
      <c r="AD154" s="188"/>
      <c r="AE154" s="188"/>
    </row>
    <row r="155" ht="14.25" customHeight="1">
      <c r="A155" s="186" t="s">
        <v>813</v>
      </c>
      <c r="B155" s="187" t="s">
        <v>814</v>
      </c>
      <c r="C155" s="186" t="s">
        <v>815</v>
      </c>
      <c r="D155" s="188"/>
      <c r="E155" s="188"/>
      <c r="F155" s="189" t="s">
        <v>816</v>
      </c>
      <c r="G155" s="188"/>
      <c r="H155" s="188"/>
      <c r="I155" s="188"/>
      <c r="J155" s="188"/>
      <c r="K155" s="188"/>
      <c r="L155" s="188"/>
      <c r="M155" s="188"/>
      <c r="N155" s="188"/>
      <c r="O155" s="188"/>
      <c r="P155" s="188"/>
      <c r="Q155" s="188"/>
      <c r="R155" s="188"/>
      <c r="S155" s="188"/>
      <c r="T155" s="188"/>
      <c r="U155" s="190"/>
      <c r="V155" s="190"/>
      <c r="W155" s="190"/>
      <c r="X155" s="188"/>
      <c r="Y155" s="188"/>
      <c r="Z155" s="190"/>
      <c r="AA155" s="188"/>
      <c r="AB155" s="188"/>
      <c r="AC155" s="188"/>
      <c r="AD155" s="188"/>
      <c r="AE155" s="188"/>
    </row>
    <row r="156" ht="14.25" customHeight="1">
      <c r="A156" s="186" t="s">
        <v>817</v>
      </c>
      <c r="B156" s="187" t="s">
        <v>818</v>
      </c>
      <c r="C156" s="186" t="s">
        <v>819</v>
      </c>
      <c r="D156" s="188"/>
      <c r="E156" s="188"/>
      <c r="F156" s="189" t="s">
        <v>820</v>
      </c>
      <c r="G156" s="188"/>
      <c r="H156" s="188"/>
      <c r="I156" s="188"/>
      <c r="J156" s="188"/>
      <c r="K156" s="188"/>
      <c r="L156" s="188"/>
      <c r="M156" s="188"/>
      <c r="N156" s="188"/>
      <c r="O156" s="188"/>
      <c r="P156" s="188"/>
      <c r="Q156" s="188"/>
      <c r="R156" s="188"/>
      <c r="S156" s="188"/>
      <c r="T156" s="188"/>
      <c r="U156" s="190"/>
      <c r="V156" s="190"/>
      <c r="W156" s="190"/>
      <c r="X156" s="188"/>
      <c r="Y156" s="188"/>
      <c r="Z156" s="190"/>
      <c r="AA156" s="188"/>
      <c r="AB156" s="188"/>
      <c r="AC156" s="188"/>
      <c r="AD156" s="188"/>
      <c r="AE156" s="188"/>
    </row>
    <row r="157" ht="14.25" customHeight="1">
      <c r="A157" s="186" t="s">
        <v>821</v>
      </c>
      <c r="B157" s="187" t="s">
        <v>822</v>
      </c>
      <c r="C157" s="186" t="s">
        <v>823</v>
      </c>
      <c r="D157" s="188"/>
      <c r="E157" s="188"/>
      <c r="F157" s="189" t="s">
        <v>824</v>
      </c>
      <c r="G157" s="188"/>
      <c r="H157" s="188"/>
      <c r="I157" s="188"/>
      <c r="J157" s="188"/>
      <c r="K157" s="188"/>
      <c r="L157" s="188"/>
      <c r="M157" s="188"/>
      <c r="N157" s="188"/>
      <c r="O157" s="188"/>
      <c r="P157" s="188"/>
      <c r="Q157" s="188"/>
      <c r="R157" s="188"/>
      <c r="S157" s="188"/>
      <c r="T157" s="188"/>
      <c r="U157" s="190"/>
      <c r="V157" s="190"/>
      <c r="W157" s="190"/>
      <c r="X157" s="188"/>
      <c r="Y157" s="188"/>
      <c r="Z157" s="190"/>
      <c r="AA157" s="188"/>
      <c r="AB157" s="188"/>
      <c r="AC157" s="188"/>
      <c r="AD157" s="188"/>
      <c r="AE157" s="188"/>
    </row>
    <row r="158" ht="14.25" customHeight="1">
      <c r="A158" s="186" t="s">
        <v>825</v>
      </c>
      <c r="B158" s="187" t="s">
        <v>826</v>
      </c>
      <c r="C158" s="186" t="s">
        <v>827</v>
      </c>
      <c r="D158" s="188"/>
      <c r="E158" s="188"/>
      <c r="F158" s="189" t="s">
        <v>828</v>
      </c>
      <c r="G158" s="188"/>
      <c r="H158" s="188"/>
      <c r="I158" s="188"/>
      <c r="J158" s="188"/>
      <c r="K158" s="188"/>
      <c r="L158" s="188"/>
      <c r="M158" s="188"/>
      <c r="N158" s="188"/>
      <c r="O158" s="188"/>
      <c r="P158" s="188"/>
      <c r="Q158" s="188"/>
      <c r="R158" s="188"/>
      <c r="S158" s="188"/>
      <c r="T158" s="188"/>
      <c r="U158" s="190"/>
      <c r="V158" s="190"/>
      <c r="W158" s="190"/>
      <c r="X158" s="188"/>
      <c r="Y158" s="188"/>
      <c r="Z158" s="190"/>
      <c r="AA158" s="188"/>
      <c r="AB158" s="188"/>
      <c r="AC158" s="188"/>
      <c r="AD158" s="188"/>
      <c r="AE158" s="188"/>
    </row>
    <row r="159" ht="14.25" customHeight="1">
      <c r="A159" s="186" t="s">
        <v>829</v>
      </c>
      <c r="B159" s="187" t="s">
        <v>830</v>
      </c>
      <c r="C159" s="186" t="s">
        <v>831</v>
      </c>
      <c r="D159" s="188"/>
      <c r="E159" s="188"/>
      <c r="F159" s="189" t="s">
        <v>832</v>
      </c>
      <c r="G159" s="188"/>
      <c r="H159" s="188"/>
      <c r="I159" s="188"/>
      <c r="J159" s="188"/>
      <c r="K159" s="188"/>
      <c r="L159" s="188"/>
      <c r="M159" s="188"/>
      <c r="N159" s="188"/>
      <c r="O159" s="188"/>
      <c r="P159" s="188"/>
      <c r="Q159" s="188"/>
      <c r="R159" s="188"/>
      <c r="S159" s="188"/>
      <c r="T159" s="188"/>
      <c r="U159" s="190"/>
      <c r="V159" s="190"/>
      <c r="W159" s="190"/>
      <c r="X159" s="188"/>
      <c r="Y159" s="188"/>
      <c r="Z159" s="190"/>
      <c r="AA159" s="188"/>
      <c r="AB159" s="188"/>
      <c r="AC159" s="188"/>
      <c r="AD159" s="188"/>
      <c r="AE159" s="188"/>
    </row>
    <row r="160" ht="14.25" customHeight="1">
      <c r="A160" s="186" t="s">
        <v>833</v>
      </c>
      <c r="B160" s="187" t="s">
        <v>834</v>
      </c>
      <c r="C160" s="186" t="s">
        <v>835</v>
      </c>
      <c r="D160" s="188"/>
      <c r="E160" s="188"/>
      <c r="F160" s="189" t="s">
        <v>836</v>
      </c>
      <c r="G160" s="188"/>
      <c r="H160" s="188"/>
      <c r="I160" s="188"/>
      <c r="J160" s="188"/>
      <c r="K160" s="188"/>
      <c r="L160" s="188"/>
      <c r="M160" s="188"/>
      <c r="N160" s="188"/>
      <c r="O160" s="188"/>
      <c r="P160" s="188"/>
      <c r="Q160" s="188"/>
      <c r="R160" s="188"/>
      <c r="S160" s="188"/>
      <c r="T160" s="188"/>
      <c r="U160" s="190"/>
      <c r="V160" s="190"/>
      <c r="W160" s="190"/>
      <c r="X160" s="188"/>
      <c r="Y160" s="188"/>
      <c r="Z160" s="190"/>
      <c r="AA160" s="188"/>
      <c r="AB160" s="188"/>
      <c r="AC160" s="188"/>
      <c r="AD160" s="188"/>
      <c r="AE160" s="188"/>
    </row>
    <row r="161" ht="14.25" customHeight="1">
      <c r="A161" s="186" t="s">
        <v>837</v>
      </c>
      <c r="B161" s="187" t="s">
        <v>838</v>
      </c>
      <c r="C161" s="186" t="s">
        <v>839</v>
      </c>
      <c r="D161" s="188"/>
      <c r="E161" s="188"/>
      <c r="F161" s="189" t="s">
        <v>840</v>
      </c>
      <c r="G161" s="188"/>
      <c r="H161" s="188"/>
      <c r="I161" s="188"/>
      <c r="J161" s="188"/>
      <c r="K161" s="188"/>
      <c r="L161" s="188"/>
      <c r="M161" s="188"/>
      <c r="N161" s="188"/>
      <c r="O161" s="188"/>
      <c r="P161" s="188"/>
      <c r="Q161" s="188"/>
      <c r="R161" s="188"/>
      <c r="S161" s="188"/>
      <c r="T161" s="188"/>
      <c r="U161" s="190"/>
      <c r="V161" s="190"/>
      <c r="W161" s="190"/>
      <c r="X161" s="188"/>
      <c r="Y161" s="188"/>
      <c r="Z161" s="190"/>
      <c r="AA161" s="188"/>
      <c r="AB161" s="188"/>
      <c r="AC161" s="188"/>
      <c r="AD161" s="188"/>
      <c r="AE161" s="188"/>
    </row>
    <row r="162" ht="14.25" customHeight="1">
      <c r="A162" s="186" t="s">
        <v>841</v>
      </c>
      <c r="B162" s="187" t="s">
        <v>842</v>
      </c>
      <c r="C162" s="186" t="s">
        <v>843</v>
      </c>
      <c r="D162" s="188"/>
      <c r="E162" s="188"/>
      <c r="F162" s="189" t="s">
        <v>844</v>
      </c>
      <c r="G162" s="188"/>
      <c r="H162" s="188"/>
      <c r="I162" s="188"/>
      <c r="J162" s="188"/>
      <c r="K162" s="188"/>
      <c r="L162" s="188"/>
      <c r="M162" s="188"/>
      <c r="N162" s="188"/>
      <c r="O162" s="188"/>
      <c r="P162" s="188"/>
      <c r="Q162" s="188"/>
      <c r="R162" s="188"/>
      <c r="S162" s="188"/>
      <c r="T162" s="188"/>
      <c r="U162" s="190"/>
      <c r="V162" s="190"/>
      <c r="W162" s="190"/>
      <c r="X162" s="188"/>
      <c r="Y162" s="188"/>
      <c r="Z162" s="190"/>
      <c r="AA162" s="188"/>
      <c r="AB162" s="188"/>
      <c r="AC162" s="188"/>
      <c r="AD162" s="188"/>
      <c r="AE162" s="188"/>
    </row>
    <row r="163" ht="14.25" customHeight="1">
      <c r="A163" s="186" t="s">
        <v>845</v>
      </c>
      <c r="B163" s="187" t="s">
        <v>846</v>
      </c>
      <c r="C163" s="186" t="s">
        <v>847</v>
      </c>
      <c r="D163" s="188"/>
      <c r="E163" s="188"/>
      <c r="F163" s="189" t="s">
        <v>848</v>
      </c>
      <c r="G163" s="188"/>
      <c r="H163" s="188"/>
      <c r="I163" s="188"/>
      <c r="J163" s="188"/>
      <c r="K163" s="188"/>
      <c r="L163" s="188"/>
      <c r="M163" s="188"/>
      <c r="N163" s="188"/>
      <c r="O163" s="188"/>
      <c r="P163" s="188"/>
      <c r="Q163" s="188"/>
      <c r="R163" s="188"/>
      <c r="S163" s="188"/>
      <c r="T163" s="188"/>
      <c r="U163" s="190"/>
      <c r="V163" s="190"/>
      <c r="W163" s="190"/>
      <c r="X163" s="188"/>
      <c r="Y163" s="188"/>
      <c r="Z163" s="190"/>
      <c r="AA163" s="188"/>
      <c r="AB163" s="188"/>
      <c r="AC163" s="188"/>
      <c r="AD163" s="188"/>
      <c r="AE163" s="188"/>
    </row>
    <row r="164" ht="14.25" customHeight="1">
      <c r="A164" s="186" t="s">
        <v>849</v>
      </c>
      <c r="B164" s="187" t="s">
        <v>850</v>
      </c>
      <c r="C164" s="186" t="s">
        <v>851</v>
      </c>
      <c r="D164" s="188"/>
      <c r="E164" s="188"/>
      <c r="F164" s="189" t="s">
        <v>852</v>
      </c>
      <c r="G164" s="188"/>
      <c r="H164" s="188"/>
      <c r="I164" s="188"/>
      <c r="J164" s="188"/>
      <c r="K164" s="188"/>
      <c r="L164" s="188"/>
      <c r="M164" s="188"/>
      <c r="N164" s="188"/>
      <c r="O164" s="188"/>
      <c r="P164" s="188"/>
      <c r="Q164" s="188"/>
      <c r="R164" s="188"/>
      <c r="S164" s="188"/>
      <c r="T164" s="188"/>
      <c r="U164" s="190"/>
      <c r="V164" s="190"/>
      <c r="W164" s="190"/>
      <c r="X164" s="188"/>
      <c r="Y164" s="188"/>
      <c r="Z164" s="190"/>
      <c r="AA164" s="188"/>
      <c r="AB164" s="188"/>
      <c r="AC164" s="188"/>
      <c r="AD164" s="188"/>
      <c r="AE164" s="188"/>
    </row>
    <row r="165" ht="14.25" customHeight="1">
      <c r="A165" s="186" t="s">
        <v>853</v>
      </c>
      <c r="B165" s="187" t="s">
        <v>854</v>
      </c>
      <c r="C165" s="186" t="s">
        <v>855</v>
      </c>
      <c r="D165" s="188"/>
      <c r="E165" s="188"/>
      <c r="F165" s="189" t="s">
        <v>856</v>
      </c>
      <c r="G165" s="188"/>
      <c r="H165" s="188"/>
      <c r="I165" s="188"/>
      <c r="J165" s="188"/>
      <c r="K165" s="188"/>
      <c r="L165" s="188"/>
      <c r="M165" s="188"/>
      <c r="N165" s="188"/>
      <c r="O165" s="188"/>
      <c r="P165" s="188"/>
      <c r="Q165" s="188"/>
      <c r="R165" s="188"/>
      <c r="S165" s="188"/>
      <c r="T165" s="188"/>
      <c r="U165" s="190"/>
      <c r="V165" s="190"/>
      <c r="W165" s="190"/>
      <c r="X165" s="188"/>
      <c r="Y165" s="188"/>
      <c r="Z165" s="190"/>
      <c r="AA165" s="188"/>
      <c r="AB165" s="188"/>
      <c r="AC165" s="188"/>
      <c r="AD165" s="188"/>
      <c r="AE165" s="188"/>
    </row>
    <row r="166" ht="14.25" customHeight="1">
      <c r="A166" s="186" t="s">
        <v>857</v>
      </c>
      <c r="B166" s="187" t="s">
        <v>858</v>
      </c>
      <c r="C166" s="186" t="s">
        <v>859</v>
      </c>
      <c r="D166" s="188"/>
      <c r="E166" s="188"/>
      <c r="F166" s="189" t="s">
        <v>860</v>
      </c>
      <c r="G166" s="188"/>
      <c r="H166" s="188"/>
      <c r="I166" s="188"/>
      <c r="J166" s="188"/>
      <c r="K166" s="188"/>
      <c r="L166" s="188"/>
      <c r="M166" s="188"/>
      <c r="N166" s="188"/>
      <c r="O166" s="188"/>
      <c r="P166" s="188"/>
      <c r="Q166" s="188"/>
      <c r="R166" s="188"/>
      <c r="S166" s="188"/>
      <c r="T166" s="188"/>
      <c r="U166" s="190"/>
      <c r="V166" s="190"/>
      <c r="W166" s="190"/>
      <c r="X166" s="188"/>
      <c r="Y166" s="188"/>
      <c r="Z166" s="190"/>
      <c r="AA166" s="188"/>
      <c r="AB166" s="188"/>
      <c r="AC166" s="188"/>
      <c r="AD166" s="188"/>
      <c r="AE166" s="188"/>
    </row>
    <row r="167" ht="14.25" customHeight="1">
      <c r="A167" s="186" t="s">
        <v>861</v>
      </c>
      <c r="B167" s="187" t="s">
        <v>862</v>
      </c>
      <c r="C167" s="186" t="s">
        <v>863</v>
      </c>
      <c r="D167" s="188"/>
      <c r="E167" s="188"/>
      <c r="F167" s="189" t="s">
        <v>864</v>
      </c>
      <c r="G167" s="188"/>
      <c r="H167" s="188"/>
      <c r="I167" s="188"/>
      <c r="J167" s="188"/>
      <c r="K167" s="188"/>
      <c r="L167" s="188"/>
      <c r="M167" s="188"/>
      <c r="N167" s="188"/>
      <c r="O167" s="188"/>
      <c r="P167" s="188"/>
      <c r="Q167" s="188"/>
      <c r="R167" s="188"/>
      <c r="S167" s="188"/>
      <c r="T167" s="188"/>
      <c r="U167" s="190"/>
      <c r="V167" s="190"/>
      <c r="W167" s="190"/>
      <c r="X167" s="188"/>
      <c r="Y167" s="188"/>
      <c r="Z167" s="190"/>
      <c r="AA167" s="188"/>
      <c r="AB167" s="188"/>
      <c r="AC167" s="188"/>
      <c r="AD167" s="188"/>
      <c r="AE167" s="188"/>
    </row>
    <row r="168" ht="14.25" customHeight="1">
      <c r="A168" s="186" t="s">
        <v>865</v>
      </c>
      <c r="B168" s="187" t="s">
        <v>866</v>
      </c>
      <c r="C168" s="186" t="s">
        <v>867</v>
      </c>
      <c r="D168" s="188"/>
      <c r="E168" s="188"/>
      <c r="F168" s="189" t="s">
        <v>868</v>
      </c>
      <c r="G168" s="188"/>
      <c r="H168" s="188"/>
      <c r="I168" s="188"/>
      <c r="J168" s="188"/>
      <c r="K168" s="188"/>
      <c r="L168" s="188"/>
      <c r="M168" s="188"/>
      <c r="N168" s="188"/>
      <c r="O168" s="188"/>
      <c r="P168" s="188"/>
      <c r="Q168" s="188"/>
      <c r="R168" s="188"/>
      <c r="S168" s="188"/>
      <c r="T168" s="188"/>
      <c r="U168" s="190"/>
      <c r="V168" s="190"/>
      <c r="W168" s="190"/>
      <c r="X168" s="188"/>
      <c r="Y168" s="188"/>
      <c r="Z168" s="190"/>
      <c r="AA168" s="188"/>
      <c r="AB168" s="188"/>
      <c r="AC168" s="188"/>
      <c r="AD168" s="188"/>
      <c r="AE168" s="188"/>
    </row>
    <row r="169" ht="14.25" customHeight="1">
      <c r="A169" s="186" t="s">
        <v>869</v>
      </c>
      <c r="B169" s="187" t="s">
        <v>870</v>
      </c>
      <c r="C169" s="186" t="s">
        <v>871</v>
      </c>
      <c r="D169" s="188"/>
      <c r="E169" s="188"/>
      <c r="F169" s="189" t="s">
        <v>872</v>
      </c>
      <c r="G169" s="188"/>
      <c r="H169" s="188"/>
      <c r="I169" s="188"/>
      <c r="J169" s="188"/>
      <c r="K169" s="188"/>
      <c r="L169" s="188"/>
      <c r="M169" s="188"/>
      <c r="N169" s="188"/>
      <c r="O169" s="188"/>
      <c r="P169" s="188"/>
      <c r="Q169" s="188"/>
      <c r="R169" s="188"/>
      <c r="S169" s="188"/>
      <c r="T169" s="188"/>
      <c r="U169" s="190"/>
      <c r="V169" s="190"/>
      <c r="W169" s="190"/>
      <c r="X169" s="188"/>
      <c r="Y169" s="188"/>
      <c r="Z169" s="190"/>
      <c r="AA169" s="188"/>
      <c r="AB169" s="188"/>
      <c r="AC169" s="188"/>
      <c r="AD169" s="188"/>
      <c r="AE169" s="188"/>
    </row>
    <row r="170" ht="14.25" customHeight="1">
      <c r="A170" s="186" t="s">
        <v>873</v>
      </c>
      <c r="B170" s="187" t="s">
        <v>874</v>
      </c>
      <c r="C170" s="186" t="s">
        <v>875</v>
      </c>
      <c r="D170" s="188"/>
      <c r="E170" s="188"/>
      <c r="F170" s="189" t="s">
        <v>876</v>
      </c>
      <c r="G170" s="188"/>
      <c r="H170" s="188"/>
      <c r="I170" s="188"/>
      <c r="J170" s="188"/>
      <c r="K170" s="188"/>
      <c r="L170" s="188"/>
      <c r="M170" s="188"/>
      <c r="N170" s="188"/>
      <c r="O170" s="188"/>
      <c r="P170" s="188"/>
      <c r="Q170" s="188"/>
      <c r="R170" s="188"/>
      <c r="S170" s="188"/>
      <c r="T170" s="188"/>
      <c r="U170" s="190"/>
      <c r="V170" s="190"/>
      <c r="W170" s="190"/>
      <c r="X170" s="188"/>
      <c r="Y170" s="188"/>
      <c r="Z170" s="190"/>
      <c r="AA170" s="188"/>
      <c r="AB170" s="188"/>
      <c r="AC170" s="188"/>
      <c r="AD170" s="188"/>
      <c r="AE170" s="188"/>
    </row>
    <row r="171" ht="14.25" customHeight="1">
      <c r="A171" s="186" t="s">
        <v>877</v>
      </c>
      <c r="B171" s="187" t="s">
        <v>878</v>
      </c>
      <c r="C171" s="186" t="s">
        <v>879</v>
      </c>
      <c r="D171" s="188"/>
      <c r="E171" s="188"/>
      <c r="F171" s="189" t="s">
        <v>880</v>
      </c>
      <c r="G171" s="188"/>
      <c r="H171" s="188"/>
      <c r="I171" s="188"/>
      <c r="J171" s="188"/>
      <c r="K171" s="188"/>
      <c r="L171" s="188"/>
      <c r="M171" s="188"/>
      <c r="N171" s="188"/>
      <c r="O171" s="188"/>
      <c r="P171" s="188"/>
      <c r="Q171" s="188"/>
      <c r="R171" s="188"/>
      <c r="S171" s="188"/>
      <c r="T171" s="188"/>
      <c r="U171" s="190"/>
      <c r="V171" s="190"/>
      <c r="W171" s="190"/>
      <c r="X171" s="188"/>
      <c r="Y171" s="188"/>
      <c r="Z171" s="190"/>
      <c r="AA171" s="188"/>
      <c r="AB171" s="188"/>
      <c r="AC171" s="188"/>
      <c r="AD171" s="188"/>
      <c r="AE171" s="188"/>
    </row>
    <row r="172" ht="14.25" customHeight="1">
      <c r="A172" s="186" t="s">
        <v>881</v>
      </c>
      <c r="B172" s="187" t="s">
        <v>882</v>
      </c>
      <c r="C172" s="186" t="s">
        <v>883</v>
      </c>
      <c r="D172" s="188"/>
      <c r="E172" s="188"/>
      <c r="F172" s="189" t="s">
        <v>884</v>
      </c>
      <c r="G172" s="188"/>
      <c r="H172" s="188"/>
      <c r="I172" s="188"/>
      <c r="J172" s="188"/>
      <c r="K172" s="188"/>
      <c r="L172" s="188"/>
      <c r="M172" s="188"/>
      <c r="N172" s="188"/>
      <c r="O172" s="188"/>
      <c r="P172" s="188"/>
      <c r="Q172" s="188"/>
      <c r="R172" s="188"/>
      <c r="S172" s="188"/>
      <c r="T172" s="188"/>
      <c r="U172" s="190"/>
      <c r="V172" s="190"/>
      <c r="W172" s="190"/>
      <c r="X172" s="188"/>
      <c r="Y172" s="188"/>
      <c r="Z172" s="190"/>
      <c r="AA172" s="188"/>
      <c r="AB172" s="188"/>
      <c r="AC172" s="188"/>
      <c r="AD172" s="188"/>
      <c r="AE172" s="188"/>
    </row>
    <row r="173" ht="14.25" customHeight="1">
      <c r="A173" s="186" t="s">
        <v>885</v>
      </c>
      <c r="B173" s="187" t="s">
        <v>886</v>
      </c>
      <c r="C173" s="186" t="s">
        <v>887</v>
      </c>
      <c r="D173" s="188"/>
      <c r="E173" s="188"/>
      <c r="F173" s="189" t="s">
        <v>888</v>
      </c>
      <c r="G173" s="188"/>
      <c r="H173" s="188"/>
      <c r="I173" s="188"/>
      <c r="J173" s="188"/>
      <c r="K173" s="188"/>
      <c r="L173" s="188"/>
      <c r="M173" s="188"/>
      <c r="N173" s="188"/>
      <c r="O173" s="188"/>
      <c r="P173" s="188"/>
      <c r="Q173" s="188"/>
      <c r="R173" s="188"/>
      <c r="S173" s="188"/>
      <c r="T173" s="188"/>
      <c r="U173" s="190"/>
      <c r="V173" s="190"/>
      <c r="W173" s="190"/>
      <c r="X173" s="188"/>
      <c r="Y173" s="188"/>
      <c r="Z173" s="190"/>
      <c r="AA173" s="188"/>
      <c r="AB173" s="188"/>
      <c r="AC173" s="188"/>
      <c r="AD173" s="188"/>
      <c r="AE173" s="188"/>
    </row>
    <row r="174" ht="14.25" customHeight="1">
      <c r="A174" s="186" t="s">
        <v>889</v>
      </c>
      <c r="B174" s="187" t="s">
        <v>890</v>
      </c>
      <c r="C174" s="186" t="s">
        <v>891</v>
      </c>
      <c r="D174" s="188"/>
      <c r="E174" s="188"/>
      <c r="F174" s="189" t="s">
        <v>892</v>
      </c>
      <c r="G174" s="188"/>
      <c r="H174" s="188"/>
      <c r="I174" s="188"/>
      <c r="J174" s="188"/>
      <c r="K174" s="188"/>
      <c r="L174" s="188"/>
      <c r="M174" s="188"/>
      <c r="N174" s="188"/>
      <c r="O174" s="188"/>
      <c r="P174" s="188"/>
      <c r="Q174" s="188"/>
      <c r="R174" s="188"/>
      <c r="S174" s="188"/>
      <c r="T174" s="188"/>
      <c r="U174" s="190"/>
      <c r="V174" s="190"/>
      <c r="W174" s="190"/>
      <c r="X174" s="188"/>
      <c r="Y174" s="188"/>
      <c r="Z174" s="190"/>
      <c r="AA174" s="188"/>
      <c r="AB174" s="188"/>
      <c r="AC174" s="188"/>
      <c r="AD174" s="188"/>
      <c r="AE174" s="188"/>
    </row>
    <row r="175" ht="14.25" customHeight="1">
      <c r="A175" s="186" t="s">
        <v>893</v>
      </c>
      <c r="B175" s="187" t="s">
        <v>894</v>
      </c>
      <c r="C175" s="186" t="s">
        <v>895</v>
      </c>
      <c r="D175" s="188"/>
      <c r="E175" s="188"/>
      <c r="F175" s="189" t="s">
        <v>896</v>
      </c>
      <c r="G175" s="188"/>
      <c r="H175" s="188"/>
      <c r="I175" s="188"/>
      <c r="J175" s="188"/>
      <c r="K175" s="188"/>
      <c r="L175" s="188"/>
      <c r="M175" s="188"/>
      <c r="N175" s="188"/>
      <c r="O175" s="188"/>
      <c r="P175" s="188"/>
      <c r="Q175" s="188"/>
      <c r="R175" s="188"/>
      <c r="S175" s="188"/>
      <c r="T175" s="188"/>
      <c r="U175" s="190"/>
      <c r="V175" s="190"/>
      <c r="W175" s="190"/>
      <c r="X175" s="188"/>
      <c r="Y175" s="188"/>
      <c r="Z175" s="190"/>
      <c r="AA175" s="188"/>
      <c r="AB175" s="188"/>
      <c r="AC175" s="188"/>
      <c r="AD175" s="188"/>
      <c r="AE175" s="188"/>
    </row>
    <row r="176" ht="14.25" customHeight="1">
      <c r="A176" s="186" t="s">
        <v>897</v>
      </c>
      <c r="B176" s="187" t="s">
        <v>898</v>
      </c>
      <c r="C176" s="186" t="s">
        <v>899</v>
      </c>
      <c r="D176" s="188"/>
      <c r="E176" s="188"/>
      <c r="F176" s="189" t="s">
        <v>900</v>
      </c>
      <c r="G176" s="188"/>
      <c r="H176" s="188"/>
      <c r="I176" s="188"/>
      <c r="J176" s="188"/>
      <c r="K176" s="188"/>
      <c r="L176" s="188"/>
      <c r="M176" s="188"/>
      <c r="N176" s="188"/>
      <c r="O176" s="188"/>
      <c r="P176" s="188"/>
      <c r="Q176" s="188"/>
      <c r="R176" s="188"/>
      <c r="S176" s="188"/>
      <c r="T176" s="188"/>
      <c r="U176" s="190"/>
      <c r="V176" s="190"/>
      <c r="W176" s="190"/>
      <c r="X176" s="188"/>
      <c r="Y176" s="188"/>
      <c r="Z176" s="190"/>
      <c r="AA176" s="188"/>
      <c r="AB176" s="188"/>
      <c r="AC176" s="188"/>
      <c r="AD176" s="188"/>
      <c r="AE176" s="188"/>
    </row>
    <row r="177" ht="14.25" customHeight="1">
      <c r="A177" s="186" t="s">
        <v>901</v>
      </c>
      <c r="B177" s="187" t="s">
        <v>902</v>
      </c>
      <c r="C177" s="186" t="s">
        <v>903</v>
      </c>
      <c r="D177" s="188"/>
      <c r="E177" s="188"/>
      <c r="F177" s="189" t="s">
        <v>904</v>
      </c>
      <c r="G177" s="188"/>
      <c r="H177" s="188"/>
      <c r="I177" s="188"/>
      <c r="J177" s="188"/>
      <c r="K177" s="188"/>
      <c r="L177" s="188"/>
      <c r="M177" s="188"/>
      <c r="N177" s="188"/>
      <c r="O177" s="188"/>
      <c r="P177" s="188"/>
      <c r="Q177" s="188"/>
      <c r="R177" s="188"/>
      <c r="S177" s="188"/>
      <c r="T177" s="188"/>
      <c r="U177" s="190"/>
      <c r="V177" s="190"/>
      <c r="W177" s="190"/>
      <c r="X177" s="188"/>
      <c r="Y177" s="188"/>
      <c r="Z177" s="190"/>
      <c r="AA177" s="188"/>
      <c r="AB177" s="188"/>
      <c r="AC177" s="188"/>
      <c r="AD177" s="188"/>
      <c r="AE177" s="188"/>
    </row>
    <row r="178" ht="14.25" customHeight="1">
      <c r="A178" s="186" t="s">
        <v>905</v>
      </c>
      <c r="B178" s="187" t="s">
        <v>906</v>
      </c>
      <c r="C178" s="186" t="s">
        <v>907</v>
      </c>
      <c r="D178" s="188"/>
      <c r="E178" s="188"/>
      <c r="F178" s="189" t="s">
        <v>908</v>
      </c>
      <c r="G178" s="188"/>
      <c r="H178" s="188"/>
      <c r="I178" s="188"/>
      <c r="J178" s="188"/>
      <c r="K178" s="188"/>
      <c r="L178" s="188"/>
      <c r="M178" s="188"/>
      <c r="N178" s="188"/>
      <c r="O178" s="188"/>
      <c r="P178" s="188"/>
      <c r="Q178" s="188"/>
      <c r="R178" s="188"/>
      <c r="S178" s="188"/>
      <c r="T178" s="188"/>
      <c r="U178" s="190"/>
      <c r="V178" s="190"/>
      <c r="W178" s="190"/>
      <c r="X178" s="188"/>
      <c r="Y178" s="188"/>
      <c r="Z178" s="190"/>
      <c r="AA178" s="188"/>
      <c r="AB178" s="188"/>
      <c r="AC178" s="188"/>
      <c r="AD178" s="188"/>
      <c r="AE178" s="188"/>
    </row>
    <row r="179" ht="14.25" customHeight="1">
      <c r="A179" s="186" t="s">
        <v>909</v>
      </c>
      <c r="B179" s="187" t="s">
        <v>910</v>
      </c>
      <c r="C179" s="186" t="s">
        <v>911</v>
      </c>
      <c r="D179" s="188"/>
      <c r="E179" s="188"/>
      <c r="F179" s="189" t="s">
        <v>912</v>
      </c>
      <c r="G179" s="188"/>
      <c r="H179" s="188"/>
      <c r="I179" s="188"/>
      <c r="J179" s="188"/>
      <c r="K179" s="188"/>
      <c r="L179" s="188"/>
      <c r="M179" s="188"/>
      <c r="N179" s="188"/>
      <c r="O179" s="188"/>
      <c r="P179" s="188"/>
      <c r="Q179" s="188"/>
      <c r="R179" s="188"/>
      <c r="S179" s="188"/>
      <c r="T179" s="188"/>
      <c r="U179" s="190"/>
      <c r="V179" s="190"/>
      <c r="W179" s="190"/>
      <c r="X179" s="188"/>
      <c r="Y179" s="188"/>
      <c r="Z179" s="190"/>
      <c r="AA179" s="188"/>
      <c r="AB179" s="188"/>
      <c r="AC179" s="188"/>
      <c r="AD179" s="188"/>
      <c r="AE179" s="188"/>
    </row>
    <row r="180" ht="14.25" customHeight="1">
      <c r="A180" s="186" t="s">
        <v>913</v>
      </c>
      <c r="B180" s="187" t="s">
        <v>914</v>
      </c>
      <c r="C180" s="186" t="s">
        <v>915</v>
      </c>
      <c r="D180" s="188"/>
      <c r="E180" s="188"/>
      <c r="F180" s="189" t="s">
        <v>916</v>
      </c>
      <c r="G180" s="188"/>
      <c r="H180" s="188"/>
      <c r="I180" s="188"/>
      <c r="J180" s="188"/>
      <c r="K180" s="188"/>
      <c r="L180" s="188"/>
      <c r="M180" s="188"/>
      <c r="N180" s="188"/>
      <c r="O180" s="188"/>
      <c r="P180" s="188"/>
      <c r="Q180" s="188"/>
      <c r="R180" s="188"/>
      <c r="S180" s="188"/>
      <c r="T180" s="188"/>
      <c r="U180" s="190"/>
      <c r="V180" s="190"/>
      <c r="W180" s="190"/>
      <c r="X180" s="188"/>
      <c r="Y180" s="188"/>
      <c r="Z180" s="190"/>
      <c r="AA180" s="188"/>
      <c r="AB180" s="188"/>
      <c r="AC180" s="188"/>
      <c r="AD180" s="188"/>
      <c r="AE180" s="188"/>
    </row>
    <row r="181" ht="14.25" customHeight="1">
      <c r="A181" s="186" t="s">
        <v>917</v>
      </c>
      <c r="B181" s="187" t="s">
        <v>918</v>
      </c>
      <c r="C181" s="186" t="s">
        <v>919</v>
      </c>
      <c r="D181" s="188"/>
      <c r="E181" s="188"/>
      <c r="F181" s="189" t="s">
        <v>920</v>
      </c>
      <c r="G181" s="188"/>
      <c r="H181" s="188"/>
      <c r="I181" s="188"/>
      <c r="J181" s="188"/>
      <c r="K181" s="188"/>
      <c r="L181" s="188"/>
      <c r="M181" s="188"/>
      <c r="N181" s="188"/>
      <c r="O181" s="188"/>
      <c r="P181" s="188"/>
      <c r="Q181" s="188"/>
      <c r="R181" s="188"/>
      <c r="S181" s="188"/>
      <c r="T181" s="188"/>
      <c r="U181" s="190"/>
      <c r="V181" s="190"/>
      <c r="W181" s="190"/>
      <c r="X181" s="188"/>
      <c r="Y181" s="188"/>
      <c r="Z181" s="190"/>
      <c r="AA181" s="188"/>
      <c r="AB181" s="188"/>
      <c r="AC181" s="188"/>
      <c r="AD181" s="188"/>
      <c r="AE181" s="188"/>
    </row>
    <row r="182" ht="14.25" customHeight="1">
      <c r="A182" s="186" t="s">
        <v>921</v>
      </c>
      <c r="B182" s="187" t="s">
        <v>922</v>
      </c>
      <c r="C182" s="186" t="s">
        <v>923</v>
      </c>
      <c r="D182" s="188"/>
      <c r="E182" s="188"/>
      <c r="F182" s="189" t="s">
        <v>924</v>
      </c>
      <c r="G182" s="188"/>
      <c r="H182" s="188"/>
      <c r="I182" s="188"/>
      <c r="J182" s="188"/>
      <c r="K182" s="188"/>
      <c r="L182" s="188"/>
      <c r="M182" s="188"/>
      <c r="N182" s="188"/>
      <c r="O182" s="188"/>
      <c r="P182" s="188"/>
      <c r="Q182" s="188"/>
      <c r="R182" s="188"/>
      <c r="S182" s="188"/>
      <c r="T182" s="188"/>
      <c r="U182" s="190"/>
      <c r="V182" s="190"/>
      <c r="W182" s="190"/>
      <c r="X182" s="188"/>
      <c r="Y182" s="188"/>
      <c r="Z182" s="190"/>
      <c r="AA182" s="188"/>
      <c r="AB182" s="188"/>
      <c r="AC182" s="188"/>
      <c r="AD182" s="188"/>
      <c r="AE182" s="188"/>
    </row>
    <row r="183" ht="14.25" customHeight="1">
      <c r="A183" s="186" t="s">
        <v>925</v>
      </c>
      <c r="B183" s="187" t="s">
        <v>926</v>
      </c>
      <c r="C183" s="186" t="s">
        <v>927</v>
      </c>
      <c r="D183" s="188"/>
      <c r="E183" s="188"/>
      <c r="F183" s="189" t="s">
        <v>928</v>
      </c>
      <c r="G183" s="188"/>
      <c r="H183" s="188"/>
      <c r="I183" s="188"/>
      <c r="J183" s="188"/>
      <c r="K183" s="188"/>
      <c r="L183" s="188"/>
      <c r="M183" s="188"/>
      <c r="N183" s="188"/>
      <c r="O183" s="188"/>
      <c r="P183" s="188"/>
      <c r="Q183" s="188"/>
      <c r="R183" s="188"/>
      <c r="S183" s="188"/>
      <c r="T183" s="188"/>
      <c r="U183" s="190"/>
      <c r="V183" s="190"/>
      <c r="W183" s="190"/>
      <c r="X183" s="188"/>
      <c r="Y183" s="188"/>
      <c r="Z183" s="190"/>
      <c r="AA183" s="188"/>
      <c r="AB183" s="188"/>
      <c r="AC183" s="188"/>
      <c r="AD183" s="188"/>
      <c r="AE183" s="188"/>
    </row>
    <row r="184" ht="14.25" customHeight="1">
      <c r="A184" s="186" t="s">
        <v>929</v>
      </c>
      <c r="B184" s="187" t="s">
        <v>930</v>
      </c>
      <c r="C184" s="186" t="s">
        <v>931</v>
      </c>
      <c r="D184" s="188"/>
      <c r="E184" s="188"/>
      <c r="F184" s="189" t="s">
        <v>932</v>
      </c>
      <c r="G184" s="188"/>
      <c r="H184" s="188"/>
      <c r="I184" s="188"/>
      <c r="J184" s="188"/>
      <c r="K184" s="188"/>
      <c r="L184" s="188"/>
      <c r="M184" s="188"/>
      <c r="N184" s="188"/>
      <c r="O184" s="188"/>
      <c r="P184" s="188"/>
      <c r="Q184" s="188"/>
      <c r="R184" s="188"/>
      <c r="S184" s="188"/>
      <c r="T184" s="188"/>
      <c r="U184" s="190"/>
      <c r="V184" s="190"/>
      <c r="W184" s="190"/>
      <c r="X184" s="188"/>
      <c r="Y184" s="188"/>
      <c r="Z184" s="190"/>
      <c r="AA184" s="188"/>
      <c r="AB184" s="188"/>
      <c r="AC184" s="188"/>
      <c r="AD184" s="188"/>
      <c r="AE184" s="188"/>
    </row>
    <row r="185" ht="14.25" customHeight="1">
      <c r="A185" s="186" t="s">
        <v>933</v>
      </c>
      <c r="B185" s="187" t="s">
        <v>934</v>
      </c>
      <c r="C185" s="186" t="s">
        <v>935</v>
      </c>
      <c r="D185" s="188"/>
      <c r="E185" s="188"/>
      <c r="F185" s="189" t="s">
        <v>936</v>
      </c>
      <c r="G185" s="188"/>
      <c r="H185" s="188"/>
      <c r="I185" s="188"/>
      <c r="J185" s="188"/>
      <c r="K185" s="188"/>
      <c r="L185" s="188"/>
      <c r="M185" s="188"/>
      <c r="N185" s="188"/>
      <c r="O185" s="188"/>
      <c r="P185" s="188"/>
      <c r="Q185" s="188"/>
      <c r="R185" s="188"/>
      <c r="S185" s="188"/>
      <c r="T185" s="188"/>
      <c r="U185" s="190"/>
      <c r="V185" s="190"/>
      <c r="W185" s="190"/>
      <c r="X185" s="188"/>
      <c r="Y185" s="188"/>
      <c r="Z185" s="190"/>
      <c r="AA185" s="188"/>
      <c r="AB185" s="188"/>
      <c r="AC185" s="188"/>
      <c r="AD185" s="188"/>
      <c r="AE185" s="188"/>
    </row>
    <row r="186" ht="14.25" customHeight="1">
      <c r="A186" s="186" t="s">
        <v>937</v>
      </c>
      <c r="B186" s="187" t="s">
        <v>938</v>
      </c>
      <c r="C186" s="186" t="s">
        <v>939</v>
      </c>
      <c r="D186" s="188"/>
      <c r="E186" s="188"/>
      <c r="F186" s="189" t="s">
        <v>940</v>
      </c>
      <c r="G186" s="188"/>
      <c r="H186" s="188"/>
      <c r="I186" s="188"/>
      <c r="J186" s="188"/>
      <c r="K186" s="188"/>
      <c r="L186" s="188"/>
      <c r="M186" s="188"/>
      <c r="N186" s="188"/>
      <c r="O186" s="188"/>
      <c r="P186" s="188"/>
      <c r="Q186" s="188"/>
      <c r="R186" s="188"/>
      <c r="S186" s="188"/>
      <c r="T186" s="188"/>
      <c r="U186" s="190"/>
      <c r="V186" s="190"/>
      <c r="W186" s="190"/>
      <c r="X186" s="188"/>
      <c r="Y186" s="188"/>
      <c r="Z186" s="190"/>
      <c r="AA186" s="188"/>
      <c r="AB186" s="188"/>
      <c r="AC186" s="188"/>
      <c r="AD186" s="188"/>
      <c r="AE186" s="188"/>
    </row>
    <row r="187" ht="14.25" customHeight="1">
      <c r="A187" s="186" t="s">
        <v>941</v>
      </c>
      <c r="B187" s="187" t="s">
        <v>942</v>
      </c>
      <c r="C187" s="186" t="s">
        <v>943</v>
      </c>
      <c r="D187" s="188"/>
      <c r="E187" s="188"/>
      <c r="F187" s="189" t="s">
        <v>944</v>
      </c>
      <c r="G187" s="188"/>
      <c r="H187" s="188"/>
      <c r="I187" s="188"/>
      <c r="J187" s="188"/>
      <c r="K187" s="188"/>
      <c r="L187" s="188"/>
      <c r="M187" s="188"/>
      <c r="N187" s="188"/>
      <c r="O187" s="188"/>
      <c r="P187" s="188"/>
      <c r="Q187" s="188"/>
      <c r="R187" s="188"/>
      <c r="S187" s="188"/>
      <c r="T187" s="188"/>
      <c r="U187" s="190"/>
      <c r="V187" s="190"/>
      <c r="W187" s="190"/>
      <c r="X187" s="188"/>
      <c r="Y187" s="188"/>
      <c r="Z187" s="190"/>
      <c r="AA187" s="188"/>
      <c r="AB187" s="188"/>
      <c r="AC187" s="188"/>
      <c r="AD187" s="188"/>
      <c r="AE187" s="188"/>
    </row>
    <row r="188" ht="14.25" customHeight="1">
      <c r="A188" s="186" t="s">
        <v>945</v>
      </c>
      <c r="B188" s="187" t="s">
        <v>946</v>
      </c>
      <c r="C188" s="186" t="s">
        <v>947</v>
      </c>
      <c r="D188" s="188"/>
      <c r="E188" s="188"/>
      <c r="F188" s="189" t="s">
        <v>948</v>
      </c>
      <c r="G188" s="188"/>
      <c r="H188" s="188"/>
      <c r="I188" s="188"/>
      <c r="J188" s="188"/>
      <c r="K188" s="188"/>
      <c r="L188" s="188"/>
      <c r="M188" s="188"/>
      <c r="N188" s="188"/>
      <c r="O188" s="188"/>
      <c r="P188" s="188"/>
      <c r="Q188" s="188"/>
      <c r="R188" s="188"/>
      <c r="S188" s="188"/>
      <c r="T188" s="188"/>
      <c r="U188" s="190"/>
      <c r="V188" s="190"/>
      <c r="W188" s="190"/>
      <c r="X188" s="188"/>
      <c r="Y188" s="188"/>
      <c r="Z188" s="190"/>
      <c r="AA188" s="188"/>
      <c r="AB188" s="188"/>
      <c r="AC188" s="188"/>
      <c r="AD188" s="188"/>
      <c r="AE188" s="188"/>
    </row>
    <row r="189" ht="14.25" customHeight="1">
      <c r="A189" s="186" t="s">
        <v>949</v>
      </c>
      <c r="B189" s="187" t="s">
        <v>950</v>
      </c>
      <c r="C189" s="186" t="s">
        <v>951</v>
      </c>
      <c r="D189" s="188"/>
      <c r="E189" s="188"/>
      <c r="F189" s="189" t="s">
        <v>952</v>
      </c>
      <c r="G189" s="188"/>
      <c r="H189" s="188"/>
      <c r="I189" s="188"/>
      <c r="J189" s="188"/>
      <c r="K189" s="188"/>
      <c r="L189" s="188"/>
      <c r="M189" s="188"/>
      <c r="N189" s="188"/>
      <c r="O189" s="188"/>
      <c r="P189" s="188"/>
      <c r="Q189" s="188"/>
      <c r="R189" s="188"/>
      <c r="S189" s="188"/>
      <c r="T189" s="188"/>
      <c r="U189" s="190"/>
      <c r="V189" s="190"/>
      <c r="W189" s="190"/>
      <c r="X189" s="188"/>
      <c r="Y189" s="188"/>
      <c r="Z189" s="190"/>
      <c r="AA189" s="188"/>
      <c r="AB189" s="188"/>
      <c r="AC189" s="188"/>
      <c r="AD189" s="188"/>
      <c r="AE189" s="188"/>
    </row>
    <row r="190" ht="14.25" customHeight="1">
      <c r="A190" s="186" t="s">
        <v>953</v>
      </c>
      <c r="B190" s="187" t="s">
        <v>954</v>
      </c>
      <c r="C190" s="186" t="s">
        <v>955</v>
      </c>
      <c r="D190" s="188"/>
      <c r="E190" s="188"/>
      <c r="F190" s="189" t="s">
        <v>956</v>
      </c>
      <c r="G190" s="188"/>
      <c r="H190" s="188"/>
      <c r="I190" s="188"/>
      <c r="J190" s="188"/>
      <c r="K190" s="188"/>
      <c r="L190" s="188"/>
      <c r="M190" s="188"/>
      <c r="N190" s="188"/>
      <c r="O190" s="188"/>
      <c r="P190" s="188"/>
      <c r="Q190" s="188"/>
      <c r="R190" s="188"/>
      <c r="S190" s="188"/>
      <c r="T190" s="188"/>
      <c r="U190" s="190"/>
      <c r="V190" s="190"/>
      <c r="W190" s="190"/>
      <c r="X190" s="188"/>
      <c r="Y190" s="188"/>
      <c r="Z190" s="190"/>
      <c r="AA190" s="188"/>
      <c r="AB190" s="188"/>
      <c r="AC190" s="188"/>
      <c r="AD190" s="188"/>
      <c r="AE190" s="188"/>
    </row>
    <row r="191" ht="14.25" customHeight="1">
      <c r="A191" s="186" t="s">
        <v>957</v>
      </c>
      <c r="B191" s="187" t="s">
        <v>958</v>
      </c>
      <c r="C191" s="186" t="s">
        <v>959</v>
      </c>
      <c r="D191" s="188"/>
      <c r="E191" s="188"/>
      <c r="F191" s="189" t="s">
        <v>960</v>
      </c>
      <c r="G191" s="188"/>
      <c r="H191" s="188"/>
      <c r="I191" s="188"/>
      <c r="J191" s="188"/>
      <c r="K191" s="188"/>
      <c r="L191" s="188"/>
      <c r="M191" s="188"/>
      <c r="N191" s="188"/>
      <c r="O191" s="188"/>
      <c r="P191" s="188"/>
      <c r="Q191" s="188"/>
      <c r="R191" s="188"/>
      <c r="S191" s="188"/>
      <c r="T191" s="188"/>
      <c r="U191" s="190"/>
      <c r="V191" s="190"/>
      <c r="W191" s="190"/>
      <c r="X191" s="188"/>
      <c r="Y191" s="188"/>
      <c r="Z191" s="190"/>
      <c r="AA191" s="188"/>
      <c r="AB191" s="188"/>
      <c r="AC191" s="188"/>
      <c r="AD191" s="188"/>
      <c r="AE191" s="188"/>
    </row>
    <row r="192" ht="14.25" customHeight="1">
      <c r="A192" s="186" t="s">
        <v>961</v>
      </c>
      <c r="B192" s="187" t="s">
        <v>962</v>
      </c>
      <c r="C192" s="186" t="s">
        <v>963</v>
      </c>
      <c r="D192" s="188"/>
      <c r="E192" s="188"/>
      <c r="F192" s="189" t="s">
        <v>964</v>
      </c>
      <c r="G192" s="188"/>
      <c r="H192" s="188"/>
      <c r="I192" s="188"/>
      <c r="J192" s="188"/>
      <c r="K192" s="188"/>
      <c r="L192" s="188"/>
      <c r="M192" s="188"/>
      <c r="N192" s="188"/>
      <c r="O192" s="188"/>
      <c r="P192" s="188"/>
      <c r="Q192" s="188"/>
      <c r="R192" s="188"/>
      <c r="S192" s="188"/>
      <c r="T192" s="188"/>
      <c r="U192" s="190"/>
      <c r="V192" s="190"/>
      <c r="W192" s="190"/>
      <c r="X192" s="188"/>
      <c r="Y192" s="188"/>
      <c r="Z192" s="190"/>
      <c r="AA192" s="188"/>
      <c r="AB192" s="188"/>
      <c r="AC192" s="188"/>
      <c r="AD192" s="188"/>
      <c r="AE192" s="188"/>
    </row>
    <row r="193" ht="14.25" customHeight="1">
      <c r="A193" s="186" t="s">
        <v>965</v>
      </c>
      <c r="B193" s="187" t="s">
        <v>966</v>
      </c>
      <c r="C193" s="186" t="s">
        <v>967</v>
      </c>
      <c r="D193" s="188"/>
      <c r="E193" s="188"/>
      <c r="F193" s="189" t="s">
        <v>968</v>
      </c>
      <c r="G193" s="188"/>
      <c r="H193" s="188"/>
      <c r="I193" s="188"/>
      <c r="J193" s="188"/>
      <c r="K193" s="188"/>
      <c r="L193" s="188"/>
      <c r="M193" s="188"/>
      <c r="N193" s="188"/>
      <c r="O193" s="188"/>
      <c r="P193" s="188"/>
      <c r="Q193" s="188"/>
      <c r="R193" s="188"/>
      <c r="S193" s="188"/>
      <c r="T193" s="188"/>
      <c r="U193" s="190"/>
      <c r="V193" s="190"/>
      <c r="W193" s="190"/>
      <c r="X193" s="188"/>
      <c r="Y193" s="188"/>
      <c r="Z193" s="190"/>
      <c r="AA193" s="188"/>
      <c r="AB193" s="188"/>
      <c r="AC193" s="188"/>
      <c r="AD193" s="188"/>
      <c r="AE193" s="188"/>
    </row>
    <row r="194" ht="14.25" customHeight="1">
      <c r="A194" s="186" t="s">
        <v>969</v>
      </c>
      <c r="B194" s="187" t="s">
        <v>970</v>
      </c>
      <c r="C194" s="186" t="s">
        <v>971</v>
      </c>
      <c r="D194" s="188"/>
      <c r="E194" s="188"/>
      <c r="F194" s="189" t="s">
        <v>972</v>
      </c>
      <c r="G194" s="188"/>
      <c r="H194" s="188"/>
      <c r="I194" s="188"/>
      <c r="J194" s="188"/>
      <c r="K194" s="188"/>
      <c r="L194" s="188"/>
      <c r="M194" s="188"/>
      <c r="N194" s="188"/>
      <c r="O194" s="188"/>
      <c r="P194" s="188"/>
      <c r="Q194" s="188"/>
      <c r="R194" s="188"/>
      <c r="S194" s="188"/>
      <c r="T194" s="188"/>
      <c r="U194" s="190"/>
      <c r="V194" s="190"/>
      <c r="W194" s="190"/>
      <c r="X194" s="188"/>
      <c r="Y194" s="188"/>
      <c r="Z194" s="190"/>
      <c r="AA194" s="188"/>
      <c r="AB194" s="188"/>
      <c r="AC194" s="188"/>
      <c r="AD194" s="188"/>
      <c r="AE194" s="188"/>
    </row>
    <row r="195" ht="14.25" customHeight="1">
      <c r="A195" s="186" t="s">
        <v>973</v>
      </c>
      <c r="B195" s="187" t="s">
        <v>974</v>
      </c>
      <c r="C195" s="186" t="s">
        <v>975</v>
      </c>
      <c r="D195" s="188"/>
      <c r="E195" s="188"/>
      <c r="F195" s="189" t="s">
        <v>976</v>
      </c>
      <c r="G195" s="188"/>
      <c r="H195" s="188"/>
      <c r="I195" s="188"/>
      <c r="J195" s="188"/>
      <c r="K195" s="188"/>
      <c r="L195" s="188"/>
      <c r="M195" s="188"/>
      <c r="N195" s="188"/>
      <c r="O195" s="188"/>
      <c r="P195" s="188"/>
      <c r="Q195" s="188"/>
      <c r="R195" s="188"/>
      <c r="S195" s="188"/>
      <c r="T195" s="188"/>
      <c r="U195" s="190"/>
      <c r="V195" s="190"/>
      <c r="W195" s="190"/>
      <c r="X195" s="188"/>
      <c r="Y195" s="188"/>
      <c r="Z195" s="190"/>
      <c r="AA195" s="188"/>
      <c r="AB195" s="188"/>
      <c r="AC195" s="188"/>
      <c r="AD195" s="188"/>
      <c r="AE195" s="188"/>
    </row>
    <row r="196" ht="14.25" customHeight="1">
      <c r="A196" s="186" t="s">
        <v>977</v>
      </c>
      <c r="B196" s="187" t="s">
        <v>978</v>
      </c>
      <c r="C196" s="186" t="s">
        <v>979</v>
      </c>
      <c r="D196" s="188"/>
      <c r="E196" s="188"/>
      <c r="F196" s="189" t="s">
        <v>980</v>
      </c>
      <c r="G196" s="188"/>
      <c r="H196" s="188"/>
      <c r="I196" s="188"/>
      <c r="J196" s="188"/>
      <c r="K196" s="188"/>
      <c r="L196" s="188"/>
      <c r="M196" s="188"/>
      <c r="N196" s="188"/>
      <c r="O196" s="188"/>
      <c r="P196" s="188"/>
      <c r="Q196" s="188"/>
      <c r="R196" s="188"/>
      <c r="S196" s="188"/>
      <c r="T196" s="188"/>
      <c r="U196" s="190"/>
      <c r="V196" s="190"/>
      <c r="W196" s="190"/>
      <c r="X196" s="188"/>
      <c r="Y196" s="188"/>
      <c r="Z196" s="190"/>
      <c r="AA196" s="188"/>
      <c r="AB196" s="188"/>
      <c r="AC196" s="188"/>
      <c r="AD196" s="188"/>
      <c r="AE196" s="188"/>
    </row>
    <row r="197" ht="14.25" customHeight="1">
      <c r="A197" s="186" t="s">
        <v>981</v>
      </c>
      <c r="B197" s="187" t="s">
        <v>982</v>
      </c>
      <c r="C197" s="186" t="s">
        <v>983</v>
      </c>
      <c r="D197" s="188"/>
      <c r="E197" s="188"/>
      <c r="F197" s="189" t="s">
        <v>984</v>
      </c>
      <c r="G197" s="188"/>
      <c r="H197" s="188"/>
      <c r="I197" s="188"/>
      <c r="J197" s="188"/>
      <c r="K197" s="188"/>
      <c r="L197" s="188"/>
      <c r="M197" s="188"/>
      <c r="N197" s="188"/>
      <c r="O197" s="188"/>
      <c r="P197" s="188"/>
      <c r="Q197" s="188"/>
      <c r="R197" s="188"/>
      <c r="S197" s="188"/>
      <c r="T197" s="188"/>
      <c r="U197" s="190"/>
      <c r="V197" s="190"/>
      <c r="W197" s="190"/>
      <c r="X197" s="188"/>
      <c r="Y197" s="188"/>
      <c r="Z197" s="190"/>
      <c r="AA197" s="188"/>
      <c r="AB197" s="188"/>
      <c r="AC197" s="188"/>
      <c r="AD197" s="188"/>
      <c r="AE197" s="188"/>
    </row>
    <row r="198" ht="14.25" customHeight="1">
      <c r="A198" s="186" t="s">
        <v>985</v>
      </c>
      <c r="B198" s="187" t="s">
        <v>986</v>
      </c>
      <c r="C198" s="186" t="s">
        <v>987</v>
      </c>
      <c r="D198" s="188"/>
      <c r="E198" s="188"/>
      <c r="F198" s="189" t="s">
        <v>988</v>
      </c>
      <c r="G198" s="188"/>
      <c r="H198" s="188"/>
      <c r="I198" s="188"/>
      <c r="J198" s="188"/>
      <c r="K198" s="188"/>
      <c r="L198" s="188"/>
      <c r="M198" s="188"/>
      <c r="N198" s="188"/>
      <c r="O198" s="188"/>
      <c r="P198" s="188"/>
      <c r="Q198" s="188"/>
      <c r="R198" s="188"/>
      <c r="S198" s="188"/>
      <c r="T198" s="188"/>
      <c r="U198" s="190"/>
      <c r="V198" s="190"/>
      <c r="W198" s="190"/>
      <c r="X198" s="188"/>
      <c r="Y198" s="188"/>
      <c r="Z198" s="190"/>
      <c r="AA198" s="188"/>
      <c r="AB198" s="188"/>
      <c r="AC198" s="188"/>
      <c r="AD198" s="188"/>
      <c r="AE198" s="188"/>
    </row>
    <row r="199" ht="14.25" customHeight="1">
      <c r="A199" s="186" t="s">
        <v>989</v>
      </c>
      <c r="B199" s="187" t="s">
        <v>990</v>
      </c>
      <c r="C199" s="186" t="s">
        <v>991</v>
      </c>
      <c r="D199" s="188"/>
      <c r="E199" s="188"/>
      <c r="F199" s="189" t="s">
        <v>992</v>
      </c>
      <c r="G199" s="188"/>
      <c r="H199" s="188"/>
      <c r="I199" s="188"/>
      <c r="J199" s="188"/>
      <c r="K199" s="188"/>
      <c r="L199" s="188"/>
      <c r="M199" s="188"/>
      <c r="N199" s="188"/>
      <c r="O199" s="188"/>
      <c r="P199" s="188"/>
      <c r="Q199" s="188"/>
      <c r="R199" s="188"/>
      <c r="S199" s="188"/>
      <c r="T199" s="188"/>
      <c r="U199" s="190"/>
      <c r="V199" s="190"/>
      <c r="W199" s="190"/>
      <c r="X199" s="188"/>
      <c r="Y199" s="188"/>
      <c r="Z199" s="190"/>
      <c r="AA199" s="188"/>
      <c r="AB199" s="188"/>
      <c r="AC199" s="188"/>
      <c r="AD199" s="188"/>
      <c r="AE199" s="188"/>
    </row>
    <row r="200" ht="14.25" customHeight="1">
      <c r="A200" s="186" t="s">
        <v>993</v>
      </c>
      <c r="B200" s="187" t="s">
        <v>994</v>
      </c>
      <c r="C200" s="186" t="s">
        <v>995</v>
      </c>
      <c r="D200" s="188"/>
      <c r="E200" s="188"/>
      <c r="F200" s="189" t="s">
        <v>996</v>
      </c>
      <c r="G200" s="188"/>
      <c r="H200" s="188"/>
      <c r="I200" s="188"/>
      <c r="J200" s="188"/>
      <c r="K200" s="188"/>
      <c r="L200" s="188"/>
      <c r="M200" s="188"/>
      <c r="N200" s="188"/>
      <c r="O200" s="188"/>
      <c r="P200" s="188"/>
      <c r="Q200" s="188"/>
      <c r="R200" s="188"/>
      <c r="S200" s="188"/>
      <c r="T200" s="188"/>
      <c r="U200" s="190"/>
      <c r="V200" s="190"/>
      <c r="W200" s="190"/>
      <c r="X200" s="188"/>
      <c r="Y200" s="188"/>
      <c r="Z200" s="190"/>
      <c r="AA200" s="188"/>
      <c r="AB200" s="188"/>
      <c r="AC200" s="188"/>
      <c r="AD200" s="188"/>
      <c r="AE200" s="188"/>
    </row>
    <row r="201" ht="14.25" customHeight="1">
      <c r="A201" s="186" t="s">
        <v>997</v>
      </c>
      <c r="B201" s="187" t="s">
        <v>998</v>
      </c>
      <c r="C201" s="186" t="s">
        <v>999</v>
      </c>
      <c r="D201" s="188"/>
      <c r="E201" s="188"/>
      <c r="F201" s="189" t="s">
        <v>1000</v>
      </c>
      <c r="G201" s="188"/>
      <c r="H201" s="188"/>
      <c r="I201" s="188"/>
      <c r="J201" s="188"/>
      <c r="K201" s="188"/>
      <c r="L201" s="188"/>
      <c r="M201" s="188"/>
      <c r="N201" s="188"/>
      <c r="O201" s="188"/>
      <c r="P201" s="188"/>
      <c r="Q201" s="188"/>
      <c r="R201" s="188"/>
      <c r="S201" s="188"/>
      <c r="T201" s="188"/>
      <c r="U201" s="190"/>
      <c r="V201" s="190"/>
      <c r="W201" s="190"/>
      <c r="X201" s="188"/>
      <c r="Y201" s="188"/>
      <c r="Z201" s="190"/>
      <c r="AA201" s="188"/>
      <c r="AB201" s="188"/>
      <c r="AC201" s="188"/>
      <c r="AD201" s="188"/>
      <c r="AE201" s="188"/>
    </row>
    <row r="202" ht="14.25" customHeight="1">
      <c r="A202" s="186" t="s">
        <v>1001</v>
      </c>
      <c r="B202" s="187" t="s">
        <v>1002</v>
      </c>
      <c r="C202" s="186" t="s">
        <v>1003</v>
      </c>
      <c r="D202" s="188"/>
      <c r="E202" s="188"/>
      <c r="F202" s="189" t="s">
        <v>1004</v>
      </c>
      <c r="G202" s="188"/>
      <c r="H202" s="188"/>
      <c r="I202" s="188"/>
      <c r="J202" s="188"/>
      <c r="K202" s="188"/>
      <c r="L202" s="188"/>
      <c r="M202" s="188"/>
      <c r="N202" s="188"/>
      <c r="O202" s="188"/>
      <c r="P202" s="188"/>
      <c r="Q202" s="188"/>
      <c r="R202" s="188"/>
      <c r="S202" s="188"/>
      <c r="T202" s="188"/>
      <c r="U202" s="190"/>
      <c r="V202" s="190"/>
      <c r="W202" s="190"/>
      <c r="X202" s="188"/>
      <c r="Y202" s="188"/>
      <c r="Z202" s="190"/>
      <c r="AA202" s="188"/>
      <c r="AB202" s="188"/>
      <c r="AC202" s="188"/>
      <c r="AD202" s="188"/>
      <c r="AE202" s="188"/>
    </row>
    <row r="203" ht="14.25" customHeight="1">
      <c r="A203" s="186" t="s">
        <v>1005</v>
      </c>
      <c r="B203" s="187" t="s">
        <v>1006</v>
      </c>
      <c r="C203" s="186" t="s">
        <v>1007</v>
      </c>
      <c r="D203" s="188"/>
      <c r="E203" s="188"/>
      <c r="F203" s="189" t="s">
        <v>1008</v>
      </c>
      <c r="G203" s="188"/>
      <c r="H203" s="188"/>
      <c r="I203" s="188"/>
      <c r="J203" s="188"/>
      <c r="K203" s="188"/>
      <c r="L203" s="188"/>
      <c r="M203" s="188"/>
      <c r="N203" s="188"/>
      <c r="O203" s="188"/>
      <c r="P203" s="188"/>
      <c r="Q203" s="188"/>
      <c r="R203" s="188"/>
      <c r="S203" s="188"/>
      <c r="T203" s="188"/>
      <c r="U203" s="190"/>
      <c r="V203" s="190"/>
      <c r="W203" s="190"/>
      <c r="X203" s="188"/>
      <c r="Y203" s="188"/>
      <c r="Z203" s="190"/>
      <c r="AA203" s="188"/>
      <c r="AB203" s="188"/>
      <c r="AC203" s="188"/>
      <c r="AD203" s="188"/>
      <c r="AE203" s="188"/>
    </row>
    <row r="204" ht="14.25" customHeight="1">
      <c r="A204" s="186" t="s">
        <v>1009</v>
      </c>
      <c r="B204" s="187" t="s">
        <v>1010</v>
      </c>
      <c r="C204" s="186" t="s">
        <v>1011</v>
      </c>
      <c r="D204" s="188"/>
      <c r="E204" s="188"/>
      <c r="F204" s="189" t="s">
        <v>1012</v>
      </c>
      <c r="G204" s="188"/>
      <c r="H204" s="188"/>
      <c r="I204" s="188"/>
      <c r="J204" s="188"/>
      <c r="K204" s="188"/>
      <c r="L204" s="188"/>
      <c r="M204" s="188"/>
      <c r="N204" s="188"/>
      <c r="O204" s="188"/>
      <c r="P204" s="188"/>
      <c r="Q204" s="188"/>
      <c r="R204" s="188"/>
      <c r="S204" s="188"/>
      <c r="T204" s="188"/>
      <c r="U204" s="190"/>
      <c r="V204" s="190"/>
      <c r="W204" s="190"/>
      <c r="X204" s="188"/>
      <c r="Y204" s="188"/>
      <c r="Z204" s="190"/>
      <c r="AA204" s="188"/>
      <c r="AB204" s="188"/>
      <c r="AC204" s="188"/>
      <c r="AD204" s="188"/>
      <c r="AE204" s="188"/>
    </row>
    <row r="205" ht="14.25" customHeight="1">
      <c r="A205" s="186" t="s">
        <v>1013</v>
      </c>
      <c r="B205" s="187" t="s">
        <v>1014</v>
      </c>
      <c r="C205" s="186" t="s">
        <v>1015</v>
      </c>
      <c r="D205" s="188"/>
      <c r="E205" s="188"/>
      <c r="F205" s="189" t="s">
        <v>1016</v>
      </c>
      <c r="G205" s="188"/>
      <c r="H205" s="188"/>
      <c r="I205" s="188"/>
      <c r="J205" s="188"/>
      <c r="K205" s="188"/>
      <c r="L205" s="188"/>
      <c r="M205" s="188"/>
      <c r="N205" s="188"/>
      <c r="O205" s="188"/>
      <c r="P205" s="188"/>
      <c r="Q205" s="188"/>
      <c r="R205" s="188"/>
      <c r="S205" s="188"/>
      <c r="T205" s="188"/>
      <c r="U205" s="190"/>
      <c r="V205" s="190"/>
      <c r="W205" s="190"/>
      <c r="X205" s="188"/>
      <c r="Y205" s="188"/>
      <c r="Z205" s="190"/>
      <c r="AA205" s="188"/>
      <c r="AB205" s="188"/>
      <c r="AC205" s="188"/>
      <c r="AD205" s="188"/>
      <c r="AE205" s="188"/>
    </row>
    <row r="206" ht="14.25" customHeight="1">
      <c r="A206" s="186" t="s">
        <v>1017</v>
      </c>
      <c r="B206" s="187" t="s">
        <v>1018</v>
      </c>
      <c r="C206" s="186" t="s">
        <v>1019</v>
      </c>
      <c r="D206" s="188"/>
      <c r="E206" s="188"/>
      <c r="F206" s="189" t="s">
        <v>1020</v>
      </c>
      <c r="G206" s="188"/>
      <c r="H206" s="188"/>
      <c r="I206" s="188"/>
      <c r="J206" s="188"/>
      <c r="K206" s="188"/>
      <c r="L206" s="188"/>
      <c r="M206" s="188"/>
      <c r="N206" s="188"/>
      <c r="O206" s="188"/>
      <c r="P206" s="188"/>
      <c r="Q206" s="188"/>
      <c r="R206" s="188"/>
      <c r="S206" s="188"/>
      <c r="T206" s="188"/>
      <c r="U206" s="190"/>
      <c r="V206" s="190"/>
      <c r="W206" s="190"/>
      <c r="X206" s="188"/>
      <c r="Y206" s="188"/>
      <c r="Z206" s="190"/>
      <c r="AA206" s="188"/>
      <c r="AB206" s="188"/>
      <c r="AC206" s="188"/>
      <c r="AD206" s="188"/>
      <c r="AE206" s="188"/>
    </row>
    <row r="207" ht="14.25" customHeight="1">
      <c r="A207" s="186" t="s">
        <v>1021</v>
      </c>
      <c r="B207" s="187" t="s">
        <v>1022</v>
      </c>
      <c r="C207" s="186" t="s">
        <v>1023</v>
      </c>
      <c r="D207" s="188"/>
      <c r="E207" s="188"/>
      <c r="F207" s="189" t="s">
        <v>1024</v>
      </c>
      <c r="G207" s="188"/>
      <c r="H207" s="188"/>
      <c r="I207" s="188"/>
      <c r="J207" s="188"/>
      <c r="K207" s="188"/>
      <c r="L207" s="188"/>
      <c r="M207" s="188"/>
      <c r="N207" s="188"/>
      <c r="O207" s="188"/>
      <c r="P207" s="188"/>
      <c r="Q207" s="188"/>
      <c r="R207" s="188"/>
      <c r="S207" s="188"/>
      <c r="T207" s="188"/>
      <c r="U207" s="190"/>
      <c r="V207" s="190"/>
      <c r="W207" s="190"/>
      <c r="X207" s="188"/>
      <c r="Y207" s="188"/>
      <c r="Z207" s="190"/>
      <c r="AA207" s="188"/>
      <c r="AB207" s="188"/>
      <c r="AC207" s="188"/>
      <c r="AD207" s="188"/>
      <c r="AE207" s="188"/>
    </row>
    <row r="208" ht="14.25" customHeight="1">
      <c r="A208" s="186" t="s">
        <v>1025</v>
      </c>
      <c r="B208" s="187" t="s">
        <v>1026</v>
      </c>
      <c r="C208" s="186" t="s">
        <v>1027</v>
      </c>
      <c r="D208" s="188"/>
      <c r="E208" s="188"/>
      <c r="F208" s="189" t="s">
        <v>1028</v>
      </c>
      <c r="G208" s="188"/>
      <c r="H208" s="188"/>
      <c r="I208" s="188"/>
      <c r="J208" s="188"/>
      <c r="K208" s="188"/>
      <c r="L208" s="188"/>
      <c r="M208" s="188"/>
      <c r="N208" s="188"/>
      <c r="O208" s="188"/>
      <c r="P208" s="188"/>
      <c r="Q208" s="188"/>
      <c r="R208" s="188"/>
      <c r="S208" s="188"/>
      <c r="T208" s="188"/>
      <c r="U208" s="190"/>
      <c r="V208" s="190"/>
      <c r="W208" s="190"/>
      <c r="X208" s="188"/>
      <c r="Y208" s="188"/>
      <c r="Z208" s="190"/>
      <c r="AA208" s="188"/>
      <c r="AB208" s="188"/>
      <c r="AC208" s="188"/>
      <c r="AD208" s="188"/>
      <c r="AE208" s="188"/>
    </row>
    <row r="209" ht="14.25" customHeight="1">
      <c r="A209" s="186" t="s">
        <v>1029</v>
      </c>
      <c r="B209" s="187" t="s">
        <v>1030</v>
      </c>
      <c r="C209" s="186" t="s">
        <v>1031</v>
      </c>
      <c r="D209" s="188"/>
      <c r="E209" s="188"/>
      <c r="F209" s="189" t="s">
        <v>1032</v>
      </c>
      <c r="G209" s="188"/>
      <c r="H209" s="188"/>
      <c r="I209" s="188"/>
      <c r="J209" s="188"/>
      <c r="K209" s="188"/>
      <c r="L209" s="188"/>
      <c r="M209" s="188"/>
      <c r="N209" s="188"/>
      <c r="O209" s="188"/>
      <c r="P209" s="188"/>
      <c r="Q209" s="188"/>
      <c r="R209" s="188"/>
      <c r="S209" s="188"/>
      <c r="T209" s="188"/>
      <c r="U209" s="190"/>
      <c r="V209" s="190"/>
      <c r="W209" s="190"/>
      <c r="X209" s="188"/>
      <c r="Y209" s="188"/>
      <c r="Z209" s="190"/>
      <c r="AA209" s="188"/>
      <c r="AB209" s="188"/>
      <c r="AC209" s="188"/>
      <c r="AD209" s="188"/>
      <c r="AE209" s="188"/>
    </row>
    <row r="210" ht="14.25" customHeight="1">
      <c r="A210" s="186" t="s">
        <v>1033</v>
      </c>
      <c r="B210" s="187" t="s">
        <v>1034</v>
      </c>
      <c r="C210" s="186" t="s">
        <v>1035</v>
      </c>
      <c r="D210" s="188"/>
      <c r="E210" s="188"/>
      <c r="F210" s="189" t="s">
        <v>1036</v>
      </c>
      <c r="G210" s="188"/>
      <c r="H210" s="188"/>
      <c r="I210" s="188"/>
      <c r="J210" s="188"/>
      <c r="K210" s="188"/>
      <c r="L210" s="188"/>
      <c r="M210" s="188"/>
      <c r="N210" s="188"/>
      <c r="O210" s="188"/>
      <c r="P210" s="188"/>
      <c r="Q210" s="188"/>
      <c r="R210" s="188"/>
      <c r="S210" s="188"/>
      <c r="T210" s="188"/>
      <c r="U210" s="190"/>
      <c r="V210" s="190"/>
      <c r="W210" s="190"/>
      <c r="X210" s="188"/>
      <c r="Y210" s="188"/>
      <c r="Z210" s="190"/>
      <c r="AA210" s="188"/>
      <c r="AB210" s="188"/>
      <c r="AC210" s="188"/>
      <c r="AD210" s="188"/>
      <c r="AE210" s="188"/>
    </row>
    <row r="211" ht="14.25" customHeight="1">
      <c r="A211" s="186" t="s">
        <v>1037</v>
      </c>
      <c r="B211" s="187" t="s">
        <v>1038</v>
      </c>
      <c r="C211" s="186" t="s">
        <v>1039</v>
      </c>
      <c r="D211" s="188"/>
      <c r="E211" s="188"/>
      <c r="F211" s="189" t="s">
        <v>1040</v>
      </c>
      <c r="G211" s="188"/>
      <c r="H211" s="188"/>
      <c r="I211" s="188"/>
      <c r="J211" s="188"/>
      <c r="K211" s="188"/>
      <c r="L211" s="188"/>
      <c r="M211" s="188"/>
      <c r="N211" s="188"/>
      <c r="O211" s="188"/>
      <c r="P211" s="188"/>
      <c r="Q211" s="188"/>
      <c r="R211" s="188"/>
      <c r="S211" s="188"/>
      <c r="T211" s="188"/>
      <c r="U211" s="190"/>
      <c r="V211" s="190"/>
      <c r="W211" s="190"/>
      <c r="X211" s="188"/>
      <c r="Y211" s="188"/>
      <c r="Z211" s="190"/>
      <c r="AA211" s="188"/>
      <c r="AB211" s="188"/>
      <c r="AC211" s="188"/>
      <c r="AD211" s="188"/>
      <c r="AE211" s="188"/>
    </row>
    <row r="212" ht="14.25" customHeight="1">
      <c r="A212" s="186" t="s">
        <v>1041</v>
      </c>
      <c r="B212" s="187" t="s">
        <v>1042</v>
      </c>
      <c r="C212" s="186" t="s">
        <v>1043</v>
      </c>
      <c r="D212" s="188"/>
      <c r="E212" s="188"/>
      <c r="F212" s="189" t="s">
        <v>1044</v>
      </c>
      <c r="G212" s="188"/>
      <c r="H212" s="188"/>
      <c r="I212" s="188"/>
      <c r="J212" s="188"/>
      <c r="K212" s="188"/>
      <c r="L212" s="188"/>
      <c r="M212" s="188"/>
      <c r="N212" s="188"/>
      <c r="O212" s="188"/>
      <c r="P212" s="188"/>
      <c r="Q212" s="188"/>
      <c r="R212" s="188"/>
      <c r="S212" s="188"/>
      <c r="T212" s="188"/>
      <c r="U212" s="190"/>
      <c r="V212" s="190"/>
      <c r="W212" s="190"/>
      <c r="X212" s="188"/>
      <c r="Y212" s="188"/>
      <c r="Z212" s="190"/>
      <c r="AA212" s="188"/>
      <c r="AB212" s="188"/>
      <c r="AC212" s="188"/>
      <c r="AD212" s="188"/>
      <c r="AE212" s="188"/>
    </row>
    <row r="213" ht="14.25" customHeight="1">
      <c r="A213" s="186" t="s">
        <v>1045</v>
      </c>
      <c r="B213" s="187" t="s">
        <v>1046</v>
      </c>
      <c r="C213" s="186" t="s">
        <v>1047</v>
      </c>
      <c r="D213" s="188"/>
      <c r="E213" s="188"/>
      <c r="F213" s="189" t="s">
        <v>1048</v>
      </c>
      <c r="G213" s="188"/>
      <c r="H213" s="188"/>
      <c r="I213" s="188"/>
      <c r="J213" s="188"/>
      <c r="K213" s="188"/>
      <c r="L213" s="188"/>
      <c r="M213" s="188"/>
      <c r="N213" s="188"/>
      <c r="O213" s="188"/>
      <c r="P213" s="188"/>
      <c r="Q213" s="188"/>
      <c r="R213" s="188"/>
      <c r="S213" s="188"/>
      <c r="T213" s="188"/>
      <c r="U213" s="190"/>
      <c r="V213" s="190"/>
      <c r="W213" s="190"/>
      <c r="X213" s="188"/>
      <c r="Y213" s="188"/>
      <c r="Z213" s="190"/>
      <c r="AA213" s="188"/>
      <c r="AB213" s="188"/>
      <c r="AC213" s="188"/>
      <c r="AD213" s="188"/>
      <c r="AE213" s="188"/>
    </row>
    <row r="214" ht="14.25" customHeight="1">
      <c r="A214" s="186" t="s">
        <v>1049</v>
      </c>
      <c r="B214" s="187" t="s">
        <v>1050</v>
      </c>
      <c r="C214" s="186" t="s">
        <v>1051</v>
      </c>
      <c r="D214" s="188"/>
      <c r="E214" s="188"/>
      <c r="F214" s="189" t="s">
        <v>1052</v>
      </c>
      <c r="G214" s="188"/>
      <c r="H214" s="188"/>
      <c r="I214" s="188"/>
      <c r="J214" s="188"/>
      <c r="K214" s="188"/>
      <c r="L214" s="188"/>
      <c r="M214" s="188"/>
      <c r="N214" s="188"/>
      <c r="O214" s="188"/>
      <c r="P214" s="188"/>
      <c r="Q214" s="188"/>
      <c r="R214" s="188"/>
      <c r="S214" s="188"/>
      <c r="T214" s="188"/>
      <c r="U214" s="190"/>
      <c r="V214" s="190"/>
      <c r="W214" s="190"/>
      <c r="X214" s="188"/>
      <c r="Y214" s="188"/>
      <c r="Z214" s="190"/>
      <c r="AA214" s="188"/>
      <c r="AB214" s="188"/>
      <c r="AC214" s="188"/>
      <c r="AD214" s="188"/>
      <c r="AE214" s="188"/>
    </row>
    <row r="215" ht="14.25" customHeight="1">
      <c r="A215" s="186" t="s">
        <v>1053</v>
      </c>
      <c r="B215" s="187" t="s">
        <v>1054</v>
      </c>
      <c r="C215" s="186" t="s">
        <v>1055</v>
      </c>
      <c r="D215" s="188"/>
      <c r="E215" s="188"/>
      <c r="F215" s="189" t="s">
        <v>1056</v>
      </c>
      <c r="G215" s="188"/>
      <c r="H215" s="188"/>
      <c r="I215" s="188"/>
      <c r="J215" s="188"/>
      <c r="K215" s="188"/>
      <c r="L215" s="188"/>
      <c r="M215" s="188"/>
      <c r="N215" s="188"/>
      <c r="O215" s="188"/>
      <c r="P215" s="188"/>
      <c r="Q215" s="188"/>
      <c r="R215" s="188"/>
      <c r="S215" s="188"/>
      <c r="T215" s="188"/>
      <c r="U215" s="190"/>
      <c r="V215" s="190"/>
      <c r="W215" s="190"/>
      <c r="X215" s="188"/>
      <c r="Y215" s="188"/>
      <c r="Z215" s="190"/>
      <c r="AA215" s="188"/>
      <c r="AB215" s="188"/>
      <c r="AC215" s="188"/>
      <c r="AD215" s="188"/>
      <c r="AE215" s="188"/>
    </row>
    <row r="216" ht="14.25" customHeight="1">
      <c r="A216" s="186" t="s">
        <v>1057</v>
      </c>
      <c r="B216" s="187" t="s">
        <v>1058</v>
      </c>
      <c r="C216" s="186" t="s">
        <v>1059</v>
      </c>
      <c r="D216" s="188"/>
      <c r="E216" s="188"/>
      <c r="F216" s="189" t="s">
        <v>1060</v>
      </c>
      <c r="G216" s="188"/>
      <c r="H216" s="188"/>
      <c r="I216" s="188"/>
      <c r="J216" s="188"/>
      <c r="K216" s="188"/>
      <c r="L216" s="188"/>
      <c r="M216" s="188"/>
      <c r="N216" s="188"/>
      <c r="O216" s="188"/>
      <c r="P216" s="188"/>
      <c r="Q216" s="188"/>
      <c r="R216" s="188"/>
      <c r="S216" s="188"/>
      <c r="T216" s="188"/>
      <c r="U216" s="190"/>
      <c r="V216" s="190"/>
      <c r="W216" s="190"/>
      <c r="X216" s="188"/>
      <c r="Y216" s="188"/>
      <c r="Z216" s="190"/>
      <c r="AA216" s="188"/>
      <c r="AB216" s="188"/>
      <c r="AC216" s="188"/>
      <c r="AD216" s="188"/>
      <c r="AE216" s="188"/>
    </row>
    <row r="217" ht="14.25" customHeight="1">
      <c r="A217" s="186" t="s">
        <v>1061</v>
      </c>
      <c r="B217" s="187" t="s">
        <v>1062</v>
      </c>
      <c r="C217" s="186" t="s">
        <v>1063</v>
      </c>
      <c r="D217" s="188"/>
      <c r="E217" s="188"/>
      <c r="F217" s="189" t="s">
        <v>1064</v>
      </c>
      <c r="G217" s="188"/>
      <c r="H217" s="188"/>
      <c r="I217" s="188"/>
      <c r="J217" s="188"/>
      <c r="K217" s="188"/>
      <c r="L217" s="188"/>
      <c r="M217" s="188"/>
      <c r="N217" s="188"/>
      <c r="O217" s="188"/>
      <c r="P217" s="188"/>
      <c r="Q217" s="188"/>
      <c r="R217" s="188"/>
      <c r="S217" s="188"/>
      <c r="T217" s="188"/>
      <c r="U217" s="190"/>
      <c r="V217" s="190"/>
      <c r="W217" s="190"/>
      <c r="X217" s="188"/>
      <c r="Y217" s="188"/>
      <c r="Z217" s="190"/>
      <c r="AA217" s="188"/>
      <c r="AB217" s="188"/>
      <c r="AC217" s="188"/>
      <c r="AD217" s="188"/>
      <c r="AE217" s="188"/>
    </row>
    <row r="218" ht="14.25" customHeight="1">
      <c r="A218" s="186" t="s">
        <v>1065</v>
      </c>
      <c r="B218" s="187" t="s">
        <v>1066</v>
      </c>
      <c r="C218" s="186" t="s">
        <v>1067</v>
      </c>
      <c r="D218" s="188"/>
      <c r="E218" s="188"/>
      <c r="F218" s="189" t="s">
        <v>1068</v>
      </c>
      <c r="G218" s="188"/>
      <c r="H218" s="188"/>
      <c r="I218" s="188"/>
      <c r="J218" s="188"/>
      <c r="K218" s="188"/>
      <c r="L218" s="188"/>
      <c r="M218" s="188"/>
      <c r="N218" s="188"/>
      <c r="O218" s="188"/>
      <c r="P218" s="188"/>
      <c r="Q218" s="188"/>
      <c r="R218" s="188"/>
      <c r="S218" s="188"/>
      <c r="T218" s="188"/>
      <c r="U218" s="190"/>
      <c r="V218" s="190"/>
      <c r="W218" s="190"/>
      <c r="X218" s="188"/>
      <c r="Y218" s="188"/>
      <c r="Z218" s="190"/>
      <c r="AA218" s="188"/>
      <c r="AB218" s="188"/>
      <c r="AC218" s="188"/>
      <c r="AD218" s="188"/>
      <c r="AE218" s="188"/>
    </row>
    <row r="219" ht="14.25" customHeight="1">
      <c r="A219" s="186" t="s">
        <v>1069</v>
      </c>
      <c r="B219" s="187" t="s">
        <v>1070</v>
      </c>
      <c r="C219" s="186" t="s">
        <v>1071</v>
      </c>
      <c r="D219" s="188"/>
      <c r="E219" s="188"/>
      <c r="F219" s="189" t="s">
        <v>1072</v>
      </c>
      <c r="G219" s="188"/>
      <c r="H219" s="188"/>
      <c r="I219" s="188"/>
      <c r="J219" s="188"/>
      <c r="K219" s="188"/>
      <c r="L219" s="188"/>
      <c r="M219" s="188"/>
      <c r="N219" s="188"/>
      <c r="O219" s="188"/>
      <c r="P219" s="188"/>
      <c r="Q219" s="188"/>
      <c r="R219" s="188"/>
      <c r="S219" s="188"/>
      <c r="T219" s="188"/>
      <c r="U219" s="190"/>
      <c r="V219" s="190"/>
      <c r="W219" s="190"/>
      <c r="X219" s="188"/>
      <c r="Y219" s="188"/>
      <c r="Z219" s="190"/>
      <c r="AA219" s="188"/>
      <c r="AB219" s="188"/>
      <c r="AC219" s="188"/>
      <c r="AD219" s="188"/>
      <c r="AE219" s="188"/>
    </row>
    <row r="220" ht="14.25" customHeight="1">
      <c r="A220" s="186" t="s">
        <v>1073</v>
      </c>
      <c r="B220" s="187" t="s">
        <v>1074</v>
      </c>
      <c r="C220" s="186" t="s">
        <v>1075</v>
      </c>
      <c r="D220" s="188"/>
      <c r="E220" s="188"/>
      <c r="F220" s="189" t="s">
        <v>1076</v>
      </c>
      <c r="G220" s="188"/>
      <c r="H220" s="188"/>
      <c r="I220" s="188"/>
      <c r="J220" s="188"/>
      <c r="K220" s="188"/>
      <c r="L220" s="188"/>
      <c r="M220" s="188"/>
      <c r="N220" s="188"/>
      <c r="O220" s="188"/>
      <c r="P220" s="188"/>
      <c r="Q220" s="188"/>
      <c r="R220" s="188"/>
      <c r="S220" s="188"/>
      <c r="T220" s="188"/>
      <c r="U220" s="190"/>
      <c r="V220" s="190"/>
      <c r="W220" s="190"/>
      <c r="X220" s="188"/>
      <c r="Y220" s="188"/>
      <c r="Z220" s="190"/>
      <c r="AA220" s="188"/>
      <c r="AB220" s="188"/>
      <c r="AC220" s="188"/>
      <c r="AD220" s="188"/>
      <c r="AE220" s="188"/>
    </row>
    <row r="221" ht="14.25" customHeight="1">
      <c r="A221" s="186" t="s">
        <v>1077</v>
      </c>
      <c r="B221" s="187" t="s">
        <v>1078</v>
      </c>
      <c r="C221" s="186" t="s">
        <v>1079</v>
      </c>
      <c r="D221" s="188"/>
      <c r="E221" s="188"/>
      <c r="F221" s="189" t="s">
        <v>1080</v>
      </c>
      <c r="G221" s="188"/>
      <c r="H221" s="188"/>
      <c r="I221" s="188"/>
      <c r="J221" s="188"/>
      <c r="K221" s="188"/>
      <c r="L221" s="188"/>
      <c r="M221" s="188"/>
      <c r="N221" s="188"/>
      <c r="O221" s="188"/>
      <c r="P221" s="188"/>
      <c r="Q221" s="188"/>
      <c r="R221" s="188"/>
      <c r="S221" s="188"/>
      <c r="T221" s="188"/>
      <c r="U221" s="190"/>
      <c r="V221" s="190"/>
      <c r="W221" s="190"/>
      <c r="X221" s="188"/>
      <c r="Y221" s="188"/>
      <c r="Z221" s="190"/>
      <c r="AA221" s="188"/>
      <c r="AB221" s="188"/>
      <c r="AC221" s="188"/>
      <c r="AD221" s="188"/>
      <c r="AE221" s="188"/>
    </row>
    <row r="222" ht="14.25" customHeight="1">
      <c r="A222" s="186" t="s">
        <v>1081</v>
      </c>
      <c r="B222" s="187" t="s">
        <v>1082</v>
      </c>
      <c r="C222" s="186" t="s">
        <v>1083</v>
      </c>
      <c r="D222" s="188"/>
      <c r="E222" s="188"/>
      <c r="F222" s="189" t="s">
        <v>1084</v>
      </c>
      <c r="G222" s="188"/>
      <c r="H222" s="188"/>
      <c r="I222" s="188"/>
      <c r="J222" s="188"/>
      <c r="K222" s="188"/>
      <c r="L222" s="188"/>
      <c r="M222" s="188"/>
      <c r="N222" s="188"/>
      <c r="O222" s="188"/>
      <c r="P222" s="188"/>
      <c r="Q222" s="188"/>
      <c r="R222" s="188"/>
      <c r="S222" s="188"/>
      <c r="T222" s="188"/>
      <c r="U222" s="190"/>
      <c r="V222" s="190"/>
      <c r="W222" s="190"/>
      <c r="X222" s="188"/>
      <c r="Y222" s="188"/>
      <c r="Z222" s="190"/>
      <c r="AA222" s="188"/>
      <c r="AB222" s="188"/>
      <c r="AC222" s="188"/>
      <c r="AD222" s="188"/>
      <c r="AE222" s="188"/>
    </row>
    <row r="223" ht="14.25" customHeight="1">
      <c r="A223" s="186" t="s">
        <v>1085</v>
      </c>
      <c r="B223" s="187" t="s">
        <v>1086</v>
      </c>
      <c r="C223" s="186" t="s">
        <v>1087</v>
      </c>
      <c r="D223" s="188"/>
      <c r="E223" s="188"/>
      <c r="F223" s="189" t="s">
        <v>1088</v>
      </c>
      <c r="G223" s="188"/>
      <c r="H223" s="188"/>
      <c r="I223" s="188"/>
      <c r="J223" s="188"/>
      <c r="K223" s="188"/>
      <c r="L223" s="188"/>
      <c r="M223" s="188"/>
      <c r="N223" s="188"/>
      <c r="O223" s="188"/>
      <c r="P223" s="188"/>
      <c r="Q223" s="188"/>
      <c r="R223" s="188"/>
      <c r="S223" s="188"/>
      <c r="T223" s="188"/>
      <c r="U223" s="190"/>
      <c r="V223" s="190"/>
      <c r="W223" s="190"/>
      <c r="X223" s="188"/>
      <c r="Y223" s="188"/>
      <c r="Z223" s="190"/>
      <c r="AA223" s="188"/>
      <c r="AB223" s="188"/>
      <c r="AC223" s="188"/>
      <c r="AD223" s="188"/>
      <c r="AE223" s="188"/>
    </row>
    <row r="224" ht="14.25" customHeight="1">
      <c r="A224" s="186" t="s">
        <v>1089</v>
      </c>
      <c r="B224" s="187" t="s">
        <v>1090</v>
      </c>
      <c r="C224" s="186" t="s">
        <v>1091</v>
      </c>
      <c r="D224" s="188"/>
      <c r="E224" s="188"/>
      <c r="F224" s="189" t="s">
        <v>1092</v>
      </c>
      <c r="G224" s="188"/>
      <c r="H224" s="188"/>
      <c r="I224" s="188"/>
      <c r="J224" s="188"/>
      <c r="K224" s="188"/>
      <c r="L224" s="188"/>
      <c r="M224" s="188"/>
      <c r="N224" s="188"/>
      <c r="O224" s="188"/>
      <c r="P224" s="188"/>
      <c r="Q224" s="188"/>
      <c r="R224" s="188"/>
      <c r="S224" s="188"/>
      <c r="T224" s="188"/>
      <c r="U224" s="190"/>
      <c r="V224" s="190"/>
      <c r="W224" s="190"/>
      <c r="X224" s="188"/>
      <c r="Y224" s="188"/>
      <c r="Z224" s="190"/>
      <c r="AA224" s="188"/>
      <c r="AB224" s="188"/>
      <c r="AC224" s="188"/>
      <c r="AD224" s="188"/>
      <c r="AE224" s="188"/>
    </row>
    <row r="225" ht="14.25" customHeight="1">
      <c r="A225" s="186" t="s">
        <v>1093</v>
      </c>
      <c r="B225" s="187" t="s">
        <v>1094</v>
      </c>
      <c r="C225" s="186" t="s">
        <v>1095</v>
      </c>
      <c r="D225" s="188"/>
      <c r="E225" s="188"/>
      <c r="F225" s="189" t="s">
        <v>1096</v>
      </c>
      <c r="G225" s="188"/>
      <c r="H225" s="188"/>
      <c r="I225" s="188"/>
      <c r="J225" s="188"/>
      <c r="K225" s="188"/>
      <c r="L225" s="188"/>
      <c r="M225" s="188"/>
      <c r="N225" s="188"/>
      <c r="O225" s="188"/>
      <c r="P225" s="188"/>
      <c r="Q225" s="188"/>
      <c r="R225" s="188"/>
      <c r="S225" s="188"/>
      <c r="T225" s="188"/>
      <c r="U225" s="190"/>
      <c r="V225" s="190"/>
      <c r="W225" s="190"/>
      <c r="X225" s="188"/>
      <c r="Y225" s="188"/>
      <c r="Z225" s="190"/>
      <c r="AA225" s="188"/>
      <c r="AB225" s="188"/>
      <c r="AC225" s="188"/>
      <c r="AD225" s="188"/>
      <c r="AE225" s="188"/>
    </row>
    <row r="226" ht="14.25" customHeight="1">
      <c r="A226" s="186" t="s">
        <v>1097</v>
      </c>
      <c r="B226" s="187" t="s">
        <v>1098</v>
      </c>
      <c r="C226" s="186" t="s">
        <v>1099</v>
      </c>
      <c r="D226" s="188"/>
      <c r="E226" s="188"/>
      <c r="F226" s="189" t="s">
        <v>1100</v>
      </c>
      <c r="G226" s="188"/>
      <c r="H226" s="188"/>
      <c r="I226" s="188"/>
      <c r="J226" s="188"/>
      <c r="K226" s="188"/>
      <c r="L226" s="188"/>
      <c r="M226" s="188"/>
      <c r="N226" s="188"/>
      <c r="O226" s="188"/>
      <c r="P226" s="188"/>
      <c r="Q226" s="188"/>
      <c r="R226" s="188"/>
      <c r="S226" s="188"/>
      <c r="T226" s="188"/>
      <c r="U226" s="190"/>
      <c r="V226" s="190"/>
      <c r="W226" s="190"/>
      <c r="X226" s="188"/>
      <c r="Y226" s="188"/>
      <c r="Z226" s="190"/>
      <c r="AA226" s="188"/>
      <c r="AB226" s="188"/>
      <c r="AC226" s="188"/>
      <c r="AD226" s="188"/>
      <c r="AE226" s="188"/>
    </row>
    <row r="227" ht="14.25" customHeight="1">
      <c r="A227" s="186" t="s">
        <v>1101</v>
      </c>
      <c r="B227" s="187" t="s">
        <v>1102</v>
      </c>
      <c r="C227" s="186" t="s">
        <v>1103</v>
      </c>
      <c r="D227" s="188"/>
      <c r="E227" s="188"/>
      <c r="F227" s="189" t="s">
        <v>1104</v>
      </c>
      <c r="G227" s="188"/>
      <c r="H227" s="188"/>
      <c r="I227" s="188"/>
      <c r="J227" s="188"/>
      <c r="K227" s="188"/>
      <c r="L227" s="188"/>
      <c r="M227" s="188"/>
      <c r="N227" s="188"/>
      <c r="O227" s="188"/>
      <c r="P227" s="188"/>
      <c r="Q227" s="188"/>
      <c r="R227" s="188"/>
      <c r="S227" s="188"/>
      <c r="T227" s="188"/>
      <c r="U227" s="190"/>
      <c r="V227" s="190"/>
      <c r="W227" s="190"/>
      <c r="X227" s="188"/>
      <c r="Y227" s="188"/>
      <c r="Z227" s="190"/>
      <c r="AA227" s="188"/>
      <c r="AB227" s="188"/>
      <c r="AC227" s="188"/>
      <c r="AD227" s="188"/>
      <c r="AE227" s="188"/>
    </row>
    <row r="228" ht="14.25" customHeight="1">
      <c r="A228" s="186" t="s">
        <v>1105</v>
      </c>
      <c r="B228" s="187" t="s">
        <v>1106</v>
      </c>
      <c r="C228" s="186" t="s">
        <v>1107</v>
      </c>
      <c r="D228" s="188"/>
      <c r="E228" s="188"/>
      <c r="F228" s="189"/>
      <c r="G228" s="188"/>
      <c r="H228" s="188"/>
      <c r="I228" s="188"/>
      <c r="J228" s="188"/>
      <c r="K228" s="188"/>
      <c r="L228" s="188"/>
      <c r="M228" s="188"/>
      <c r="N228" s="188"/>
      <c r="O228" s="188"/>
      <c r="P228" s="188"/>
      <c r="Q228" s="188"/>
      <c r="R228" s="188"/>
      <c r="S228" s="188"/>
      <c r="T228" s="188"/>
      <c r="U228" s="190"/>
      <c r="V228" s="190"/>
      <c r="W228" s="190"/>
      <c r="X228" s="188"/>
      <c r="Y228" s="188"/>
      <c r="Z228" s="190"/>
      <c r="AA228" s="188"/>
      <c r="AB228" s="188"/>
      <c r="AC228" s="188"/>
      <c r="AD228" s="188"/>
      <c r="AE228" s="188"/>
    </row>
    <row r="229" ht="14.25" customHeight="1">
      <c r="A229" s="186" t="s">
        <v>1108</v>
      </c>
      <c r="B229" s="187" t="s">
        <v>1109</v>
      </c>
      <c r="C229" s="186" t="s">
        <v>1110</v>
      </c>
      <c r="D229" s="188"/>
      <c r="E229" s="188"/>
      <c r="F229" s="189" t="s">
        <v>232</v>
      </c>
      <c r="G229" s="188"/>
      <c r="H229" s="188"/>
      <c r="I229" s="188"/>
      <c r="J229" s="188"/>
      <c r="K229" s="188"/>
      <c r="L229" s="188"/>
      <c r="M229" s="188"/>
      <c r="N229" s="188"/>
      <c r="O229" s="188"/>
      <c r="P229" s="188"/>
      <c r="Q229" s="188"/>
      <c r="R229" s="188"/>
      <c r="S229" s="188"/>
      <c r="T229" s="188"/>
      <c r="U229" s="190"/>
      <c r="V229" s="190"/>
      <c r="W229" s="190"/>
      <c r="X229" s="188"/>
      <c r="Y229" s="188"/>
      <c r="Z229" s="190"/>
      <c r="AA229" s="188"/>
      <c r="AB229" s="188"/>
      <c r="AC229" s="188"/>
      <c r="AD229" s="188"/>
      <c r="AE229" s="188"/>
    </row>
    <row r="230" ht="14.25" customHeight="1">
      <c r="A230" s="186" t="s">
        <v>1111</v>
      </c>
      <c r="B230" s="187" t="s">
        <v>1112</v>
      </c>
      <c r="C230" s="186" t="s">
        <v>1113</v>
      </c>
      <c r="D230" s="188"/>
      <c r="E230" s="188"/>
      <c r="F230" s="189" t="s">
        <v>1114</v>
      </c>
      <c r="G230" s="188"/>
      <c r="H230" s="188"/>
      <c r="I230" s="188"/>
      <c r="J230" s="188"/>
      <c r="K230" s="188"/>
      <c r="L230" s="188"/>
      <c r="M230" s="188"/>
      <c r="N230" s="188"/>
      <c r="O230" s="188"/>
      <c r="P230" s="188"/>
      <c r="Q230" s="188"/>
      <c r="R230" s="188"/>
      <c r="S230" s="188"/>
      <c r="T230" s="188"/>
      <c r="U230" s="190"/>
      <c r="V230" s="190"/>
      <c r="W230" s="190"/>
      <c r="X230" s="188"/>
      <c r="Y230" s="188"/>
      <c r="Z230" s="190"/>
      <c r="AA230" s="188"/>
      <c r="AB230" s="188"/>
      <c r="AC230" s="188"/>
      <c r="AD230" s="188"/>
      <c r="AE230" s="188"/>
    </row>
    <row r="231" ht="14.25" customHeight="1">
      <c r="A231" s="186" t="s">
        <v>1115</v>
      </c>
      <c r="B231" s="187" t="s">
        <v>1116</v>
      </c>
      <c r="C231" s="186" t="s">
        <v>1117</v>
      </c>
      <c r="D231" s="188"/>
      <c r="E231" s="188"/>
      <c r="F231" s="189" t="s">
        <v>1118</v>
      </c>
      <c r="G231" s="188"/>
      <c r="H231" s="188"/>
      <c r="I231" s="188"/>
      <c r="J231" s="188"/>
      <c r="K231" s="188"/>
      <c r="L231" s="188"/>
      <c r="M231" s="188"/>
      <c r="N231" s="188"/>
      <c r="O231" s="188"/>
      <c r="P231" s="188"/>
      <c r="Q231" s="188"/>
      <c r="R231" s="188"/>
      <c r="S231" s="188"/>
      <c r="T231" s="188"/>
      <c r="U231" s="190"/>
      <c r="V231" s="190"/>
      <c r="W231" s="190"/>
      <c r="X231" s="188"/>
      <c r="Y231" s="188"/>
      <c r="Z231" s="190"/>
      <c r="AA231" s="188"/>
      <c r="AB231" s="188"/>
      <c r="AC231" s="188"/>
      <c r="AD231" s="188"/>
      <c r="AE231" s="188"/>
    </row>
    <row r="232" ht="14.25" customHeight="1">
      <c r="A232" s="186" t="s">
        <v>1119</v>
      </c>
      <c r="B232" s="187" t="s">
        <v>1120</v>
      </c>
      <c r="C232" s="186" t="s">
        <v>1121</v>
      </c>
      <c r="D232" s="188"/>
      <c r="E232" s="188"/>
      <c r="F232" s="189" t="s">
        <v>1122</v>
      </c>
      <c r="G232" s="188"/>
      <c r="H232" s="188"/>
      <c r="I232" s="188"/>
      <c r="J232" s="188"/>
      <c r="K232" s="188"/>
      <c r="L232" s="188"/>
      <c r="M232" s="188"/>
      <c r="N232" s="188"/>
      <c r="O232" s="188"/>
      <c r="P232" s="188"/>
      <c r="Q232" s="188"/>
      <c r="R232" s="188"/>
      <c r="S232" s="188"/>
      <c r="T232" s="188"/>
      <c r="U232" s="190"/>
      <c r="V232" s="190"/>
      <c r="W232" s="190"/>
      <c r="X232" s="188"/>
      <c r="Y232" s="188"/>
      <c r="Z232" s="190"/>
      <c r="AA232" s="188"/>
      <c r="AB232" s="188"/>
      <c r="AC232" s="188"/>
      <c r="AD232" s="188"/>
      <c r="AE232" s="188"/>
    </row>
    <row r="233" ht="14.25" customHeight="1">
      <c r="A233" s="186" t="s">
        <v>1123</v>
      </c>
      <c r="B233" s="187" t="s">
        <v>1124</v>
      </c>
      <c r="C233" s="186" t="s">
        <v>1125</v>
      </c>
      <c r="D233" s="188"/>
      <c r="E233" s="188"/>
      <c r="F233" s="189" t="s">
        <v>232</v>
      </c>
      <c r="G233" s="188"/>
      <c r="H233" s="188"/>
      <c r="I233" s="188"/>
      <c r="J233" s="188"/>
      <c r="K233" s="188"/>
      <c r="L233" s="188"/>
      <c r="M233" s="188"/>
      <c r="N233" s="188"/>
      <c r="O233" s="188"/>
      <c r="P233" s="188"/>
      <c r="Q233" s="188"/>
      <c r="R233" s="188"/>
      <c r="S233" s="188"/>
      <c r="T233" s="188"/>
      <c r="U233" s="190"/>
      <c r="V233" s="190"/>
      <c r="W233" s="190"/>
      <c r="X233" s="188"/>
      <c r="Y233" s="188"/>
      <c r="Z233" s="190"/>
      <c r="AA233" s="188"/>
      <c r="AB233" s="188"/>
      <c r="AC233" s="188"/>
      <c r="AD233" s="188"/>
      <c r="AE233" s="188"/>
    </row>
    <row r="234" ht="14.25" customHeight="1">
      <c r="A234" s="186" t="s">
        <v>1126</v>
      </c>
      <c r="B234" s="187" t="s">
        <v>1127</v>
      </c>
      <c r="C234" s="186" t="s">
        <v>1128</v>
      </c>
      <c r="D234" s="188"/>
      <c r="E234" s="188"/>
      <c r="F234" s="189" t="s">
        <v>1129</v>
      </c>
      <c r="G234" s="188"/>
      <c r="H234" s="188"/>
      <c r="I234" s="188"/>
      <c r="J234" s="188"/>
      <c r="K234" s="188"/>
      <c r="L234" s="188"/>
      <c r="M234" s="188"/>
      <c r="N234" s="188"/>
      <c r="O234" s="188"/>
      <c r="P234" s="188"/>
      <c r="Q234" s="188"/>
      <c r="R234" s="188"/>
      <c r="S234" s="188"/>
      <c r="T234" s="188"/>
      <c r="U234" s="190"/>
      <c r="V234" s="190"/>
      <c r="W234" s="190"/>
      <c r="X234" s="188"/>
      <c r="Y234" s="188"/>
      <c r="Z234" s="190"/>
      <c r="AA234" s="188"/>
      <c r="AB234" s="188"/>
      <c r="AC234" s="188"/>
      <c r="AD234" s="188"/>
      <c r="AE234" s="188"/>
    </row>
    <row r="235" ht="14.25" customHeight="1">
      <c r="A235" s="186" t="s">
        <v>1130</v>
      </c>
      <c r="B235" s="187" t="s">
        <v>1131</v>
      </c>
      <c r="C235" s="186" t="s">
        <v>1132</v>
      </c>
      <c r="D235" s="188"/>
      <c r="E235" s="188"/>
      <c r="F235" s="189" t="s">
        <v>1133</v>
      </c>
      <c r="G235" s="188"/>
      <c r="H235" s="188"/>
      <c r="I235" s="188"/>
      <c r="J235" s="188"/>
      <c r="K235" s="188"/>
      <c r="L235" s="188"/>
      <c r="M235" s="188"/>
      <c r="N235" s="188"/>
      <c r="O235" s="188"/>
      <c r="P235" s="188"/>
      <c r="Q235" s="188"/>
      <c r="R235" s="188"/>
      <c r="S235" s="188"/>
      <c r="T235" s="188"/>
      <c r="U235" s="190"/>
      <c r="V235" s="190"/>
      <c r="W235" s="190"/>
      <c r="X235" s="188"/>
      <c r="Y235" s="188"/>
      <c r="Z235" s="190"/>
      <c r="AA235" s="188"/>
      <c r="AB235" s="188"/>
      <c r="AC235" s="188"/>
      <c r="AD235" s="188"/>
      <c r="AE235" s="188"/>
    </row>
    <row r="236" ht="14.25" customHeight="1">
      <c r="A236" s="186" t="s">
        <v>1134</v>
      </c>
      <c r="B236" s="187" t="s">
        <v>1135</v>
      </c>
      <c r="C236" s="186" t="s">
        <v>1136</v>
      </c>
      <c r="D236" s="188"/>
      <c r="E236" s="188"/>
      <c r="F236" s="189" t="s">
        <v>1137</v>
      </c>
      <c r="G236" s="188"/>
      <c r="H236" s="188"/>
      <c r="I236" s="188"/>
      <c r="J236" s="188"/>
      <c r="K236" s="188"/>
      <c r="L236" s="188"/>
      <c r="M236" s="188"/>
      <c r="N236" s="188"/>
      <c r="O236" s="188"/>
      <c r="P236" s="188"/>
      <c r="Q236" s="188"/>
      <c r="R236" s="188"/>
      <c r="S236" s="188"/>
      <c r="T236" s="188"/>
      <c r="U236" s="190"/>
      <c r="V236" s="190"/>
      <c r="W236" s="190"/>
      <c r="X236" s="188"/>
      <c r="Y236" s="188"/>
      <c r="Z236" s="190"/>
      <c r="AA236" s="188"/>
      <c r="AB236" s="188"/>
      <c r="AC236" s="188"/>
      <c r="AD236" s="188"/>
      <c r="AE236" s="188"/>
    </row>
    <row r="237" ht="14.25" customHeight="1">
      <c r="A237" s="186" t="s">
        <v>1138</v>
      </c>
      <c r="B237" s="187" t="s">
        <v>1139</v>
      </c>
      <c r="C237" s="186" t="s">
        <v>1140</v>
      </c>
      <c r="D237" s="188"/>
      <c r="E237" s="188"/>
      <c r="F237" s="189" t="s">
        <v>1141</v>
      </c>
      <c r="G237" s="188"/>
      <c r="H237" s="188"/>
      <c r="I237" s="188"/>
      <c r="J237" s="188"/>
      <c r="K237" s="188"/>
      <c r="L237" s="188"/>
      <c r="M237" s="188"/>
      <c r="N237" s="188"/>
      <c r="O237" s="188"/>
      <c r="P237" s="188"/>
      <c r="Q237" s="188"/>
      <c r="R237" s="188"/>
      <c r="S237" s="188"/>
      <c r="T237" s="188"/>
      <c r="U237" s="190"/>
      <c r="V237" s="190"/>
      <c r="W237" s="190"/>
      <c r="X237" s="188"/>
      <c r="Y237" s="188"/>
      <c r="Z237" s="190"/>
      <c r="AA237" s="188"/>
      <c r="AB237" s="188"/>
      <c r="AC237" s="188"/>
      <c r="AD237" s="188"/>
      <c r="AE237" s="188"/>
    </row>
    <row r="238" ht="14.25" customHeight="1">
      <c r="A238" s="186" t="s">
        <v>1142</v>
      </c>
      <c r="B238" s="187" t="s">
        <v>1143</v>
      </c>
      <c r="C238" s="186" t="s">
        <v>1144</v>
      </c>
      <c r="D238" s="188"/>
      <c r="E238" s="188"/>
      <c r="F238" s="189" t="s">
        <v>1145</v>
      </c>
      <c r="G238" s="188"/>
      <c r="H238" s="188"/>
      <c r="I238" s="188"/>
      <c r="J238" s="188"/>
      <c r="K238" s="188"/>
      <c r="L238" s="188"/>
      <c r="M238" s="188"/>
      <c r="N238" s="188"/>
      <c r="O238" s="188"/>
      <c r="P238" s="188"/>
      <c r="Q238" s="188"/>
      <c r="R238" s="188"/>
      <c r="S238" s="188"/>
      <c r="T238" s="188"/>
      <c r="U238" s="190"/>
      <c r="V238" s="190"/>
      <c r="W238" s="190"/>
      <c r="X238" s="188"/>
      <c r="Y238" s="188"/>
      <c r="Z238" s="190"/>
      <c r="AA238" s="188"/>
      <c r="AB238" s="188"/>
      <c r="AC238" s="188"/>
      <c r="AD238" s="188"/>
      <c r="AE238" s="188"/>
    </row>
    <row r="239" ht="14.25" customHeight="1">
      <c r="A239" s="186" t="s">
        <v>1146</v>
      </c>
      <c r="B239" s="187" t="s">
        <v>1147</v>
      </c>
      <c r="C239" s="186" t="s">
        <v>1148</v>
      </c>
      <c r="D239" s="188"/>
      <c r="E239" s="188"/>
      <c r="F239" s="189" t="s">
        <v>1149</v>
      </c>
      <c r="G239" s="188"/>
      <c r="H239" s="188"/>
      <c r="I239" s="188"/>
      <c r="J239" s="188"/>
      <c r="K239" s="188"/>
      <c r="L239" s="188"/>
      <c r="M239" s="188"/>
      <c r="N239" s="188"/>
      <c r="O239" s="188"/>
      <c r="P239" s="188"/>
      <c r="Q239" s="188"/>
      <c r="R239" s="188"/>
      <c r="S239" s="188"/>
      <c r="T239" s="188"/>
      <c r="U239" s="190"/>
      <c r="V239" s="190"/>
      <c r="W239" s="190"/>
      <c r="X239" s="188"/>
      <c r="Y239" s="188"/>
      <c r="Z239" s="190"/>
      <c r="AA239" s="188"/>
      <c r="AB239" s="188"/>
      <c r="AC239" s="188"/>
      <c r="AD239" s="188"/>
      <c r="AE239" s="188"/>
    </row>
    <row r="240" ht="14.25" customHeight="1">
      <c r="A240" s="186" t="s">
        <v>1150</v>
      </c>
      <c r="B240" s="187" t="s">
        <v>1151</v>
      </c>
      <c r="C240" s="186" t="s">
        <v>1152</v>
      </c>
      <c r="D240" s="188"/>
      <c r="E240" s="188"/>
      <c r="F240" s="189" t="s">
        <v>1153</v>
      </c>
      <c r="G240" s="188"/>
      <c r="H240" s="188"/>
      <c r="I240" s="188"/>
      <c r="J240" s="188"/>
      <c r="K240" s="188"/>
      <c r="L240" s="188"/>
      <c r="M240" s="188"/>
      <c r="N240" s="188"/>
      <c r="O240" s="188"/>
      <c r="P240" s="188"/>
      <c r="Q240" s="188"/>
      <c r="R240" s="188"/>
      <c r="S240" s="188"/>
      <c r="T240" s="188"/>
      <c r="U240" s="190"/>
      <c r="V240" s="190"/>
      <c r="W240" s="190"/>
      <c r="X240" s="188"/>
      <c r="Y240" s="188"/>
      <c r="Z240" s="190"/>
      <c r="AA240" s="188"/>
      <c r="AB240" s="188"/>
      <c r="AC240" s="188"/>
      <c r="AD240" s="188"/>
      <c r="AE240" s="188"/>
    </row>
    <row r="241" ht="14.25" customHeight="1">
      <c r="A241" s="186" t="s">
        <v>1154</v>
      </c>
      <c r="B241" s="187" t="s">
        <v>1155</v>
      </c>
      <c r="C241" s="186" t="s">
        <v>1156</v>
      </c>
      <c r="D241" s="188"/>
      <c r="E241" s="188"/>
      <c r="F241" s="189" t="s">
        <v>232</v>
      </c>
      <c r="G241" s="188"/>
      <c r="H241" s="188"/>
      <c r="I241" s="188"/>
      <c r="J241" s="188"/>
      <c r="K241" s="188"/>
      <c r="L241" s="188"/>
      <c r="M241" s="188"/>
      <c r="N241" s="188"/>
      <c r="O241" s="188"/>
      <c r="P241" s="188"/>
      <c r="Q241" s="188"/>
      <c r="R241" s="188"/>
      <c r="S241" s="188"/>
      <c r="T241" s="188"/>
      <c r="U241" s="190"/>
      <c r="V241" s="190"/>
      <c r="W241" s="190"/>
      <c r="X241" s="188"/>
      <c r="Y241" s="188"/>
      <c r="Z241" s="190"/>
      <c r="AA241" s="188"/>
      <c r="AB241" s="188"/>
      <c r="AC241" s="188"/>
      <c r="AD241" s="188"/>
      <c r="AE241" s="188"/>
    </row>
    <row r="242" ht="14.25" customHeight="1">
      <c r="A242" s="186" t="s">
        <v>1157</v>
      </c>
      <c r="B242" s="187" t="s">
        <v>1158</v>
      </c>
      <c r="C242" s="186" t="s">
        <v>1159</v>
      </c>
      <c r="D242" s="188"/>
      <c r="E242" s="188"/>
      <c r="F242" s="189" t="s">
        <v>1160</v>
      </c>
      <c r="G242" s="188"/>
      <c r="H242" s="188"/>
      <c r="I242" s="188"/>
      <c r="J242" s="188"/>
      <c r="K242" s="188"/>
      <c r="L242" s="188"/>
      <c r="M242" s="188"/>
      <c r="N242" s="188"/>
      <c r="O242" s="188"/>
      <c r="P242" s="188"/>
      <c r="Q242" s="188"/>
      <c r="R242" s="188"/>
      <c r="S242" s="188"/>
      <c r="T242" s="188"/>
      <c r="U242" s="190"/>
      <c r="V242" s="190"/>
      <c r="W242" s="190"/>
      <c r="X242" s="188"/>
      <c r="Y242" s="188"/>
      <c r="Z242" s="190"/>
      <c r="AA242" s="188"/>
      <c r="AB242" s="188"/>
      <c r="AC242" s="188"/>
      <c r="AD242" s="188"/>
      <c r="AE242" s="188"/>
    </row>
    <row r="243" ht="14.25" customHeight="1">
      <c r="A243" s="186" t="s">
        <v>1161</v>
      </c>
      <c r="B243" s="187" t="s">
        <v>1162</v>
      </c>
      <c r="C243" s="186" t="s">
        <v>1163</v>
      </c>
      <c r="D243" s="188"/>
      <c r="E243" s="188"/>
      <c r="F243" s="189" t="s">
        <v>1164</v>
      </c>
      <c r="G243" s="188"/>
      <c r="H243" s="188"/>
      <c r="I243" s="188"/>
      <c r="J243" s="188"/>
      <c r="K243" s="188"/>
      <c r="L243" s="188"/>
      <c r="M243" s="188"/>
      <c r="N243" s="188"/>
      <c r="O243" s="188"/>
      <c r="P243" s="188"/>
      <c r="Q243" s="188"/>
      <c r="R243" s="188"/>
      <c r="S243" s="188"/>
      <c r="T243" s="188"/>
      <c r="U243" s="190"/>
      <c r="V243" s="190"/>
      <c r="W243" s="190"/>
      <c r="X243" s="188"/>
      <c r="Y243" s="188"/>
      <c r="Z243" s="190"/>
      <c r="AA243" s="188"/>
      <c r="AB243" s="188"/>
      <c r="AC243" s="188"/>
      <c r="AD243" s="188"/>
      <c r="AE243" s="188"/>
    </row>
    <row r="244" ht="14.25" customHeight="1">
      <c r="A244" s="186" t="s">
        <v>1165</v>
      </c>
      <c r="B244" s="187" t="s">
        <v>1166</v>
      </c>
      <c r="C244" s="186" t="s">
        <v>1167</v>
      </c>
      <c r="D244" s="188"/>
      <c r="E244" s="188"/>
      <c r="F244" s="189" t="s">
        <v>1168</v>
      </c>
      <c r="G244" s="188"/>
      <c r="H244" s="188"/>
      <c r="I244" s="188"/>
      <c r="J244" s="188"/>
      <c r="K244" s="188"/>
      <c r="L244" s="188"/>
      <c r="M244" s="188"/>
      <c r="N244" s="188"/>
      <c r="O244" s="188"/>
      <c r="P244" s="188"/>
      <c r="Q244" s="188"/>
      <c r="R244" s="188"/>
      <c r="S244" s="188"/>
      <c r="T244" s="188"/>
      <c r="U244" s="190"/>
      <c r="V244" s="190"/>
      <c r="W244" s="190"/>
      <c r="X244" s="188"/>
      <c r="Y244" s="188"/>
      <c r="Z244" s="190"/>
      <c r="AA244" s="188"/>
      <c r="AB244" s="188"/>
      <c r="AC244" s="188"/>
      <c r="AD244" s="188"/>
      <c r="AE244" s="188"/>
    </row>
    <row r="245" ht="14.25" customHeight="1">
      <c r="A245" s="186" t="s">
        <v>1169</v>
      </c>
      <c r="B245" s="187" t="s">
        <v>1170</v>
      </c>
      <c r="C245" s="186" t="s">
        <v>1171</v>
      </c>
      <c r="D245" s="188"/>
      <c r="E245" s="188"/>
      <c r="F245" s="189" t="s">
        <v>1172</v>
      </c>
      <c r="G245" s="188"/>
      <c r="H245" s="188"/>
      <c r="I245" s="188"/>
      <c r="J245" s="188"/>
      <c r="K245" s="188"/>
      <c r="L245" s="188"/>
      <c r="M245" s="188"/>
      <c r="N245" s="188"/>
      <c r="O245" s="188"/>
      <c r="P245" s="188"/>
      <c r="Q245" s="188"/>
      <c r="R245" s="188"/>
      <c r="S245" s="188"/>
      <c r="T245" s="188"/>
      <c r="U245" s="190"/>
      <c r="V245" s="190"/>
      <c r="W245" s="190"/>
      <c r="X245" s="188"/>
      <c r="Y245" s="188"/>
      <c r="Z245" s="190"/>
      <c r="AA245" s="188"/>
      <c r="AB245" s="188"/>
      <c r="AC245" s="188"/>
      <c r="AD245" s="188"/>
      <c r="AE245" s="188"/>
    </row>
    <row r="246" ht="14.25" customHeight="1">
      <c r="A246" s="186" t="s">
        <v>1173</v>
      </c>
      <c r="B246" s="187" t="s">
        <v>1174</v>
      </c>
      <c r="C246" s="186" t="s">
        <v>1175</v>
      </c>
      <c r="D246" s="188"/>
      <c r="E246" s="188"/>
      <c r="F246" s="189" t="s">
        <v>1176</v>
      </c>
      <c r="G246" s="188"/>
      <c r="H246" s="188"/>
      <c r="I246" s="188"/>
      <c r="J246" s="188"/>
      <c r="K246" s="188"/>
      <c r="L246" s="188"/>
      <c r="M246" s="188"/>
      <c r="N246" s="188"/>
      <c r="O246" s="188"/>
      <c r="P246" s="188"/>
      <c r="Q246" s="188"/>
      <c r="R246" s="188"/>
      <c r="S246" s="188"/>
      <c r="T246" s="188"/>
      <c r="U246" s="190"/>
      <c r="V246" s="190"/>
      <c r="W246" s="190"/>
      <c r="X246" s="188"/>
      <c r="Y246" s="188"/>
      <c r="Z246" s="190"/>
      <c r="AA246" s="188"/>
      <c r="AB246" s="188"/>
      <c r="AC246" s="188"/>
      <c r="AD246" s="188"/>
      <c r="AE246" s="188"/>
    </row>
    <row r="247" ht="14.25" customHeight="1">
      <c r="A247" s="186" t="s">
        <v>1177</v>
      </c>
      <c r="B247" s="187" t="s">
        <v>1178</v>
      </c>
      <c r="C247" s="186" t="s">
        <v>1179</v>
      </c>
      <c r="D247" s="188"/>
      <c r="E247" s="188"/>
      <c r="F247" s="189" t="s">
        <v>1180</v>
      </c>
      <c r="G247" s="188"/>
      <c r="H247" s="188"/>
      <c r="I247" s="188"/>
      <c r="J247" s="188"/>
      <c r="K247" s="188"/>
      <c r="L247" s="188"/>
      <c r="M247" s="188"/>
      <c r="N247" s="188"/>
      <c r="O247" s="188"/>
      <c r="P247" s="188"/>
      <c r="Q247" s="188"/>
      <c r="R247" s="188"/>
      <c r="S247" s="188"/>
      <c r="T247" s="188"/>
      <c r="U247" s="190"/>
      <c r="V247" s="190"/>
      <c r="W247" s="190"/>
      <c r="X247" s="188"/>
      <c r="Y247" s="188"/>
      <c r="Z247" s="190"/>
      <c r="AA247" s="188"/>
      <c r="AB247" s="188"/>
      <c r="AC247" s="188"/>
      <c r="AD247" s="188"/>
      <c r="AE247" s="188"/>
    </row>
    <row r="248" ht="14.25" customHeight="1">
      <c r="A248" s="186" t="s">
        <v>1181</v>
      </c>
      <c r="B248" s="187" t="s">
        <v>1182</v>
      </c>
      <c r="C248" s="186" t="s">
        <v>1183</v>
      </c>
      <c r="D248" s="188"/>
      <c r="E248" s="188"/>
      <c r="F248" s="189" t="s">
        <v>1184</v>
      </c>
      <c r="G248" s="188"/>
      <c r="H248" s="188"/>
      <c r="I248" s="188"/>
      <c r="J248" s="188"/>
      <c r="K248" s="188"/>
      <c r="L248" s="188"/>
      <c r="M248" s="188"/>
      <c r="N248" s="188"/>
      <c r="O248" s="188"/>
      <c r="P248" s="188"/>
      <c r="Q248" s="188"/>
      <c r="R248" s="188"/>
      <c r="S248" s="188"/>
      <c r="T248" s="188"/>
      <c r="U248" s="190"/>
      <c r="V248" s="190"/>
      <c r="W248" s="190"/>
      <c r="X248" s="188"/>
      <c r="Y248" s="188"/>
      <c r="Z248" s="190"/>
      <c r="AA248" s="188"/>
      <c r="AB248" s="188"/>
      <c r="AC248" s="188"/>
      <c r="AD248" s="188"/>
      <c r="AE248" s="188"/>
    </row>
    <row r="249" ht="14.25" customHeight="1">
      <c r="A249" s="186" t="s">
        <v>1185</v>
      </c>
      <c r="B249" s="187" t="s">
        <v>1186</v>
      </c>
      <c r="C249" s="186" t="s">
        <v>1187</v>
      </c>
      <c r="D249" s="188"/>
      <c r="E249" s="188"/>
      <c r="F249" s="189" t="s">
        <v>1188</v>
      </c>
      <c r="G249" s="188"/>
      <c r="H249" s="188"/>
      <c r="I249" s="188"/>
      <c r="J249" s="188"/>
      <c r="K249" s="188"/>
      <c r="L249" s="188"/>
      <c r="M249" s="188"/>
      <c r="N249" s="188"/>
      <c r="O249" s="188"/>
      <c r="P249" s="188"/>
      <c r="Q249" s="188"/>
      <c r="R249" s="188"/>
      <c r="S249" s="188"/>
      <c r="T249" s="188"/>
      <c r="U249" s="190"/>
      <c r="V249" s="190"/>
      <c r="W249" s="190"/>
      <c r="X249" s="188"/>
      <c r="Y249" s="188"/>
      <c r="Z249" s="190"/>
      <c r="AA249" s="188"/>
      <c r="AB249" s="188"/>
      <c r="AC249" s="188"/>
      <c r="AD249" s="188"/>
      <c r="AE249" s="188"/>
    </row>
    <row r="250" ht="14.25" customHeight="1">
      <c r="A250" s="186" t="s">
        <v>1189</v>
      </c>
      <c r="B250" s="187" t="s">
        <v>1190</v>
      </c>
      <c r="C250" s="186" t="s">
        <v>1191</v>
      </c>
      <c r="D250" s="188"/>
      <c r="E250" s="188"/>
      <c r="F250" s="189" t="s">
        <v>1192</v>
      </c>
      <c r="G250" s="188"/>
      <c r="H250" s="188"/>
      <c r="I250" s="188"/>
      <c r="J250" s="188"/>
      <c r="K250" s="188"/>
      <c r="L250" s="188"/>
      <c r="M250" s="188"/>
      <c r="N250" s="188"/>
      <c r="O250" s="188"/>
      <c r="P250" s="188"/>
      <c r="Q250" s="188"/>
      <c r="R250" s="188"/>
      <c r="S250" s="188"/>
      <c r="T250" s="188"/>
      <c r="U250" s="190"/>
      <c r="V250" s="190"/>
      <c r="W250" s="190"/>
      <c r="X250" s="188"/>
      <c r="Y250" s="188"/>
      <c r="Z250" s="190"/>
      <c r="AA250" s="188"/>
      <c r="AB250" s="188"/>
      <c r="AC250" s="188"/>
      <c r="AD250" s="188"/>
      <c r="AE250" s="188"/>
    </row>
    <row r="251" ht="14.25" customHeight="1">
      <c r="A251" s="186" t="s">
        <v>1193</v>
      </c>
      <c r="B251" s="187" t="s">
        <v>1194</v>
      </c>
      <c r="C251" s="186" t="s">
        <v>1195</v>
      </c>
      <c r="D251" s="188"/>
      <c r="E251" s="188"/>
      <c r="F251" s="189" t="s">
        <v>1196</v>
      </c>
      <c r="G251" s="188"/>
      <c r="H251" s="188"/>
      <c r="I251" s="188"/>
      <c r="J251" s="188"/>
      <c r="K251" s="188"/>
      <c r="L251" s="188"/>
      <c r="M251" s="188"/>
      <c r="N251" s="188"/>
      <c r="O251" s="188"/>
      <c r="P251" s="188"/>
      <c r="Q251" s="188"/>
      <c r="R251" s="188"/>
      <c r="S251" s="188"/>
      <c r="T251" s="188"/>
      <c r="U251" s="190"/>
      <c r="V251" s="190"/>
      <c r="W251" s="190"/>
      <c r="X251" s="188"/>
      <c r="Y251" s="188"/>
      <c r="Z251" s="190"/>
      <c r="AA251" s="188"/>
      <c r="AB251" s="188"/>
      <c r="AC251" s="188"/>
      <c r="AD251" s="188"/>
      <c r="AE251" s="188"/>
    </row>
    <row r="252" ht="14.25" customHeight="1">
      <c r="A252" s="186" t="s">
        <v>1197</v>
      </c>
      <c r="B252" s="187" t="s">
        <v>1198</v>
      </c>
      <c r="C252" s="186" t="s">
        <v>1199</v>
      </c>
      <c r="D252" s="188"/>
      <c r="E252" s="188"/>
      <c r="F252" s="189" t="s">
        <v>1200</v>
      </c>
      <c r="G252" s="188"/>
      <c r="H252" s="188"/>
      <c r="I252" s="188"/>
      <c r="J252" s="188"/>
      <c r="K252" s="188"/>
      <c r="L252" s="188"/>
      <c r="M252" s="188"/>
      <c r="N252" s="188"/>
      <c r="O252" s="188"/>
      <c r="P252" s="188"/>
      <c r="Q252" s="188"/>
      <c r="R252" s="188"/>
      <c r="S252" s="188"/>
      <c r="T252" s="188"/>
      <c r="U252" s="190"/>
      <c r="V252" s="190"/>
      <c r="W252" s="190"/>
      <c r="X252" s="188"/>
      <c r="Y252" s="188"/>
      <c r="Z252" s="190"/>
      <c r="AA252" s="188"/>
      <c r="AB252" s="188"/>
      <c r="AC252" s="188"/>
      <c r="AD252" s="188"/>
      <c r="AE252" s="188"/>
    </row>
    <row r="253" ht="14.25" customHeight="1">
      <c r="A253" s="186" t="s">
        <v>1201</v>
      </c>
      <c r="B253" s="187" t="s">
        <v>1202</v>
      </c>
      <c r="C253" s="186" t="s">
        <v>1203</v>
      </c>
      <c r="D253" s="188"/>
      <c r="E253" s="188"/>
      <c r="F253" s="189" t="s">
        <v>1204</v>
      </c>
      <c r="G253" s="188"/>
      <c r="H253" s="188"/>
      <c r="I253" s="188"/>
      <c r="J253" s="188"/>
      <c r="K253" s="188"/>
      <c r="L253" s="188"/>
      <c r="M253" s="188"/>
      <c r="N253" s="188"/>
      <c r="O253" s="188"/>
      <c r="P253" s="188"/>
      <c r="Q253" s="188"/>
      <c r="R253" s="188"/>
      <c r="S253" s="188"/>
      <c r="T253" s="188"/>
      <c r="U253" s="190"/>
      <c r="V253" s="190"/>
      <c r="W253" s="190"/>
      <c r="X253" s="188"/>
      <c r="Y253" s="188"/>
      <c r="Z253" s="190"/>
      <c r="AA253" s="188"/>
      <c r="AB253" s="188"/>
      <c r="AC253" s="188"/>
      <c r="AD253" s="188"/>
      <c r="AE253" s="188"/>
    </row>
    <row r="254" ht="14.25" customHeight="1">
      <c r="A254" s="186" t="s">
        <v>1205</v>
      </c>
      <c r="B254" s="187" t="s">
        <v>1206</v>
      </c>
      <c r="C254" s="186" t="s">
        <v>1207</v>
      </c>
      <c r="D254" s="188"/>
      <c r="E254" s="188"/>
      <c r="F254" s="189" t="s">
        <v>1208</v>
      </c>
      <c r="G254" s="188"/>
      <c r="H254" s="188"/>
      <c r="I254" s="188"/>
      <c r="J254" s="188"/>
      <c r="K254" s="188"/>
      <c r="L254" s="188"/>
      <c r="M254" s="188"/>
      <c r="N254" s="188"/>
      <c r="O254" s="188"/>
      <c r="P254" s="188"/>
      <c r="Q254" s="188"/>
      <c r="R254" s="188"/>
      <c r="S254" s="188"/>
      <c r="T254" s="188"/>
      <c r="U254" s="190"/>
      <c r="V254" s="190"/>
      <c r="W254" s="190"/>
      <c r="X254" s="188"/>
      <c r="Y254" s="188"/>
      <c r="Z254" s="190"/>
      <c r="AA254" s="188"/>
      <c r="AB254" s="188"/>
      <c r="AC254" s="188"/>
      <c r="AD254" s="188"/>
      <c r="AE254" s="188"/>
    </row>
    <row r="255" ht="14.25" customHeight="1">
      <c r="A255" s="186" t="s">
        <v>1209</v>
      </c>
      <c r="B255" s="187" t="s">
        <v>1210</v>
      </c>
      <c r="C255" s="186" t="s">
        <v>1211</v>
      </c>
      <c r="D255" s="188"/>
      <c r="E255" s="188"/>
      <c r="F255" s="189" t="s">
        <v>1212</v>
      </c>
      <c r="G255" s="188"/>
      <c r="H255" s="188"/>
      <c r="I255" s="188"/>
      <c r="J255" s="188"/>
      <c r="K255" s="188"/>
      <c r="L255" s="188"/>
      <c r="M255" s="188"/>
      <c r="N255" s="188"/>
      <c r="O255" s="188"/>
      <c r="P255" s="188"/>
      <c r="Q255" s="188"/>
      <c r="R255" s="188"/>
      <c r="S255" s="188"/>
      <c r="T255" s="188"/>
      <c r="U255" s="190"/>
      <c r="V255" s="190"/>
      <c r="W255" s="190"/>
      <c r="X255" s="188"/>
      <c r="Y255" s="188"/>
      <c r="Z255" s="190"/>
      <c r="AA255" s="188"/>
      <c r="AB255" s="188"/>
      <c r="AC255" s="188"/>
      <c r="AD255" s="188"/>
      <c r="AE255" s="188"/>
    </row>
    <row r="256" ht="14.25" customHeight="1">
      <c r="A256" s="186" t="s">
        <v>1213</v>
      </c>
      <c r="B256" s="187" t="s">
        <v>1214</v>
      </c>
      <c r="C256" s="186" t="s">
        <v>1215</v>
      </c>
      <c r="D256" s="188"/>
      <c r="E256" s="188"/>
      <c r="F256" s="189" t="s">
        <v>1216</v>
      </c>
      <c r="G256" s="188"/>
      <c r="H256" s="188"/>
      <c r="I256" s="188"/>
      <c r="J256" s="188"/>
      <c r="K256" s="188"/>
      <c r="L256" s="188"/>
      <c r="M256" s="188"/>
      <c r="N256" s="188"/>
      <c r="O256" s="188"/>
      <c r="P256" s="188"/>
      <c r="Q256" s="188"/>
      <c r="R256" s="188"/>
      <c r="S256" s="188"/>
      <c r="T256" s="188"/>
      <c r="U256" s="190"/>
      <c r="V256" s="190"/>
      <c r="W256" s="190"/>
      <c r="X256" s="188"/>
      <c r="Y256" s="188"/>
      <c r="Z256" s="190"/>
      <c r="AA256" s="188"/>
      <c r="AB256" s="188"/>
      <c r="AC256" s="188"/>
      <c r="AD256" s="188"/>
      <c r="AE256" s="188"/>
    </row>
    <row r="257" ht="14.25" customHeight="1">
      <c r="A257" s="186" t="s">
        <v>1217</v>
      </c>
      <c r="B257" s="187" t="s">
        <v>1218</v>
      </c>
      <c r="C257" s="186" t="s">
        <v>1219</v>
      </c>
      <c r="D257" s="188"/>
      <c r="E257" s="188"/>
      <c r="F257" s="189" t="s">
        <v>1220</v>
      </c>
      <c r="G257" s="188"/>
      <c r="H257" s="188"/>
      <c r="I257" s="188"/>
      <c r="J257" s="188"/>
      <c r="K257" s="188"/>
      <c r="L257" s="188"/>
      <c r="M257" s="188"/>
      <c r="N257" s="188"/>
      <c r="O257" s="188"/>
      <c r="P257" s="188"/>
      <c r="Q257" s="188"/>
      <c r="R257" s="188"/>
      <c r="S257" s="188"/>
      <c r="T257" s="188"/>
      <c r="U257" s="190"/>
      <c r="V257" s="190"/>
      <c r="W257" s="190"/>
      <c r="X257" s="188"/>
      <c r="Y257" s="188"/>
      <c r="Z257" s="190"/>
      <c r="AA257" s="188"/>
      <c r="AB257" s="188"/>
      <c r="AC257" s="188"/>
      <c r="AD257" s="188"/>
      <c r="AE257" s="188"/>
    </row>
    <row r="258" ht="14.25" customHeight="1">
      <c r="A258" s="186" t="s">
        <v>1221</v>
      </c>
      <c r="B258" s="187" t="s">
        <v>1222</v>
      </c>
      <c r="C258" s="186" t="s">
        <v>1223</v>
      </c>
      <c r="D258" s="188"/>
      <c r="E258" s="188"/>
      <c r="F258" s="189" t="s">
        <v>1224</v>
      </c>
      <c r="G258" s="188"/>
      <c r="H258" s="188"/>
      <c r="I258" s="188"/>
      <c r="J258" s="188"/>
      <c r="K258" s="188"/>
      <c r="L258" s="188"/>
      <c r="M258" s="188"/>
      <c r="N258" s="188"/>
      <c r="O258" s="188"/>
      <c r="P258" s="188"/>
      <c r="Q258" s="188"/>
      <c r="R258" s="188"/>
      <c r="S258" s="188"/>
      <c r="T258" s="188"/>
      <c r="U258" s="190"/>
      <c r="V258" s="190"/>
      <c r="W258" s="190"/>
      <c r="X258" s="188"/>
      <c r="Y258" s="188"/>
      <c r="Z258" s="190"/>
      <c r="AA258" s="188"/>
      <c r="AB258" s="188"/>
      <c r="AC258" s="188"/>
      <c r="AD258" s="188"/>
      <c r="AE258" s="188"/>
    </row>
    <row r="259" ht="14.25" customHeight="1">
      <c r="A259" s="186" t="s">
        <v>1225</v>
      </c>
      <c r="B259" s="187" t="s">
        <v>1226</v>
      </c>
      <c r="C259" s="186" t="s">
        <v>1227</v>
      </c>
      <c r="D259" s="188"/>
      <c r="E259" s="188"/>
      <c r="F259" s="189" t="s">
        <v>1228</v>
      </c>
      <c r="G259" s="188"/>
      <c r="H259" s="188"/>
      <c r="I259" s="188"/>
      <c r="J259" s="188"/>
      <c r="K259" s="188"/>
      <c r="L259" s="188"/>
      <c r="M259" s="188"/>
      <c r="N259" s="188"/>
      <c r="O259" s="188"/>
      <c r="P259" s="188"/>
      <c r="Q259" s="188"/>
      <c r="R259" s="188"/>
      <c r="S259" s="188"/>
      <c r="T259" s="188"/>
      <c r="U259" s="190"/>
      <c r="V259" s="190"/>
      <c r="W259" s="190"/>
      <c r="X259" s="188"/>
      <c r="Y259" s="188"/>
      <c r="Z259" s="190"/>
      <c r="AA259" s="188"/>
      <c r="AB259" s="188"/>
      <c r="AC259" s="188"/>
      <c r="AD259" s="188"/>
      <c r="AE259" s="188"/>
    </row>
    <row r="260" ht="14.25" customHeight="1">
      <c r="A260" s="186" t="s">
        <v>1229</v>
      </c>
      <c r="B260" s="187" t="s">
        <v>1230</v>
      </c>
      <c r="C260" s="186" t="s">
        <v>1231</v>
      </c>
      <c r="D260" s="188"/>
      <c r="E260" s="188"/>
      <c r="F260" s="189" t="s">
        <v>232</v>
      </c>
      <c r="G260" s="188"/>
      <c r="H260" s="188"/>
      <c r="I260" s="188"/>
      <c r="J260" s="188"/>
      <c r="K260" s="188"/>
      <c r="L260" s="188"/>
      <c r="M260" s="188"/>
      <c r="N260" s="188"/>
      <c r="O260" s="188"/>
      <c r="P260" s="188"/>
      <c r="Q260" s="188"/>
      <c r="R260" s="188"/>
      <c r="S260" s="188"/>
      <c r="T260" s="188"/>
      <c r="U260" s="190"/>
      <c r="V260" s="190"/>
      <c r="W260" s="190"/>
      <c r="X260" s="188"/>
      <c r="Y260" s="188"/>
      <c r="Z260" s="190"/>
      <c r="AA260" s="188"/>
      <c r="AB260" s="188"/>
      <c r="AC260" s="188"/>
      <c r="AD260" s="188"/>
      <c r="AE260" s="188"/>
    </row>
    <row r="261" ht="14.25" customHeight="1">
      <c r="A261" s="186" t="s">
        <v>1232</v>
      </c>
      <c r="B261" s="187" t="s">
        <v>1233</v>
      </c>
      <c r="C261" s="186" t="s">
        <v>1234</v>
      </c>
      <c r="D261" s="188"/>
      <c r="E261" s="188"/>
      <c r="F261" s="189" t="s">
        <v>1235</v>
      </c>
      <c r="G261" s="188"/>
      <c r="H261" s="188"/>
      <c r="I261" s="188"/>
      <c r="J261" s="188"/>
      <c r="K261" s="188"/>
      <c r="L261" s="188"/>
      <c r="M261" s="188"/>
      <c r="N261" s="188"/>
      <c r="O261" s="188"/>
      <c r="P261" s="188"/>
      <c r="Q261" s="188"/>
      <c r="R261" s="188"/>
      <c r="S261" s="188"/>
      <c r="T261" s="188"/>
      <c r="U261" s="190"/>
      <c r="V261" s="190"/>
      <c r="W261" s="190"/>
      <c r="X261" s="188"/>
      <c r="Y261" s="188"/>
      <c r="Z261" s="190"/>
      <c r="AA261" s="188"/>
      <c r="AB261" s="188"/>
      <c r="AC261" s="188"/>
      <c r="AD261" s="188"/>
      <c r="AE261" s="188"/>
    </row>
    <row r="262" ht="14.25" customHeight="1">
      <c r="A262" s="186" t="s">
        <v>1236</v>
      </c>
      <c r="B262" s="187" t="s">
        <v>1237</v>
      </c>
      <c r="C262" s="186" t="s">
        <v>1238</v>
      </c>
      <c r="D262" s="188"/>
      <c r="E262" s="188"/>
      <c r="F262" s="189" t="s">
        <v>1239</v>
      </c>
      <c r="G262" s="188"/>
      <c r="H262" s="188"/>
      <c r="I262" s="188"/>
      <c r="J262" s="188"/>
      <c r="K262" s="188"/>
      <c r="L262" s="188"/>
      <c r="M262" s="188"/>
      <c r="N262" s="188"/>
      <c r="O262" s="188"/>
      <c r="P262" s="188"/>
      <c r="Q262" s="188"/>
      <c r="R262" s="188"/>
      <c r="S262" s="188"/>
      <c r="T262" s="188"/>
      <c r="U262" s="190"/>
      <c r="V262" s="190"/>
      <c r="W262" s="190"/>
      <c r="X262" s="188"/>
      <c r="Y262" s="188"/>
      <c r="Z262" s="190"/>
      <c r="AA262" s="188"/>
      <c r="AB262" s="188"/>
      <c r="AC262" s="188"/>
      <c r="AD262" s="188"/>
      <c r="AE262" s="188"/>
    </row>
    <row r="263" ht="14.25" customHeight="1">
      <c r="A263" s="186" t="s">
        <v>1240</v>
      </c>
      <c r="B263" s="187" t="s">
        <v>1241</v>
      </c>
      <c r="C263" s="186" t="s">
        <v>1242</v>
      </c>
      <c r="D263" s="188"/>
      <c r="E263" s="188"/>
      <c r="F263" s="189" t="s">
        <v>1243</v>
      </c>
      <c r="G263" s="188"/>
      <c r="H263" s="188"/>
      <c r="I263" s="188"/>
      <c r="J263" s="188"/>
      <c r="K263" s="188"/>
      <c r="L263" s="188"/>
      <c r="M263" s="188"/>
      <c r="N263" s="188"/>
      <c r="O263" s="188"/>
      <c r="P263" s="188"/>
      <c r="Q263" s="188"/>
      <c r="R263" s="188"/>
      <c r="S263" s="188"/>
      <c r="T263" s="188"/>
      <c r="U263" s="190"/>
      <c r="V263" s="190"/>
      <c r="W263" s="190"/>
      <c r="X263" s="188"/>
      <c r="Y263" s="188"/>
      <c r="Z263" s="190"/>
      <c r="AA263" s="188"/>
      <c r="AB263" s="188"/>
      <c r="AC263" s="188"/>
      <c r="AD263" s="188"/>
      <c r="AE263" s="188"/>
    </row>
    <row r="264" ht="14.25" customHeight="1">
      <c r="A264" s="186" t="s">
        <v>1244</v>
      </c>
      <c r="B264" s="187" t="s">
        <v>1245</v>
      </c>
      <c r="C264" s="186" t="s">
        <v>1246</v>
      </c>
      <c r="D264" s="188"/>
      <c r="E264" s="188"/>
      <c r="F264" s="189" t="s">
        <v>1247</v>
      </c>
      <c r="G264" s="188"/>
      <c r="H264" s="188"/>
      <c r="I264" s="188"/>
      <c r="J264" s="188"/>
      <c r="K264" s="188"/>
      <c r="L264" s="188"/>
      <c r="M264" s="188"/>
      <c r="N264" s="188"/>
      <c r="O264" s="188"/>
      <c r="P264" s="188"/>
      <c r="Q264" s="188"/>
      <c r="R264" s="188"/>
      <c r="S264" s="188"/>
      <c r="T264" s="188"/>
      <c r="U264" s="190"/>
      <c r="V264" s="190"/>
      <c r="W264" s="190"/>
      <c r="X264" s="188"/>
      <c r="Y264" s="188"/>
      <c r="Z264" s="190"/>
      <c r="AA264" s="188"/>
      <c r="AB264" s="188"/>
      <c r="AC264" s="188"/>
      <c r="AD264" s="188"/>
      <c r="AE264" s="188"/>
    </row>
    <row r="265" ht="14.25" customHeight="1">
      <c r="A265" s="186" t="s">
        <v>1248</v>
      </c>
      <c r="B265" s="187" t="s">
        <v>1249</v>
      </c>
      <c r="C265" s="186" t="s">
        <v>1250</v>
      </c>
      <c r="D265" s="188"/>
      <c r="E265" s="188"/>
      <c r="F265" s="189" t="s">
        <v>1251</v>
      </c>
      <c r="G265" s="188"/>
      <c r="H265" s="188"/>
      <c r="I265" s="188"/>
      <c r="J265" s="188"/>
      <c r="K265" s="188"/>
      <c r="L265" s="188"/>
      <c r="M265" s="188"/>
      <c r="N265" s="188"/>
      <c r="O265" s="188"/>
      <c r="P265" s="188"/>
      <c r="Q265" s="188"/>
      <c r="R265" s="188"/>
      <c r="S265" s="188"/>
      <c r="T265" s="188"/>
      <c r="U265" s="190"/>
      <c r="V265" s="190"/>
      <c r="W265" s="190"/>
      <c r="X265" s="188"/>
      <c r="Y265" s="188"/>
      <c r="Z265" s="190"/>
      <c r="AA265" s="188"/>
      <c r="AB265" s="188"/>
      <c r="AC265" s="188"/>
      <c r="AD265" s="188"/>
      <c r="AE265" s="188"/>
    </row>
    <row r="266" ht="14.25" customHeight="1">
      <c r="A266" s="186" t="s">
        <v>1252</v>
      </c>
      <c r="B266" s="187" t="s">
        <v>1253</v>
      </c>
      <c r="C266" s="186" t="s">
        <v>1254</v>
      </c>
      <c r="D266" s="188"/>
      <c r="E266" s="188"/>
      <c r="F266" s="189" t="s">
        <v>1255</v>
      </c>
      <c r="G266" s="188"/>
      <c r="H266" s="188"/>
      <c r="I266" s="188"/>
      <c r="J266" s="188"/>
      <c r="K266" s="188"/>
      <c r="L266" s="188"/>
      <c r="M266" s="188"/>
      <c r="N266" s="188"/>
      <c r="O266" s="188"/>
      <c r="P266" s="188"/>
      <c r="Q266" s="188"/>
      <c r="R266" s="188"/>
      <c r="S266" s="188"/>
      <c r="T266" s="188"/>
      <c r="U266" s="190"/>
      <c r="V266" s="190"/>
      <c r="W266" s="190"/>
      <c r="X266" s="188"/>
      <c r="Y266" s="188"/>
      <c r="Z266" s="190"/>
      <c r="AA266" s="188"/>
      <c r="AB266" s="188"/>
      <c r="AC266" s="188"/>
      <c r="AD266" s="188"/>
      <c r="AE266" s="188"/>
    </row>
    <row r="267" ht="14.25" customHeight="1">
      <c r="A267" s="186" t="s">
        <v>1256</v>
      </c>
      <c r="B267" s="187" t="s">
        <v>1257</v>
      </c>
      <c r="C267" s="186" t="s">
        <v>1258</v>
      </c>
      <c r="D267" s="188"/>
      <c r="E267" s="188"/>
      <c r="F267" s="189" t="s">
        <v>1259</v>
      </c>
      <c r="G267" s="188"/>
      <c r="H267" s="188"/>
      <c r="I267" s="188"/>
      <c r="J267" s="188"/>
      <c r="K267" s="188"/>
      <c r="L267" s="188"/>
      <c r="M267" s="188"/>
      <c r="N267" s="188"/>
      <c r="O267" s="188"/>
      <c r="P267" s="188"/>
      <c r="Q267" s="188"/>
      <c r="R267" s="188"/>
      <c r="S267" s="188"/>
      <c r="T267" s="188"/>
      <c r="U267" s="190"/>
      <c r="V267" s="190"/>
      <c r="W267" s="190"/>
      <c r="X267" s="188"/>
      <c r="Y267" s="188"/>
      <c r="Z267" s="190"/>
      <c r="AA267" s="188"/>
      <c r="AB267" s="188"/>
      <c r="AC267" s="188"/>
      <c r="AD267" s="188"/>
      <c r="AE267" s="188"/>
    </row>
    <row r="268" ht="14.25" customHeight="1">
      <c r="A268" s="186" t="s">
        <v>1260</v>
      </c>
      <c r="B268" s="187" t="s">
        <v>1261</v>
      </c>
      <c r="C268" s="186" t="s">
        <v>1262</v>
      </c>
      <c r="D268" s="188"/>
      <c r="E268" s="188"/>
      <c r="F268" s="189" t="s">
        <v>1263</v>
      </c>
      <c r="G268" s="188"/>
      <c r="H268" s="188"/>
      <c r="I268" s="188"/>
      <c r="J268" s="188"/>
      <c r="K268" s="188"/>
      <c r="L268" s="188"/>
      <c r="M268" s="188"/>
      <c r="N268" s="188"/>
      <c r="O268" s="188"/>
      <c r="P268" s="188"/>
      <c r="Q268" s="188"/>
      <c r="R268" s="188"/>
      <c r="S268" s="188"/>
      <c r="T268" s="188"/>
      <c r="U268" s="190"/>
      <c r="V268" s="190"/>
      <c r="W268" s="190"/>
      <c r="X268" s="188"/>
      <c r="Y268" s="188"/>
      <c r="Z268" s="190"/>
      <c r="AA268" s="188"/>
      <c r="AB268" s="188"/>
      <c r="AC268" s="188"/>
      <c r="AD268" s="188"/>
      <c r="AE268" s="188"/>
    </row>
    <row r="269" ht="14.25" customHeight="1">
      <c r="A269" s="186" t="s">
        <v>1264</v>
      </c>
      <c r="B269" s="187" t="s">
        <v>1265</v>
      </c>
      <c r="C269" s="186" t="s">
        <v>1266</v>
      </c>
      <c r="D269" s="188"/>
      <c r="E269" s="188"/>
      <c r="F269" s="189" t="s">
        <v>1267</v>
      </c>
      <c r="G269" s="188"/>
      <c r="H269" s="188"/>
      <c r="I269" s="188"/>
      <c r="J269" s="188"/>
      <c r="K269" s="188"/>
      <c r="L269" s="188"/>
      <c r="M269" s="188"/>
      <c r="N269" s="188"/>
      <c r="O269" s="188"/>
      <c r="P269" s="188"/>
      <c r="Q269" s="188"/>
      <c r="R269" s="188"/>
      <c r="S269" s="188"/>
      <c r="T269" s="188"/>
      <c r="U269" s="190"/>
      <c r="V269" s="190"/>
      <c r="W269" s="190"/>
      <c r="X269" s="188"/>
      <c r="Y269" s="188"/>
      <c r="Z269" s="190"/>
      <c r="AA269" s="188"/>
      <c r="AB269" s="188"/>
      <c r="AC269" s="188"/>
      <c r="AD269" s="188"/>
      <c r="AE269" s="188"/>
    </row>
    <row r="270" ht="14.25" customHeight="1">
      <c r="A270" s="186" t="s">
        <v>1268</v>
      </c>
      <c r="B270" s="187" t="s">
        <v>1269</v>
      </c>
      <c r="C270" s="186" t="s">
        <v>1270</v>
      </c>
      <c r="D270" s="188"/>
      <c r="E270" s="188"/>
      <c r="F270" s="189" t="s">
        <v>1271</v>
      </c>
      <c r="G270" s="188"/>
      <c r="H270" s="188"/>
      <c r="I270" s="188"/>
      <c r="J270" s="188"/>
      <c r="K270" s="188"/>
      <c r="L270" s="188"/>
      <c r="M270" s="188"/>
      <c r="N270" s="188"/>
      <c r="O270" s="188"/>
      <c r="P270" s="188"/>
      <c r="Q270" s="188"/>
      <c r="R270" s="188"/>
      <c r="S270" s="188"/>
      <c r="T270" s="188"/>
      <c r="U270" s="190"/>
      <c r="V270" s="190"/>
      <c r="W270" s="190"/>
      <c r="X270" s="188"/>
      <c r="Y270" s="188"/>
      <c r="Z270" s="190"/>
      <c r="AA270" s="188"/>
      <c r="AB270" s="188"/>
      <c r="AC270" s="188"/>
      <c r="AD270" s="188"/>
      <c r="AE270" s="188"/>
    </row>
    <row r="271" ht="14.25" customHeight="1">
      <c r="A271" s="186" t="s">
        <v>1272</v>
      </c>
      <c r="B271" s="187" t="s">
        <v>1273</v>
      </c>
      <c r="C271" s="186" t="s">
        <v>1274</v>
      </c>
      <c r="D271" s="188"/>
      <c r="E271" s="188"/>
      <c r="F271" s="189" t="s">
        <v>1275</v>
      </c>
      <c r="G271" s="188"/>
      <c r="H271" s="188"/>
      <c r="I271" s="188"/>
      <c r="J271" s="188"/>
      <c r="K271" s="188"/>
      <c r="L271" s="188"/>
      <c r="M271" s="188"/>
      <c r="N271" s="188"/>
      <c r="O271" s="188"/>
      <c r="P271" s="188"/>
      <c r="Q271" s="188"/>
      <c r="R271" s="188"/>
      <c r="S271" s="188"/>
      <c r="T271" s="188"/>
      <c r="U271" s="190"/>
      <c r="V271" s="190"/>
      <c r="W271" s="190"/>
      <c r="X271" s="188"/>
      <c r="Y271" s="188"/>
      <c r="Z271" s="190"/>
      <c r="AA271" s="188"/>
      <c r="AB271" s="188"/>
      <c r="AC271" s="188"/>
      <c r="AD271" s="188"/>
      <c r="AE271" s="188"/>
    </row>
    <row r="272" ht="14.25" customHeight="1">
      <c r="A272" s="186" t="s">
        <v>1276</v>
      </c>
      <c r="B272" s="187" t="s">
        <v>1277</v>
      </c>
      <c r="C272" s="186" t="s">
        <v>1278</v>
      </c>
      <c r="D272" s="188"/>
      <c r="E272" s="188"/>
      <c r="F272" s="189" t="s">
        <v>1279</v>
      </c>
      <c r="G272" s="188"/>
      <c r="H272" s="188"/>
      <c r="I272" s="188"/>
      <c r="J272" s="188"/>
      <c r="K272" s="188"/>
      <c r="L272" s="188"/>
      <c r="M272" s="188"/>
      <c r="N272" s="188"/>
      <c r="O272" s="188"/>
      <c r="P272" s="188"/>
      <c r="Q272" s="188"/>
      <c r="R272" s="188"/>
      <c r="S272" s="188"/>
      <c r="T272" s="188"/>
      <c r="U272" s="190"/>
      <c r="V272" s="190"/>
      <c r="W272" s="190"/>
      <c r="X272" s="188"/>
      <c r="Y272" s="188"/>
      <c r="Z272" s="190"/>
      <c r="AA272" s="188"/>
      <c r="AB272" s="188"/>
      <c r="AC272" s="188"/>
      <c r="AD272" s="188"/>
      <c r="AE272" s="188"/>
    </row>
    <row r="273" ht="14.25" customHeight="1">
      <c r="A273" s="186" t="s">
        <v>1280</v>
      </c>
      <c r="B273" s="187" t="s">
        <v>1281</v>
      </c>
      <c r="C273" s="186" t="s">
        <v>1282</v>
      </c>
      <c r="D273" s="188"/>
      <c r="E273" s="188"/>
      <c r="F273" s="189" t="s">
        <v>1283</v>
      </c>
      <c r="G273" s="188"/>
      <c r="H273" s="188"/>
      <c r="I273" s="188"/>
      <c r="J273" s="188"/>
      <c r="K273" s="188"/>
      <c r="L273" s="188"/>
      <c r="M273" s="188"/>
      <c r="N273" s="188"/>
      <c r="O273" s="188"/>
      <c r="P273" s="188"/>
      <c r="Q273" s="188"/>
      <c r="R273" s="188"/>
      <c r="S273" s="188"/>
      <c r="T273" s="188"/>
      <c r="U273" s="190"/>
      <c r="V273" s="190"/>
      <c r="W273" s="190"/>
      <c r="X273" s="188"/>
      <c r="Y273" s="188"/>
      <c r="Z273" s="190"/>
      <c r="AA273" s="188"/>
      <c r="AB273" s="188"/>
      <c r="AC273" s="188"/>
      <c r="AD273" s="188"/>
      <c r="AE273" s="188"/>
    </row>
    <row r="274" ht="14.25" customHeight="1">
      <c r="A274" s="186" t="s">
        <v>1284</v>
      </c>
      <c r="B274" s="187" t="s">
        <v>1285</v>
      </c>
      <c r="C274" s="186" t="s">
        <v>1286</v>
      </c>
      <c r="D274" s="188"/>
      <c r="E274" s="188"/>
      <c r="F274" s="189" t="s">
        <v>1287</v>
      </c>
      <c r="G274" s="188"/>
      <c r="H274" s="188"/>
      <c r="I274" s="188"/>
      <c r="J274" s="188"/>
      <c r="K274" s="188"/>
      <c r="L274" s="188"/>
      <c r="M274" s="188"/>
      <c r="N274" s="188"/>
      <c r="O274" s="188"/>
      <c r="P274" s="188"/>
      <c r="Q274" s="188"/>
      <c r="R274" s="188"/>
      <c r="S274" s="188"/>
      <c r="T274" s="188"/>
      <c r="U274" s="190"/>
      <c r="V274" s="190"/>
      <c r="W274" s="190"/>
      <c r="X274" s="188"/>
      <c r="Y274" s="188"/>
      <c r="Z274" s="190"/>
      <c r="AA274" s="188"/>
      <c r="AB274" s="188"/>
      <c r="AC274" s="188"/>
      <c r="AD274" s="188"/>
      <c r="AE274" s="188"/>
    </row>
    <row r="275" ht="14.25" customHeight="1">
      <c r="A275" s="186" t="s">
        <v>1288</v>
      </c>
      <c r="B275" s="187" t="s">
        <v>1289</v>
      </c>
      <c r="C275" s="186" t="s">
        <v>1290</v>
      </c>
      <c r="D275" s="188"/>
      <c r="E275" s="188"/>
      <c r="F275" s="189" t="s">
        <v>1291</v>
      </c>
      <c r="G275" s="188"/>
      <c r="H275" s="188"/>
      <c r="I275" s="188"/>
      <c r="J275" s="188"/>
      <c r="K275" s="188"/>
      <c r="L275" s="188"/>
      <c r="M275" s="188"/>
      <c r="N275" s="188"/>
      <c r="O275" s="188"/>
      <c r="P275" s="188"/>
      <c r="Q275" s="188"/>
      <c r="R275" s="188"/>
      <c r="S275" s="188"/>
      <c r="T275" s="188"/>
      <c r="U275" s="190"/>
      <c r="V275" s="190"/>
      <c r="W275" s="190"/>
      <c r="X275" s="188"/>
      <c r="Y275" s="188"/>
      <c r="Z275" s="190"/>
      <c r="AA275" s="188"/>
      <c r="AB275" s="188"/>
      <c r="AC275" s="188"/>
      <c r="AD275" s="188"/>
      <c r="AE275" s="188"/>
    </row>
    <row r="276" ht="14.25" customHeight="1">
      <c r="A276" s="186" t="s">
        <v>1292</v>
      </c>
      <c r="B276" s="187" t="s">
        <v>1293</v>
      </c>
      <c r="C276" s="186" t="s">
        <v>1294</v>
      </c>
      <c r="D276" s="188"/>
      <c r="E276" s="188"/>
      <c r="F276" s="189" t="s">
        <v>1295</v>
      </c>
      <c r="G276" s="188"/>
      <c r="H276" s="188"/>
      <c r="I276" s="188"/>
      <c r="J276" s="188"/>
      <c r="K276" s="188"/>
      <c r="L276" s="188"/>
      <c r="M276" s="188"/>
      <c r="N276" s="188"/>
      <c r="O276" s="188"/>
      <c r="P276" s="188"/>
      <c r="Q276" s="188"/>
      <c r="R276" s="188"/>
      <c r="S276" s="188"/>
      <c r="T276" s="188"/>
      <c r="U276" s="190"/>
      <c r="V276" s="190"/>
      <c r="W276" s="190"/>
      <c r="X276" s="188"/>
      <c r="Y276" s="188"/>
      <c r="Z276" s="190"/>
      <c r="AA276" s="188"/>
      <c r="AB276" s="188"/>
      <c r="AC276" s="188"/>
      <c r="AD276" s="188"/>
      <c r="AE276" s="188"/>
    </row>
    <row r="277" ht="14.25" customHeight="1">
      <c r="A277" s="186" t="s">
        <v>1296</v>
      </c>
      <c r="B277" s="187" t="s">
        <v>1297</v>
      </c>
      <c r="C277" s="186" t="s">
        <v>1298</v>
      </c>
      <c r="D277" s="188"/>
      <c r="E277" s="188"/>
      <c r="F277" s="189" t="s">
        <v>1299</v>
      </c>
      <c r="G277" s="188"/>
      <c r="H277" s="188"/>
      <c r="I277" s="188"/>
      <c r="J277" s="188"/>
      <c r="K277" s="188"/>
      <c r="L277" s="188"/>
      <c r="M277" s="188"/>
      <c r="N277" s="188"/>
      <c r="O277" s="188"/>
      <c r="P277" s="188"/>
      <c r="Q277" s="188"/>
      <c r="R277" s="188"/>
      <c r="S277" s="188"/>
      <c r="T277" s="188"/>
      <c r="U277" s="190"/>
      <c r="V277" s="190"/>
      <c r="W277" s="190"/>
      <c r="X277" s="188"/>
      <c r="Y277" s="188"/>
      <c r="Z277" s="190"/>
      <c r="AA277" s="188"/>
      <c r="AB277" s="188"/>
      <c r="AC277" s="188"/>
      <c r="AD277" s="188"/>
      <c r="AE277" s="188"/>
    </row>
    <row r="278" ht="14.25" customHeight="1">
      <c r="A278" s="186" t="s">
        <v>1300</v>
      </c>
      <c r="B278" s="187" t="s">
        <v>1301</v>
      </c>
      <c r="C278" s="186" t="s">
        <v>1302</v>
      </c>
      <c r="D278" s="188"/>
      <c r="E278" s="188"/>
      <c r="F278" s="189" t="s">
        <v>1303</v>
      </c>
      <c r="G278" s="188"/>
      <c r="H278" s="188"/>
      <c r="I278" s="188"/>
      <c r="J278" s="188"/>
      <c r="K278" s="188"/>
      <c r="L278" s="188"/>
      <c r="M278" s="188"/>
      <c r="N278" s="188"/>
      <c r="O278" s="188"/>
      <c r="P278" s="188"/>
      <c r="Q278" s="188"/>
      <c r="R278" s="188"/>
      <c r="S278" s="188"/>
      <c r="T278" s="188"/>
      <c r="U278" s="190"/>
      <c r="V278" s="190"/>
      <c r="W278" s="190"/>
      <c r="X278" s="188"/>
      <c r="Y278" s="188"/>
      <c r="Z278" s="190"/>
      <c r="AA278" s="188"/>
      <c r="AB278" s="188"/>
      <c r="AC278" s="188"/>
      <c r="AD278" s="188"/>
      <c r="AE278" s="188"/>
    </row>
    <row r="279" ht="14.25" customHeight="1">
      <c r="A279" s="186" t="s">
        <v>1304</v>
      </c>
      <c r="B279" s="187" t="s">
        <v>1305</v>
      </c>
      <c r="C279" s="186" t="s">
        <v>1306</v>
      </c>
      <c r="D279" s="188"/>
      <c r="E279" s="188"/>
      <c r="F279" s="189" t="s">
        <v>1307</v>
      </c>
      <c r="G279" s="188"/>
      <c r="H279" s="188"/>
      <c r="I279" s="188"/>
      <c r="J279" s="188"/>
      <c r="K279" s="188"/>
      <c r="L279" s="188"/>
      <c r="M279" s="188"/>
      <c r="N279" s="188"/>
      <c r="O279" s="188"/>
      <c r="P279" s="188"/>
      <c r="Q279" s="188"/>
      <c r="R279" s="188"/>
      <c r="S279" s="188"/>
      <c r="T279" s="188"/>
      <c r="U279" s="190"/>
      <c r="V279" s="190"/>
      <c r="W279" s="190"/>
      <c r="X279" s="188"/>
      <c r="Y279" s="188"/>
      <c r="Z279" s="190"/>
      <c r="AA279" s="188"/>
      <c r="AB279" s="188"/>
      <c r="AC279" s="188"/>
      <c r="AD279" s="188"/>
      <c r="AE279" s="188"/>
    </row>
    <row r="280" ht="14.25" customHeight="1">
      <c r="A280" s="186" t="s">
        <v>1308</v>
      </c>
      <c r="B280" s="187" t="s">
        <v>1309</v>
      </c>
      <c r="C280" s="186" t="s">
        <v>1310</v>
      </c>
      <c r="D280" s="188"/>
      <c r="E280" s="188"/>
      <c r="F280" s="189" t="s">
        <v>1311</v>
      </c>
      <c r="G280" s="188"/>
      <c r="H280" s="188"/>
      <c r="I280" s="188"/>
      <c r="J280" s="188"/>
      <c r="K280" s="188"/>
      <c r="L280" s="188"/>
      <c r="M280" s="188"/>
      <c r="N280" s="188"/>
      <c r="O280" s="188"/>
      <c r="P280" s="188"/>
      <c r="Q280" s="188"/>
      <c r="R280" s="188"/>
      <c r="S280" s="188"/>
      <c r="T280" s="188"/>
      <c r="U280" s="190"/>
      <c r="V280" s="190"/>
      <c r="W280" s="190"/>
      <c r="X280" s="188"/>
      <c r="Y280" s="188"/>
      <c r="Z280" s="190"/>
      <c r="AA280" s="188"/>
      <c r="AB280" s="188"/>
      <c r="AC280" s="188"/>
      <c r="AD280" s="188"/>
      <c r="AE280" s="188"/>
    </row>
    <row r="281" ht="14.25" customHeight="1">
      <c r="A281" s="186" t="s">
        <v>1312</v>
      </c>
      <c r="B281" s="187" t="s">
        <v>1313</v>
      </c>
      <c r="C281" s="186" t="s">
        <v>1314</v>
      </c>
      <c r="D281" s="188"/>
      <c r="E281" s="188"/>
      <c r="F281" s="189" t="s">
        <v>1315</v>
      </c>
      <c r="G281" s="188"/>
      <c r="H281" s="188"/>
      <c r="I281" s="188"/>
      <c r="J281" s="188"/>
      <c r="K281" s="188"/>
      <c r="L281" s="188"/>
      <c r="M281" s="188"/>
      <c r="N281" s="188"/>
      <c r="O281" s="188"/>
      <c r="P281" s="188"/>
      <c r="Q281" s="188"/>
      <c r="R281" s="188"/>
      <c r="S281" s="188"/>
      <c r="T281" s="188"/>
      <c r="U281" s="190"/>
      <c r="V281" s="190"/>
      <c r="W281" s="190"/>
      <c r="X281" s="188"/>
      <c r="Y281" s="188"/>
      <c r="Z281" s="190"/>
      <c r="AA281" s="188"/>
      <c r="AB281" s="188"/>
      <c r="AC281" s="188"/>
      <c r="AD281" s="188"/>
      <c r="AE281" s="188"/>
    </row>
    <row r="282" ht="14.25" customHeight="1">
      <c r="A282" s="186" t="s">
        <v>1316</v>
      </c>
      <c r="B282" s="187" t="s">
        <v>1317</v>
      </c>
      <c r="C282" s="186" t="s">
        <v>1318</v>
      </c>
      <c r="D282" s="188"/>
      <c r="E282" s="188"/>
      <c r="F282" s="189" t="s">
        <v>1319</v>
      </c>
      <c r="G282" s="188"/>
      <c r="H282" s="188"/>
      <c r="I282" s="188"/>
      <c r="J282" s="188"/>
      <c r="K282" s="188"/>
      <c r="L282" s="188"/>
      <c r="M282" s="188"/>
      <c r="N282" s="188"/>
      <c r="O282" s="188"/>
      <c r="P282" s="188"/>
      <c r="Q282" s="188"/>
      <c r="R282" s="188"/>
      <c r="S282" s="188"/>
      <c r="T282" s="188"/>
      <c r="U282" s="190"/>
      <c r="V282" s="190"/>
      <c r="W282" s="190"/>
      <c r="X282" s="188"/>
      <c r="Y282" s="188"/>
      <c r="Z282" s="190"/>
      <c r="AA282" s="188"/>
      <c r="AB282" s="188"/>
      <c r="AC282" s="188"/>
      <c r="AD282" s="188"/>
      <c r="AE282" s="188"/>
    </row>
    <row r="283" ht="14.25" customHeight="1">
      <c r="A283" s="186" t="s">
        <v>1320</v>
      </c>
      <c r="B283" s="187" t="s">
        <v>1321</v>
      </c>
      <c r="C283" s="186" t="s">
        <v>1322</v>
      </c>
      <c r="D283" s="188"/>
      <c r="E283" s="188"/>
      <c r="F283" s="189" t="s">
        <v>232</v>
      </c>
      <c r="G283" s="188"/>
      <c r="H283" s="188"/>
      <c r="I283" s="188"/>
      <c r="J283" s="188"/>
      <c r="K283" s="188"/>
      <c r="L283" s="188"/>
      <c r="M283" s="188"/>
      <c r="N283" s="188"/>
      <c r="O283" s="188"/>
      <c r="P283" s="188"/>
      <c r="Q283" s="188"/>
      <c r="R283" s="188"/>
      <c r="S283" s="188"/>
      <c r="T283" s="188"/>
      <c r="U283" s="190"/>
      <c r="V283" s="190"/>
      <c r="W283" s="190"/>
      <c r="X283" s="188"/>
      <c r="Y283" s="188"/>
      <c r="Z283" s="190"/>
      <c r="AA283" s="188"/>
      <c r="AB283" s="188"/>
      <c r="AC283" s="188"/>
      <c r="AD283" s="188"/>
      <c r="AE283" s="188"/>
    </row>
    <row r="284" ht="14.25" customHeight="1">
      <c r="A284" s="186" t="s">
        <v>1323</v>
      </c>
      <c r="B284" s="187" t="s">
        <v>1324</v>
      </c>
      <c r="C284" s="186" t="s">
        <v>1325</v>
      </c>
      <c r="D284" s="188"/>
      <c r="E284" s="188"/>
      <c r="F284" s="189" t="s">
        <v>1326</v>
      </c>
      <c r="G284" s="188"/>
      <c r="H284" s="188"/>
      <c r="I284" s="188"/>
      <c r="J284" s="188"/>
      <c r="K284" s="188"/>
      <c r="L284" s="188"/>
      <c r="M284" s="188"/>
      <c r="N284" s="188"/>
      <c r="O284" s="188"/>
      <c r="P284" s="188"/>
      <c r="Q284" s="188"/>
      <c r="R284" s="188"/>
      <c r="S284" s="188"/>
      <c r="T284" s="188"/>
      <c r="U284" s="190"/>
      <c r="V284" s="190"/>
      <c r="W284" s="190"/>
      <c r="X284" s="188"/>
      <c r="Y284" s="188"/>
      <c r="Z284" s="190"/>
      <c r="AA284" s="188"/>
      <c r="AB284" s="188"/>
      <c r="AC284" s="188"/>
      <c r="AD284" s="188"/>
      <c r="AE284" s="188"/>
    </row>
    <row r="285" ht="14.25" customHeight="1">
      <c r="A285" s="186" t="s">
        <v>1327</v>
      </c>
      <c r="B285" s="187" t="s">
        <v>1328</v>
      </c>
      <c r="C285" s="186" t="s">
        <v>1329</v>
      </c>
      <c r="D285" s="188"/>
      <c r="E285" s="188"/>
      <c r="F285" s="189" t="s">
        <v>1330</v>
      </c>
      <c r="G285" s="188"/>
      <c r="H285" s="188"/>
      <c r="I285" s="188"/>
      <c r="J285" s="188"/>
      <c r="K285" s="188"/>
      <c r="L285" s="188"/>
      <c r="M285" s="188"/>
      <c r="N285" s="188"/>
      <c r="O285" s="188"/>
      <c r="P285" s="188"/>
      <c r="Q285" s="188"/>
      <c r="R285" s="188"/>
      <c r="S285" s="188"/>
      <c r="T285" s="188"/>
      <c r="U285" s="190"/>
      <c r="V285" s="190"/>
      <c r="W285" s="190"/>
      <c r="X285" s="188"/>
      <c r="Y285" s="188"/>
      <c r="Z285" s="190"/>
      <c r="AA285" s="188"/>
      <c r="AB285" s="188"/>
      <c r="AC285" s="188"/>
      <c r="AD285" s="188"/>
      <c r="AE285" s="188"/>
    </row>
    <row r="286" ht="14.25" customHeight="1">
      <c r="A286" s="186" t="s">
        <v>1331</v>
      </c>
      <c r="B286" s="187" t="s">
        <v>1332</v>
      </c>
      <c r="C286" s="186" t="s">
        <v>1333</v>
      </c>
      <c r="D286" s="188"/>
      <c r="E286" s="188"/>
      <c r="F286" s="189" t="s">
        <v>1334</v>
      </c>
      <c r="G286" s="188"/>
      <c r="H286" s="188"/>
      <c r="I286" s="188"/>
      <c r="J286" s="188"/>
      <c r="K286" s="188"/>
      <c r="L286" s="188"/>
      <c r="M286" s="188"/>
      <c r="N286" s="188"/>
      <c r="O286" s="188"/>
      <c r="P286" s="188"/>
      <c r="Q286" s="188"/>
      <c r="R286" s="188"/>
      <c r="S286" s="188"/>
      <c r="T286" s="188"/>
      <c r="U286" s="190"/>
      <c r="V286" s="190"/>
      <c r="W286" s="190"/>
      <c r="X286" s="188"/>
      <c r="Y286" s="188"/>
      <c r="Z286" s="190"/>
      <c r="AA286" s="188"/>
      <c r="AB286" s="188"/>
      <c r="AC286" s="188"/>
      <c r="AD286" s="188"/>
      <c r="AE286" s="188"/>
    </row>
    <row r="287" ht="14.25" customHeight="1">
      <c r="A287" s="186" t="s">
        <v>1335</v>
      </c>
      <c r="B287" s="187" t="s">
        <v>1336</v>
      </c>
      <c r="C287" s="186" t="s">
        <v>1337</v>
      </c>
      <c r="D287" s="188"/>
      <c r="E287" s="188"/>
      <c r="F287" s="189" t="s">
        <v>1338</v>
      </c>
      <c r="G287" s="188"/>
      <c r="H287" s="188"/>
      <c r="I287" s="188"/>
      <c r="J287" s="188"/>
      <c r="K287" s="188"/>
      <c r="L287" s="188"/>
      <c r="M287" s="188"/>
      <c r="N287" s="188"/>
      <c r="O287" s="188"/>
      <c r="P287" s="188"/>
      <c r="Q287" s="188"/>
      <c r="R287" s="188"/>
      <c r="S287" s="188"/>
      <c r="T287" s="188"/>
      <c r="U287" s="190"/>
      <c r="V287" s="190"/>
      <c r="W287" s="190"/>
      <c r="X287" s="188"/>
      <c r="Y287" s="188"/>
      <c r="Z287" s="190"/>
      <c r="AA287" s="188"/>
      <c r="AB287" s="188"/>
      <c r="AC287" s="188"/>
      <c r="AD287" s="188"/>
      <c r="AE287" s="188"/>
    </row>
    <row r="288" ht="14.25" customHeight="1">
      <c r="A288" s="186" t="s">
        <v>1339</v>
      </c>
      <c r="B288" s="187" t="s">
        <v>1340</v>
      </c>
      <c r="C288" s="186" t="s">
        <v>1341</v>
      </c>
      <c r="D288" s="188"/>
      <c r="E288" s="188"/>
      <c r="F288" s="189" t="s">
        <v>1342</v>
      </c>
      <c r="G288" s="188"/>
      <c r="H288" s="188"/>
      <c r="I288" s="188"/>
      <c r="J288" s="188"/>
      <c r="K288" s="188"/>
      <c r="L288" s="188"/>
      <c r="M288" s="188"/>
      <c r="N288" s="188"/>
      <c r="O288" s="188"/>
      <c r="P288" s="188"/>
      <c r="Q288" s="188"/>
      <c r="R288" s="188"/>
      <c r="S288" s="188"/>
      <c r="T288" s="188"/>
      <c r="U288" s="190"/>
      <c r="V288" s="190"/>
      <c r="W288" s="190"/>
      <c r="X288" s="188"/>
      <c r="Y288" s="188"/>
      <c r="Z288" s="190"/>
      <c r="AA288" s="188"/>
      <c r="AB288" s="188"/>
      <c r="AC288" s="188"/>
      <c r="AD288" s="188"/>
      <c r="AE288" s="188"/>
    </row>
    <row r="289" ht="14.25" customHeight="1">
      <c r="A289" s="186" t="s">
        <v>1343</v>
      </c>
      <c r="B289" s="187" t="s">
        <v>1344</v>
      </c>
      <c r="C289" s="186" t="s">
        <v>1345</v>
      </c>
      <c r="D289" s="188"/>
      <c r="E289" s="188"/>
      <c r="F289" s="189" t="s">
        <v>1346</v>
      </c>
      <c r="G289" s="188"/>
      <c r="H289" s="188"/>
      <c r="I289" s="188"/>
      <c r="J289" s="188"/>
      <c r="K289" s="188"/>
      <c r="L289" s="188"/>
      <c r="M289" s="188"/>
      <c r="N289" s="188"/>
      <c r="O289" s="188"/>
      <c r="P289" s="188"/>
      <c r="Q289" s="188"/>
      <c r="R289" s="188"/>
      <c r="S289" s="188"/>
      <c r="T289" s="188"/>
      <c r="U289" s="190"/>
      <c r="V289" s="190"/>
      <c r="W289" s="190"/>
      <c r="X289" s="188"/>
      <c r="Y289" s="188"/>
      <c r="Z289" s="190"/>
      <c r="AA289" s="188"/>
      <c r="AB289" s="188"/>
      <c r="AC289" s="188"/>
      <c r="AD289" s="188"/>
      <c r="AE289" s="188"/>
    </row>
    <row r="290" ht="14.25" customHeight="1">
      <c r="A290" s="186" t="s">
        <v>1347</v>
      </c>
      <c r="B290" s="187" t="s">
        <v>1348</v>
      </c>
      <c r="C290" s="186" t="s">
        <v>1349</v>
      </c>
      <c r="D290" s="188"/>
      <c r="E290" s="188"/>
      <c r="F290" s="189" t="s">
        <v>1350</v>
      </c>
      <c r="G290" s="188"/>
      <c r="H290" s="188"/>
      <c r="I290" s="188"/>
      <c r="J290" s="188"/>
      <c r="K290" s="188"/>
      <c r="L290" s="188"/>
      <c r="M290" s="188"/>
      <c r="N290" s="188"/>
      <c r="O290" s="188"/>
      <c r="P290" s="188"/>
      <c r="Q290" s="188"/>
      <c r="R290" s="188"/>
      <c r="S290" s="188"/>
      <c r="T290" s="188"/>
      <c r="U290" s="190"/>
      <c r="V290" s="190"/>
      <c r="W290" s="190"/>
      <c r="X290" s="188"/>
      <c r="Y290" s="188"/>
      <c r="Z290" s="190"/>
      <c r="AA290" s="188"/>
      <c r="AB290" s="188"/>
      <c r="AC290" s="188"/>
      <c r="AD290" s="188"/>
      <c r="AE290" s="188"/>
    </row>
    <row r="291" ht="14.25" customHeight="1">
      <c r="A291" s="186" t="s">
        <v>1351</v>
      </c>
      <c r="B291" s="187" t="s">
        <v>1352</v>
      </c>
      <c r="C291" s="186" t="s">
        <v>1353</v>
      </c>
      <c r="D291" s="188"/>
      <c r="E291" s="188"/>
      <c r="F291" s="189" t="s">
        <v>1354</v>
      </c>
      <c r="G291" s="188"/>
      <c r="H291" s="188"/>
      <c r="I291" s="188"/>
      <c r="J291" s="188"/>
      <c r="K291" s="188"/>
      <c r="L291" s="188"/>
      <c r="M291" s="188"/>
      <c r="N291" s="188"/>
      <c r="O291" s="188"/>
      <c r="P291" s="188"/>
      <c r="Q291" s="188"/>
      <c r="R291" s="188"/>
      <c r="S291" s="188"/>
      <c r="T291" s="188"/>
      <c r="U291" s="190"/>
      <c r="V291" s="190"/>
      <c r="W291" s="190"/>
      <c r="X291" s="188"/>
      <c r="Y291" s="188"/>
      <c r="Z291" s="190"/>
      <c r="AA291" s="188"/>
      <c r="AB291" s="188"/>
      <c r="AC291" s="188"/>
      <c r="AD291" s="188"/>
      <c r="AE291" s="188"/>
    </row>
    <row r="292" ht="14.25" customHeight="1">
      <c r="A292" s="186" t="s">
        <v>1355</v>
      </c>
      <c r="B292" s="187" t="s">
        <v>1356</v>
      </c>
      <c r="C292" s="186" t="s">
        <v>1357</v>
      </c>
      <c r="D292" s="188"/>
      <c r="E292" s="188"/>
      <c r="F292" s="189" t="s">
        <v>1358</v>
      </c>
      <c r="G292" s="188"/>
      <c r="H292" s="188"/>
      <c r="I292" s="188"/>
      <c r="J292" s="188"/>
      <c r="K292" s="188"/>
      <c r="L292" s="188"/>
      <c r="M292" s="188"/>
      <c r="N292" s="188"/>
      <c r="O292" s="188"/>
      <c r="P292" s="188"/>
      <c r="Q292" s="188"/>
      <c r="R292" s="188"/>
      <c r="S292" s="188"/>
      <c r="T292" s="188"/>
      <c r="U292" s="190"/>
      <c r="V292" s="190"/>
      <c r="W292" s="190"/>
      <c r="X292" s="188"/>
      <c r="Y292" s="188"/>
      <c r="Z292" s="190"/>
      <c r="AA292" s="188"/>
      <c r="AB292" s="188"/>
      <c r="AC292" s="188"/>
      <c r="AD292" s="188"/>
      <c r="AE292" s="188"/>
    </row>
    <row r="293" ht="14.25" customHeight="1">
      <c r="A293" s="186" t="s">
        <v>1359</v>
      </c>
      <c r="B293" s="187" t="s">
        <v>1360</v>
      </c>
      <c r="C293" s="186" t="s">
        <v>1361</v>
      </c>
      <c r="D293" s="188"/>
      <c r="E293" s="188"/>
      <c r="F293" s="189" t="s">
        <v>1362</v>
      </c>
      <c r="G293" s="188"/>
      <c r="H293" s="188"/>
      <c r="I293" s="188"/>
      <c r="J293" s="188"/>
      <c r="K293" s="188"/>
      <c r="L293" s="188"/>
      <c r="M293" s="188"/>
      <c r="N293" s="188"/>
      <c r="O293" s="188"/>
      <c r="P293" s="188"/>
      <c r="Q293" s="188"/>
      <c r="R293" s="188"/>
      <c r="S293" s="188"/>
      <c r="T293" s="188"/>
      <c r="U293" s="190"/>
      <c r="V293" s="190"/>
      <c r="W293" s="190"/>
      <c r="X293" s="188"/>
      <c r="Y293" s="188"/>
      <c r="Z293" s="190"/>
      <c r="AA293" s="188"/>
      <c r="AB293" s="188"/>
      <c r="AC293" s="188"/>
      <c r="AD293" s="188"/>
      <c r="AE293" s="188"/>
    </row>
    <row r="294" ht="14.25" customHeight="1">
      <c r="A294" s="186" t="s">
        <v>1363</v>
      </c>
      <c r="B294" s="187" t="s">
        <v>1364</v>
      </c>
      <c r="C294" s="186" t="s">
        <v>1365</v>
      </c>
      <c r="D294" s="188"/>
      <c r="E294" s="188"/>
      <c r="F294" s="189" t="s">
        <v>1366</v>
      </c>
      <c r="G294" s="188"/>
      <c r="H294" s="188"/>
      <c r="I294" s="188"/>
      <c r="J294" s="188"/>
      <c r="K294" s="188"/>
      <c r="L294" s="188"/>
      <c r="M294" s="188"/>
      <c r="N294" s="188"/>
      <c r="O294" s="188"/>
      <c r="P294" s="188"/>
      <c r="Q294" s="188"/>
      <c r="R294" s="188"/>
      <c r="S294" s="188"/>
      <c r="T294" s="188"/>
      <c r="U294" s="190"/>
      <c r="V294" s="190"/>
      <c r="W294" s="190"/>
      <c r="X294" s="188"/>
      <c r="Y294" s="188"/>
      <c r="Z294" s="190"/>
      <c r="AA294" s="188"/>
      <c r="AB294" s="188"/>
      <c r="AC294" s="188"/>
      <c r="AD294" s="188"/>
      <c r="AE294" s="188"/>
    </row>
    <row r="295" ht="14.25" customHeight="1">
      <c r="A295" s="186" t="s">
        <v>1367</v>
      </c>
      <c r="B295" s="187" t="s">
        <v>1368</v>
      </c>
      <c r="C295" s="186" t="s">
        <v>1369</v>
      </c>
      <c r="D295" s="188"/>
      <c r="E295" s="188"/>
      <c r="F295" s="189" t="s">
        <v>1370</v>
      </c>
      <c r="G295" s="188"/>
      <c r="H295" s="188"/>
      <c r="I295" s="188"/>
      <c r="J295" s="188"/>
      <c r="K295" s="188"/>
      <c r="L295" s="188"/>
      <c r="M295" s="188"/>
      <c r="N295" s="188"/>
      <c r="O295" s="188"/>
      <c r="P295" s="188"/>
      <c r="Q295" s="188"/>
      <c r="R295" s="188"/>
      <c r="S295" s="188"/>
      <c r="T295" s="188"/>
      <c r="U295" s="190"/>
      <c r="V295" s="190"/>
      <c r="W295" s="190"/>
      <c r="X295" s="188"/>
      <c r="Y295" s="188"/>
      <c r="Z295" s="190"/>
      <c r="AA295" s="188"/>
      <c r="AB295" s="188"/>
      <c r="AC295" s="188"/>
      <c r="AD295" s="188"/>
      <c r="AE295" s="188"/>
    </row>
    <row r="296" ht="14.25" customHeight="1">
      <c r="A296" s="186" t="s">
        <v>1371</v>
      </c>
      <c r="B296" s="187" t="s">
        <v>1372</v>
      </c>
      <c r="C296" s="186" t="s">
        <v>1373</v>
      </c>
      <c r="D296" s="188"/>
      <c r="E296" s="188"/>
      <c r="F296" s="189" t="s">
        <v>1374</v>
      </c>
      <c r="G296" s="188"/>
      <c r="H296" s="188"/>
      <c r="I296" s="188"/>
      <c r="J296" s="188"/>
      <c r="K296" s="188"/>
      <c r="L296" s="188"/>
      <c r="M296" s="188"/>
      <c r="N296" s="188"/>
      <c r="O296" s="188"/>
      <c r="P296" s="188"/>
      <c r="Q296" s="188"/>
      <c r="R296" s="188"/>
      <c r="S296" s="188"/>
      <c r="T296" s="188"/>
      <c r="U296" s="190"/>
      <c r="V296" s="190"/>
      <c r="W296" s="190"/>
      <c r="X296" s="188"/>
      <c r="Y296" s="188"/>
      <c r="Z296" s="190"/>
      <c r="AA296" s="188"/>
      <c r="AB296" s="188"/>
      <c r="AC296" s="188"/>
      <c r="AD296" s="188"/>
      <c r="AE296" s="188"/>
    </row>
    <row r="297" ht="14.25" customHeight="1">
      <c r="A297" s="186" t="s">
        <v>1375</v>
      </c>
      <c r="B297" s="187" t="s">
        <v>1376</v>
      </c>
      <c r="C297" s="186" t="s">
        <v>1377</v>
      </c>
      <c r="D297" s="188"/>
      <c r="E297" s="188"/>
      <c r="F297" s="189" t="s">
        <v>1378</v>
      </c>
      <c r="G297" s="188"/>
      <c r="H297" s="188"/>
      <c r="I297" s="188"/>
      <c r="J297" s="188"/>
      <c r="K297" s="188"/>
      <c r="L297" s="188"/>
      <c r="M297" s="188"/>
      <c r="N297" s="188"/>
      <c r="O297" s="188"/>
      <c r="P297" s="188"/>
      <c r="Q297" s="188"/>
      <c r="R297" s="188"/>
      <c r="S297" s="188"/>
      <c r="T297" s="188"/>
      <c r="U297" s="190"/>
      <c r="V297" s="190"/>
      <c r="W297" s="190"/>
      <c r="X297" s="188"/>
      <c r="Y297" s="188"/>
      <c r="Z297" s="190"/>
      <c r="AA297" s="188"/>
      <c r="AB297" s="188"/>
      <c r="AC297" s="188"/>
      <c r="AD297" s="188"/>
      <c r="AE297" s="188"/>
    </row>
    <row r="298" ht="14.25" customHeight="1">
      <c r="A298" s="186" t="s">
        <v>1379</v>
      </c>
      <c r="B298" s="187" t="s">
        <v>1380</v>
      </c>
      <c r="C298" s="186" t="s">
        <v>1381</v>
      </c>
      <c r="D298" s="188"/>
      <c r="E298" s="188"/>
      <c r="F298" s="189" t="s">
        <v>1382</v>
      </c>
      <c r="G298" s="188"/>
      <c r="H298" s="188"/>
      <c r="I298" s="188"/>
      <c r="J298" s="188"/>
      <c r="K298" s="188"/>
      <c r="L298" s="188"/>
      <c r="M298" s="188"/>
      <c r="N298" s="188"/>
      <c r="O298" s="188"/>
      <c r="P298" s="188"/>
      <c r="Q298" s="188"/>
      <c r="R298" s="188"/>
      <c r="S298" s="188"/>
      <c r="T298" s="188"/>
      <c r="U298" s="190"/>
      <c r="V298" s="190"/>
      <c r="W298" s="190"/>
      <c r="X298" s="188"/>
      <c r="Y298" s="188"/>
      <c r="Z298" s="190"/>
      <c r="AA298" s="188"/>
      <c r="AB298" s="188"/>
      <c r="AC298" s="188"/>
      <c r="AD298" s="188"/>
      <c r="AE298" s="188"/>
    </row>
    <row r="299" ht="14.25" customHeight="1">
      <c r="A299" s="186" t="s">
        <v>1383</v>
      </c>
      <c r="B299" s="187" t="s">
        <v>1384</v>
      </c>
      <c r="C299" s="186" t="s">
        <v>1385</v>
      </c>
      <c r="D299" s="188"/>
      <c r="E299" s="188"/>
      <c r="F299" s="189" t="s">
        <v>1386</v>
      </c>
      <c r="G299" s="188"/>
      <c r="H299" s="188"/>
      <c r="I299" s="188"/>
      <c r="J299" s="188"/>
      <c r="K299" s="188"/>
      <c r="L299" s="188"/>
      <c r="M299" s="188"/>
      <c r="N299" s="188"/>
      <c r="O299" s="188"/>
      <c r="P299" s="188"/>
      <c r="Q299" s="188"/>
      <c r="R299" s="188"/>
      <c r="S299" s="188"/>
      <c r="T299" s="188"/>
      <c r="U299" s="190"/>
      <c r="V299" s="190"/>
      <c r="W299" s="190"/>
      <c r="X299" s="188"/>
      <c r="Y299" s="188"/>
      <c r="Z299" s="190"/>
      <c r="AA299" s="188"/>
      <c r="AB299" s="188"/>
      <c r="AC299" s="188"/>
      <c r="AD299" s="188"/>
      <c r="AE299" s="188"/>
    </row>
    <row r="300" ht="14.25" customHeight="1">
      <c r="A300" s="186" t="s">
        <v>1387</v>
      </c>
      <c r="B300" s="187" t="s">
        <v>1388</v>
      </c>
      <c r="C300" s="186" t="s">
        <v>1389</v>
      </c>
      <c r="D300" s="188"/>
      <c r="E300" s="188"/>
      <c r="F300" s="189" t="s">
        <v>1390</v>
      </c>
      <c r="G300" s="188"/>
      <c r="H300" s="188"/>
      <c r="I300" s="188"/>
      <c r="J300" s="188"/>
      <c r="K300" s="188"/>
      <c r="L300" s="188"/>
      <c r="M300" s="188"/>
      <c r="N300" s="188"/>
      <c r="O300" s="188"/>
      <c r="P300" s="188"/>
      <c r="Q300" s="188"/>
      <c r="R300" s="188"/>
      <c r="S300" s="188"/>
      <c r="T300" s="188"/>
      <c r="U300" s="190"/>
      <c r="V300" s="190"/>
      <c r="W300" s="190"/>
      <c r="X300" s="188"/>
      <c r="Y300" s="188"/>
      <c r="Z300" s="190"/>
      <c r="AA300" s="188"/>
      <c r="AB300" s="188"/>
      <c r="AC300" s="188"/>
      <c r="AD300" s="188"/>
      <c r="AE300" s="188"/>
    </row>
    <row r="301" ht="14.25" customHeight="1">
      <c r="A301" s="186" t="s">
        <v>1391</v>
      </c>
      <c r="B301" s="187" t="s">
        <v>1392</v>
      </c>
      <c r="C301" s="186" t="s">
        <v>1393</v>
      </c>
      <c r="D301" s="188"/>
      <c r="E301" s="188"/>
      <c r="F301" s="189" t="s">
        <v>1394</v>
      </c>
      <c r="G301" s="188"/>
      <c r="H301" s="188"/>
      <c r="I301" s="188"/>
      <c r="J301" s="188"/>
      <c r="K301" s="188"/>
      <c r="L301" s="188"/>
      <c r="M301" s="188"/>
      <c r="N301" s="188"/>
      <c r="O301" s="188"/>
      <c r="P301" s="188"/>
      <c r="Q301" s="188"/>
      <c r="R301" s="188"/>
      <c r="S301" s="188"/>
      <c r="T301" s="188"/>
      <c r="U301" s="190"/>
      <c r="V301" s="190"/>
      <c r="W301" s="190"/>
      <c r="X301" s="188"/>
      <c r="Y301" s="188"/>
      <c r="Z301" s="190"/>
      <c r="AA301" s="188"/>
      <c r="AB301" s="188"/>
      <c r="AC301" s="188"/>
      <c r="AD301" s="188"/>
      <c r="AE301" s="188"/>
    </row>
    <row r="302" ht="14.25" customHeight="1">
      <c r="A302" s="186" t="s">
        <v>1395</v>
      </c>
      <c r="B302" s="187" t="s">
        <v>1396</v>
      </c>
      <c r="C302" s="186" t="s">
        <v>1397</v>
      </c>
      <c r="D302" s="188"/>
      <c r="E302" s="188"/>
      <c r="F302" s="189" t="s">
        <v>1398</v>
      </c>
      <c r="G302" s="188"/>
      <c r="H302" s="188"/>
      <c r="I302" s="188"/>
      <c r="J302" s="188"/>
      <c r="K302" s="188"/>
      <c r="L302" s="188"/>
      <c r="M302" s="188"/>
      <c r="N302" s="188"/>
      <c r="O302" s="188"/>
      <c r="P302" s="188"/>
      <c r="Q302" s="188"/>
      <c r="R302" s="188"/>
      <c r="S302" s="188"/>
      <c r="T302" s="188"/>
      <c r="U302" s="190"/>
      <c r="V302" s="190"/>
      <c r="W302" s="190"/>
      <c r="X302" s="188"/>
      <c r="Y302" s="188"/>
      <c r="Z302" s="190"/>
      <c r="AA302" s="188"/>
      <c r="AB302" s="188"/>
      <c r="AC302" s="188"/>
      <c r="AD302" s="188"/>
      <c r="AE302" s="188"/>
    </row>
    <row r="303" ht="14.25" customHeight="1">
      <c r="A303" s="186" t="s">
        <v>1399</v>
      </c>
      <c r="B303" s="187" t="s">
        <v>1400</v>
      </c>
      <c r="C303" s="186" t="s">
        <v>1401</v>
      </c>
      <c r="D303" s="188"/>
      <c r="E303" s="188"/>
      <c r="F303" s="189" t="s">
        <v>232</v>
      </c>
      <c r="G303" s="188"/>
      <c r="H303" s="188"/>
      <c r="I303" s="188"/>
      <c r="J303" s="188"/>
      <c r="K303" s="188"/>
      <c r="L303" s="188"/>
      <c r="M303" s="188"/>
      <c r="N303" s="188"/>
      <c r="O303" s="188"/>
      <c r="P303" s="188"/>
      <c r="Q303" s="188"/>
      <c r="R303" s="188"/>
      <c r="S303" s="188"/>
      <c r="T303" s="188"/>
      <c r="U303" s="190"/>
      <c r="V303" s="190"/>
      <c r="W303" s="190"/>
      <c r="X303" s="188"/>
      <c r="Y303" s="188"/>
      <c r="Z303" s="190"/>
      <c r="AA303" s="188"/>
      <c r="AB303" s="188"/>
      <c r="AC303" s="188"/>
      <c r="AD303" s="188"/>
      <c r="AE303" s="188"/>
    </row>
    <row r="304" ht="14.25" customHeight="1">
      <c r="A304" s="186" t="s">
        <v>1402</v>
      </c>
      <c r="B304" s="187" t="s">
        <v>1403</v>
      </c>
      <c r="C304" s="186" t="s">
        <v>1404</v>
      </c>
      <c r="D304" s="188"/>
      <c r="E304" s="188"/>
      <c r="F304" s="189" t="s">
        <v>1405</v>
      </c>
      <c r="G304" s="188"/>
      <c r="H304" s="188"/>
      <c r="I304" s="188"/>
      <c r="J304" s="188"/>
      <c r="K304" s="188"/>
      <c r="L304" s="188"/>
      <c r="M304" s="188"/>
      <c r="N304" s="188"/>
      <c r="O304" s="188"/>
      <c r="P304" s="188"/>
      <c r="Q304" s="188"/>
      <c r="R304" s="188"/>
      <c r="S304" s="188"/>
      <c r="T304" s="188"/>
      <c r="U304" s="190"/>
      <c r="V304" s="190"/>
      <c r="W304" s="190"/>
      <c r="X304" s="188"/>
      <c r="Y304" s="188"/>
      <c r="Z304" s="190"/>
      <c r="AA304" s="188"/>
      <c r="AB304" s="188"/>
      <c r="AC304" s="188"/>
      <c r="AD304" s="188"/>
      <c r="AE304" s="188"/>
    </row>
    <row r="305" ht="14.25" customHeight="1">
      <c r="A305" s="186" t="s">
        <v>1406</v>
      </c>
      <c r="B305" s="187" t="s">
        <v>1407</v>
      </c>
      <c r="C305" s="186" t="s">
        <v>1408</v>
      </c>
      <c r="D305" s="188"/>
      <c r="E305" s="188"/>
      <c r="F305" s="189" t="s">
        <v>232</v>
      </c>
      <c r="G305" s="188"/>
      <c r="H305" s="188"/>
      <c r="I305" s="188"/>
      <c r="J305" s="188"/>
      <c r="K305" s="188"/>
      <c r="L305" s="188"/>
      <c r="M305" s="188"/>
      <c r="N305" s="188"/>
      <c r="O305" s="188"/>
      <c r="P305" s="188"/>
      <c r="Q305" s="188"/>
      <c r="R305" s="188"/>
      <c r="S305" s="188"/>
      <c r="T305" s="188"/>
      <c r="U305" s="190"/>
      <c r="V305" s="190"/>
      <c r="W305" s="190"/>
      <c r="X305" s="188"/>
      <c r="Y305" s="188"/>
      <c r="Z305" s="190"/>
      <c r="AA305" s="188"/>
      <c r="AB305" s="188"/>
      <c r="AC305" s="188"/>
      <c r="AD305" s="188"/>
      <c r="AE305" s="188"/>
    </row>
    <row r="306" ht="14.25" customHeight="1">
      <c r="A306" s="186" t="s">
        <v>1409</v>
      </c>
      <c r="B306" s="187" t="s">
        <v>1410</v>
      </c>
      <c r="C306" s="186" t="s">
        <v>1411</v>
      </c>
      <c r="D306" s="188"/>
      <c r="E306" s="188"/>
      <c r="F306" s="189" t="s">
        <v>232</v>
      </c>
      <c r="G306" s="188"/>
      <c r="H306" s="188"/>
      <c r="I306" s="188"/>
      <c r="J306" s="188"/>
      <c r="K306" s="188"/>
      <c r="L306" s="188"/>
      <c r="M306" s="188"/>
      <c r="N306" s="188"/>
      <c r="O306" s="188"/>
      <c r="P306" s="188"/>
      <c r="Q306" s="188"/>
      <c r="R306" s="188"/>
      <c r="S306" s="188"/>
      <c r="T306" s="188"/>
      <c r="U306" s="190"/>
      <c r="V306" s="190"/>
      <c r="W306" s="190"/>
      <c r="X306" s="188"/>
      <c r="Y306" s="188"/>
      <c r="Z306" s="190"/>
      <c r="AA306" s="188"/>
      <c r="AB306" s="188"/>
      <c r="AC306" s="188"/>
      <c r="AD306" s="188"/>
      <c r="AE306" s="188"/>
    </row>
    <row r="307" ht="14.25" customHeight="1">
      <c r="A307" s="186" t="s">
        <v>1412</v>
      </c>
      <c r="B307" s="187" t="s">
        <v>1413</v>
      </c>
      <c r="C307" s="186" t="s">
        <v>1414</v>
      </c>
      <c r="D307" s="188"/>
      <c r="E307" s="188"/>
      <c r="F307" s="189" t="s">
        <v>232</v>
      </c>
      <c r="G307" s="188"/>
      <c r="H307" s="188"/>
      <c r="I307" s="188"/>
      <c r="J307" s="188"/>
      <c r="K307" s="188"/>
      <c r="L307" s="188"/>
      <c r="M307" s="188"/>
      <c r="N307" s="188"/>
      <c r="O307" s="188"/>
      <c r="P307" s="188"/>
      <c r="Q307" s="188"/>
      <c r="R307" s="188"/>
      <c r="S307" s="188"/>
      <c r="T307" s="188"/>
      <c r="U307" s="190"/>
      <c r="V307" s="190"/>
      <c r="W307" s="190"/>
      <c r="X307" s="188"/>
      <c r="Y307" s="188"/>
      <c r="Z307" s="190"/>
      <c r="AA307" s="188"/>
      <c r="AB307" s="188"/>
      <c r="AC307" s="188"/>
      <c r="AD307" s="188"/>
      <c r="AE307" s="188"/>
    </row>
    <row r="308" ht="14.25" customHeight="1">
      <c r="A308" s="186" t="s">
        <v>1415</v>
      </c>
      <c r="B308" s="187" t="s">
        <v>1416</v>
      </c>
      <c r="C308" s="186" t="s">
        <v>1417</v>
      </c>
      <c r="D308" s="188"/>
      <c r="E308" s="188"/>
      <c r="F308" s="189" t="s">
        <v>1418</v>
      </c>
      <c r="G308" s="188"/>
      <c r="H308" s="188"/>
      <c r="I308" s="188"/>
      <c r="J308" s="188"/>
      <c r="K308" s="188"/>
      <c r="L308" s="188"/>
      <c r="M308" s="188"/>
      <c r="N308" s="188"/>
      <c r="O308" s="188"/>
      <c r="P308" s="188"/>
      <c r="Q308" s="188"/>
      <c r="R308" s="188"/>
      <c r="S308" s="188"/>
      <c r="T308" s="188"/>
      <c r="U308" s="190"/>
      <c r="V308" s="190"/>
      <c r="W308" s="190"/>
      <c r="X308" s="188"/>
      <c r="Y308" s="188"/>
      <c r="Z308" s="190"/>
      <c r="AA308" s="188"/>
      <c r="AB308" s="188"/>
      <c r="AC308" s="188"/>
      <c r="AD308" s="188"/>
      <c r="AE308" s="188"/>
    </row>
    <row r="309" ht="14.25" customHeight="1">
      <c r="A309" s="186" t="s">
        <v>1419</v>
      </c>
      <c r="B309" s="187" t="s">
        <v>1420</v>
      </c>
      <c r="C309" s="186" t="s">
        <v>1421</v>
      </c>
      <c r="D309" s="188"/>
      <c r="E309" s="188"/>
      <c r="F309" s="189" t="s">
        <v>1422</v>
      </c>
      <c r="G309" s="188"/>
      <c r="H309" s="188"/>
      <c r="I309" s="188"/>
      <c r="J309" s="188"/>
      <c r="K309" s="188"/>
      <c r="L309" s="188"/>
      <c r="M309" s="188"/>
      <c r="N309" s="188"/>
      <c r="O309" s="188"/>
      <c r="P309" s="188"/>
      <c r="Q309" s="188"/>
      <c r="R309" s="188"/>
      <c r="S309" s="188"/>
      <c r="T309" s="188"/>
      <c r="U309" s="190"/>
      <c r="V309" s="190"/>
      <c r="W309" s="190"/>
      <c r="X309" s="188"/>
      <c r="Y309" s="188"/>
      <c r="Z309" s="190"/>
      <c r="AA309" s="188"/>
      <c r="AB309" s="188"/>
      <c r="AC309" s="188"/>
      <c r="AD309" s="188"/>
      <c r="AE309" s="188"/>
    </row>
    <row r="310" ht="14.25" customHeight="1">
      <c r="A310" s="186" t="s">
        <v>1423</v>
      </c>
      <c r="B310" s="187" t="s">
        <v>1424</v>
      </c>
      <c r="C310" s="186" t="s">
        <v>1425</v>
      </c>
      <c r="D310" s="188"/>
      <c r="E310" s="188"/>
      <c r="F310" s="189" t="s">
        <v>1426</v>
      </c>
      <c r="G310" s="188"/>
      <c r="H310" s="188"/>
      <c r="I310" s="188"/>
      <c r="J310" s="188"/>
      <c r="K310" s="188"/>
      <c r="L310" s="188"/>
      <c r="M310" s="188"/>
      <c r="N310" s="188"/>
      <c r="O310" s="188"/>
      <c r="P310" s="188"/>
      <c r="Q310" s="188"/>
      <c r="R310" s="188"/>
      <c r="S310" s="188"/>
      <c r="T310" s="188"/>
      <c r="U310" s="190"/>
      <c r="V310" s="190"/>
      <c r="W310" s="190"/>
      <c r="X310" s="188"/>
      <c r="Y310" s="188"/>
      <c r="Z310" s="190"/>
      <c r="AA310" s="188"/>
      <c r="AB310" s="188"/>
      <c r="AC310" s="188"/>
      <c r="AD310" s="188"/>
      <c r="AE310" s="188"/>
    </row>
    <row r="311" ht="14.25" customHeight="1">
      <c r="A311" s="186" t="s">
        <v>1427</v>
      </c>
      <c r="B311" s="187" t="s">
        <v>1428</v>
      </c>
      <c r="C311" s="186" t="s">
        <v>1429</v>
      </c>
      <c r="D311" s="188"/>
      <c r="E311" s="188"/>
      <c r="F311" s="189" t="s">
        <v>232</v>
      </c>
      <c r="G311" s="188"/>
      <c r="H311" s="188"/>
      <c r="I311" s="188"/>
      <c r="J311" s="188"/>
      <c r="K311" s="188"/>
      <c r="L311" s="188"/>
      <c r="M311" s="188"/>
      <c r="N311" s="188"/>
      <c r="O311" s="188"/>
      <c r="P311" s="188"/>
      <c r="Q311" s="188"/>
      <c r="R311" s="188"/>
      <c r="S311" s="188"/>
      <c r="T311" s="188"/>
      <c r="U311" s="190"/>
      <c r="V311" s="190"/>
      <c r="W311" s="190"/>
      <c r="X311" s="188"/>
      <c r="Y311" s="188"/>
      <c r="Z311" s="190"/>
      <c r="AA311" s="188"/>
      <c r="AB311" s="188"/>
      <c r="AC311" s="188"/>
      <c r="AD311" s="188"/>
      <c r="AE311" s="188"/>
    </row>
    <row r="312" ht="14.25" customHeight="1">
      <c r="A312" s="186" t="s">
        <v>1430</v>
      </c>
      <c r="B312" s="187" t="s">
        <v>1431</v>
      </c>
      <c r="C312" s="186" t="s">
        <v>1432</v>
      </c>
      <c r="D312" s="188"/>
      <c r="E312" s="188"/>
      <c r="F312" s="189" t="s">
        <v>1433</v>
      </c>
      <c r="G312" s="188"/>
      <c r="H312" s="188"/>
      <c r="I312" s="188"/>
      <c r="J312" s="188"/>
      <c r="K312" s="188"/>
      <c r="L312" s="188"/>
      <c r="M312" s="188"/>
      <c r="N312" s="188"/>
      <c r="O312" s="188"/>
      <c r="P312" s="188"/>
      <c r="Q312" s="188"/>
      <c r="R312" s="188"/>
      <c r="S312" s="188"/>
      <c r="T312" s="188"/>
      <c r="U312" s="190"/>
      <c r="V312" s="190"/>
      <c r="W312" s="190"/>
      <c r="X312" s="188"/>
      <c r="Y312" s="188"/>
      <c r="Z312" s="190"/>
      <c r="AA312" s="188"/>
      <c r="AB312" s="188"/>
      <c r="AC312" s="188"/>
      <c r="AD312" s="188"/>
      <c r="AE312" s="188"/>
    </row>
    <row r="313" ht="14.25" customHeight="1">
      <c r="A313" s="186" t="s">
        <v>1434</v>
      </c>
      <c r="B313" s="187" t="s">
        <v>1435</v>
      </c>
      <c r="C313" s="186" t="s">
        <v>1436</v>
      </c>
      <c r="D313" s="188"/>
      <c r="E313" s="188"/>
      <c r="F313" s="189" t="s">
        <v>1437</v>
      </c>
      <c r="G313" s="188"/>
      <c r="H313" s="188"/>
      <c r="I313" s="188"/>
      <c r="J313" s="188"/>
      <c r="K313" s="188"/>
      <c r="L313" s="188"/>
      <c r="M313" s="188"/>
      <c r="N313" s="188"/>
      <c r="O313" s="188"/>
      <c r="P313" s="188"/>
      <c r="Q313" s="188"/>
      <c r="R313" s="188"/>
      <c r="S313" s="188"/>
      <c r="T313" s="188"/>
      <c r="U313" s="190"/>
      <c r="V313" s="190"/>
      <c r="W313" s="190"/>
      <c r="X313" s="188"/>
      <c r="Y313" s="188"/>
      <c r="Z313" s="190"/>
      <c r="AA313" s="188"/>
      <c r="AB313" s="188"/>
      <c r="AC313" s="188"/>
      <c r="AD313" s="188"/>
      <c r="AE313" s="188"/>
    </row>
    <row r="314" ht="14.25" customHeight="1">
      <c r="A314" s="186" t="s">
        <v>1438</v>
      </c>
      <c r="B314" s="187" t="s">
        <v>1439</v>
      </c>
      <c r="C314" s="186" t="s">
        <v>1440</v>
      </c>
      <c r="D314" s="188"/>
      <c r="E314" s="188"/>
      <c r="F314" s="189" t="s">
        <v>1441</v>
      </c>
      <c r="G314" s="188"/>
      <c r="H314" s="188"/>
      <c r="I314" s="188"/>
      <c r="J314" s="188"/>
      <c r="K314" s="188"/>
      <c r="L314" s="188"/>
      <c r="M314" s="188"/>
      <c r="N314" s="188"/>
      <c r="O314" s="188"/>
      <c r="P314" s="188"/>
      <c r="Q314" s="188"/>
      <c r="R314" s="188"/>
      <c r="S314" s="188"/>
      <c r="T314" s="188"/>
      <c r="U314" s="190"/>
      <c r="V314" s="190"/>
      <c r="W314" s="190"/>
      <c r="X314" s="188"/>
      <c r="Y314" s="188"/>
      <c r="Z314" s="190"/>
      <c r="AA314" s="188"/>
      <c r="AB314" s="188"/>
      <c r="AC314" s="188"/>
      <c r="AD314" s="188"/>
      <c r="AE314" s="188"/>
    </row>
    <row r="315" ht="14.25" customHeight="1">
      <c r="A315" s="186" t="s">
        <v>1442</v>
      </c>
      <c r="B315" s="187" t="s">
        <v>1443</v>
      </c>
      <c r="C315" s="186" t="s">
        <v>1444</v>
      </c>
      <c r="D315" s="188"/>
      <c r="E315" s="188"/>
      <c r="F315" s="189" t="s">
        <v>232</v>
      </c>
      <c r="G315" s="188"/>
      <c r="H315" s="188"/>
      <c r="I315" s="188"/>
      <c r="J315" s="188"/>
      <c r="K315" s="188"/>
      <c r="L315" s="188"/>
      <c r="M315" s="188"/>
      <c r="N315" s="188"/>
      <c r="O315" s="188"/>
      <c r="P315" s="188"/>
      <c r="Q315" s="188"/>
      <c r="R315" s="188"/>
      <c r="S315" s="188"/>
      <c r="T315" s="188"/>
      <c r="U315" s="190"/>
      <c r="V315" s="190"/>
      <c r="W315" s="190"/>
      <c r="X315" s="188"/>
      <c r="Y315" s="188"/>
      <c r="Z315" s="190"/>
      <c r="AA315" s="188"/>
      <c r="AB315" s="188"/>
      <c r="AC315" s="188"/>
      <c r="AD315" s="188"/>
      <c r="AE315" s="188"/>
    </row>
    <row r="316" ht="14.25" customHeight="1">
      <c r="A316" s="186" t="s">
        <v>1445</v>
      </c>
      <c r="B316" s="187" t="s">
        <v>1446</v>
      </c>
      <c r="C316" s="186" t="s">
        <v>1447</v>
      </c>
      <c r="D316" s="188"/>
      <c r="E316" s="188"/>
      <c r="F316" s="189" t="s">
        <v>1448</v>
      </c>
      <c r="G316" s="188"/>
      <c r="H316" s="188"/>
      <c r="I316" s="188"/>
      <c r="J316" s="188"/>
      <c r="K316" s="188"/>
      <c r="L316" s="188"/>
      <c r="M316" s="188"/>
      <c r="N316" s="188"/>
      <c r="O316" s="188"/>
      <c r="P316" s="188"/>
      <c r="Q316" s="188"/>
      <c r="R316" s="188"/>
      <c r="S316" s="188"/>
      <c r="T316" s="188"/>
      <c r="U316" s="190"/>
      <c r="V316" s="190"/>
      <c r="W316" s="190"/>
      <c r="X316" s="188"/>
      <c r="Y316" s="188"/>
      <c r="Z316" s="190"/>
      <c r="AA316" s="188"/>
      <c r="AB316" s="188"/>
      <c r="AC316" s="188"/>
      <c r="AD316" s="188"/>
      <c r="AE316" s="188"/>
    </row>
    <row r="317" ht="14.25" customHeight="1">
      <c r="A317" s="186" t="s">
        <v>1449</v>
      </c>
      <c r="B317" s="187" t="s">
        <v>1450</v>
      </c>
      <c r="C317" s="186" t="s">
        <v>1451</v>
      </c>
      <c r="D317" s="188"/>
      <c r="E317" s="188"/>
      <c r="F317" s="189" t="s">
        <v>1452</v>
      </c>
      <c r="G317" s="188"/>
      <c r="H317" s="188"/>
      <c r="I317" s="188"/>
      <c r="J317" s="188"/>
      <c r="K317" s="188"/>
      <c r="L317" s="188"/>
      <c r="M317" s="188"/>
      <c r="N317" s="188"/>
      <c r="O317" s="188"/>
      <c r="P317" s="188"/>
      <c r="Q317" s="188"/>
      <c r="R317" s="188"/>
      <c r="S317" s="188"/>
      <c r="T317" s="188"/>
      <c r="U317" s="190"/>
      <c r="V317" s="190"/>
      <c r="W317" s="190"/>
      <c r="X317" s="188"/>
      <c r="Y317" s="188"/>
      <c r="Z317" s="190"/>
      <c r="AA317" s="188"/>
      <c r="AB317" s="188"/>
      <c r="AC317" s="188"/>
      <c r="AD317" s="188"/>
      <c r="AE317" s="188"/>
    </row>
    <row r="318" ht="14.25" customHeight="1">
      <c r="A318" s="186" t="s">
        <v>1453</v>
      </c>
      <c r="B318" s="187" t="s">
        <v>1454</v>
      </c>
      <c r="C318" s="186" t="s">
        <v>1455</v>
      </c>
      <c r="D318" s="188"/>
      <c r="E318" s="188"/>
      <c r="F318" s="189" t="s">
        <v>1456</v>
      </c>
      <c r="G318" s="188"/>
      <c r="H318" s="188"/>
      <c r="I318" s="188"/>
      <c r="J318" s="188"/>
      <c r="K318" s="188"/>
      <c r="L318" s="188"/>
      <c r="M318" s="188"/>
      <c r="N318" s="188"/>
      <c r="O318" s="188"/>
      <c r="P318" s="188"/>
      <c r="Q318" s="188"/>
      <c r="R318" s="188"/>
      <c r="S318" s="188"/>
      <c r="T318" s="188"/>
      <c r="U318" s="190"/>
      <c r="V318" s="190"/>
      <c r="W318" s="190"/>
      <c r="X318" s="188"/>
      <c r="Y318" s="188"/>
      <c r="Z318" s="190"/>
      <c r="AA318" s="188"/>
      <c r="AB318" s="188"/>
      <c r="AC318" s="188"/>
      <c r="AD318" s="188"/>
      <c r="AE318" s="188"/>
    </row>
    <row r="319" ht="14.25" customHeight="1">
      <c r="A319" s="186" t="s">
        <v>1457</v>
      </c>
      <c r="B319" s="187" t="s">
        <v>1458</v>
      </c>
      <c r="C319" s="186" t="s">
        <v>1459</v>
      </c>
      <c r="D319" s="188"/>
      <c r="E319" s="188"/>
      <c r="F319" s="189" t="s">
        <v>1460</v>
      </c>
      <c r="G319" s="188"/>
      <c r="H319" s="188"/>
      <c r="I319" s="188"/>
      <c r="J319" s="188"/>
      <c r="K319" s="188"/>
      <c r="L319" s="188"/>
      <c r="M319" s="188"/>
      <c r="N319" s="188"/>
      <c r="O319" s="188"/>
      <c r="P319" s="188"/>
      <c r="Q319" s="188"/>
      <c r="R319" s="188"/>
      <c r="S319" s="188"/>
      <c r="T319" s="188"/>
      <c r="U319" s="190"/>
      <c r="V319" s="190"/>
      <c r="W319" s="190"/>
      <c r="X319" s="188"/>
      <c r="Y319" s="188"/>
      <c r="Z319" s="190"/>
      <c r="AA319" s="188"/>
      <c r="AB319" s="188"/>
      <c r="AC319" s="188"/>
      <c r="AD319" s="188"/>
      <c r="AE319" s="188"/>
    </row>
    <row r="320" ht="14.25" customHeight="1">
      <c r="A320" s="186" t="s">
        <v>1461</v>
      </c>
      <c r="B320" s="187" t="s">
        <v>1462</v>
      </c>
      <c r="C320" s="186" t="s">
        <v>1463</v>
      </c>
      <c r="D320" s="188"/>
      <c r="E320" s="188"/>
      <c r="F320" s="189" t="s">
        <v>1464</v>
      </c>
      <c r="G320" s="188"/>
      <c r="H320" s="188"/>
      <c r="I320" s="188"/>
      <c r="J320" s="188"/>
      <c r="K320" s="188"/>
      <c r="L320" s="188"/>
      <c r="M320" s="188"/>
      <c r="N320" s="188"/>
      <c r="O320" s="188"/>
      <c r="P320" s="188"/>
      <c r="Q320" s="188"/>
      <c r="R320" s="188"/>
      <c r="S320" s="188"/>
      <c r="T320" s="188"/>
      <c r="U320" s="190"/>
      <c r="V320" s="190"/>
      <c r="W320" s="190"/>
      <c r="X320" s="188"/>
      <c r="Y320" s="188"/>
      <c r="Z320" s="190"/>
      <c r="AA320" s="188"/>
      <c r="AB320" s="188"/>
      <c r="AC320" s="188"/>
      <c r="AD320" s="188"/>
      <c r="AE320" s="188"/>
    </row>
    <row r="321" ht="14.25" customHeight="1">
      <c r="A321" s="186" t="s">
        <v>1465</v>
      </c>
      <c r="B321" s="187" t="s">
        <v>1466</v>
      </c>
      <c r="C321" s="186" t="s">
        <v>41</v>
      </c>
      <c r="D321" s="188"/>
      <c r="E321" s="188"/>
      <c r="F321" s="189" t="s">
        <v>42</v>
      </c>
      <c r="G321" s="188"/>
      <c r="H321" s="188"/>
      <c r="I321" s="188"/>
      <c r="J321" s="188"/>
      <c r="K321" s="188"/>
      <c r="L321" s="188"/>
      <c r="M321" s="188"/>
      <c r="N321" s="188"/>
      <c r="O321" s="188"/>
      <c r="P321" s="188"/>
      <c r="Q321" s="188"/>
      <c r="R321" s="188"/>
      <c r="S321" s="188"/>
      <c r="T321" s="188"/>
      <c r="U321" s="190"/>
      <c r="V321" s="190"/>
      <c r="W321" s="190"/>
      <c r="X321" s="188"/>
      <c r="Y321" s="188"/>
      <c r="Z321" s="190"/>
      <c r="AA321" s="188"/>
      <c r="AB321" s="188"/>
      <c r="AC321" s="188"/>
      <c r="AD321" s="188"/>
      <c r="AE321" s="188"/>
    </row>
    <row r="322" ht="14.25" customHeight="1">
      <c r="A322" s="186" t="s">
        <v>1467</v>
      </c>
      <c r="B322" s="187" t="s">
        <v>1468</v>
      </c>
      <c r="C322" s="186" t="s">
        <v>1469</v>
      </c>
      <c r="D322" s="188"/>
      <c r="E322" s="188"/>
      <c r="F322" s="189" t="s">
        <v>1470</v>
      </c>
      <c r="G322" s="188"/>
      <c r="H322" s="188"/>
      <c r="I322" s="188"/>
      <c r="J322" s="188"/>
      <c r="K322" s="188"/>
      <c r="L322" s="188"/>
      <c r="M322" s="188"/>
      <c r="N322" s="188"/>
      <c r="O322" s="188"/>
      <c r="P322" s="188"/>
      <c r="Q322" s="188"/>
      <c r="R322" s="188"/>
      <c r="S322" s="188"/>
      <c r="T322" s="188"/>
      <c r="U322" s="190"/>
      <c r="V322" s="190"/>
      <c r="W322" s="190"/>
      <c r="X322" s="188"/>
      <c r="Y322" s="188"/>
      <c r="Z322" s="190"/>
      <c r="AA322" s="188"/>
      <c r="AB322" s="188"/>
      <c r="AC322" s="188"/>
      <c r="AD322" s="188"/>
      <c r="AE322" s="188"/>
    </row>
    <row r="323" ht="14.25" customHeight="1">
      <c r="A323" s="186" t="s">
        <v>1471</v>
      </c>
      <c r="B323" s="187" t="s">
        <v>1472</v>
      </c>
      <c r="C323" s="186" t="s">
        <v>1473</v>
      </c>
      <c r="D323" s="188"/>
      <c r="E323" s="188"/>
      <c r="F323" s="189" t="s">
        <v>1474</v>
      </c>
      <c r="G323" s="188"/>
      <c r="H323" s="188"/>
      <c r="I323" s="188"/>
      <c r="J323" s="188"/>
      <c r="K323" s="188"/>
      <c r="L323" s="188"/>
      <c r="M323" s="188"/>
      <c r="N323" s="188"/>
      <c r="O323" s="188"/>
      <c r="P323" s="188"/>
      <c r="Q323" s="188"/>
      <c r="R323" s="188"/>
      <c r="S323" s="188"/>
      <c r="T323" s="188"/>
      <c r="U323" s="190"/>
      <c r="V323" s="190"/>
      <c r="W323" s="190"/>
      <c r="X323" s="188"/>
      <c r="Y323" s="188"/>
      <c r="Z323" s="190"/>
      <c r="AA323" s="188"/>
      <c r="AB323" s="188"/>
      <c r="AC323" s="188"/>
      <c r="AD323" s="188"/>
      <c r="AE323" s="188"/>
    </row>
    <row r="324" ht="14.25" customHeight="1">
      <c r="A324" s="186" t="s">
        <v>1475</v>
      </c>
      <c r="B324" s="187" t="s">
        <v>1476</v>
      </c>
      <c r="C324" s="186" t="s">
        <v>1477</v>
      </c>
      <c r="D324" s="188"/>
      <c r="E324" s="188"/>
      <c r="F324" s="189" t="s">
        <v>232</v>
      </c>
      <c r="G324" s="188"/>
      <c r="H324" s="188"/>
      <c r="I324" s="188"/>
      <c r="J324" s="188"/>
      <c r="K324" s="188"/>
      <c r="L324" s="188"/>
      <c r="M324" s="188"/>
      <c r="N324" s="188"/>
      <c r="O324" s="188"/>
      <c r="P324" s="188"/>
      <c r="Q324" s="188"/>
      <c r="R324" s="188"/>
      <c r="S324" s="188"/>
      <c r="T324" s="188"/>
      <c r="U324" s="190"/>
      <c r="V324" s="190"/>
      <c r="W324" s="190"/>
      <c r="X324" s="188"/>
      <c r="Y324" s="188"/>
      <c r="Z324" s="190"/>
      <c r="AA324" s="188"/>
      <c r="AB324" s="188"/>
      <c r="AC324" s="188"/>
      <c r="AD324" s="188"/>
      <c r="AE324" s="188"/>
    </row>
    <row r="325" ht="14.25" customHeight="1">
      <c r="A325" s="186" t="s">
        <v>1478</v>
      </c>
      <c r="B325" s="187" t="s">
        <v>1479</v>
      </c>
      <c r="C325" s="186" t="s">
        <v>1480</v>
      </c>
      <c r="D325" s="188"/>
      <c r="E325" s="188"/>
      <c r="F325" s="189" t="s">
        <v>1481</v>
      </c>
      <c r="G325" s="188"/>
      <c r="H325" s="188"/>
      <c r="I325" s="188"/>
      <c r="J325" s="188"/>
      <c r="K325" s="188"/>
      <c r="L325" s="188"/>
      <c r="M325" s="188"/>
      <c r="N325" s="188"/>
      <c r="O325" s="188"/>
      <c r="P325" s="188"/>
      <c r="Q325" s="188"/>
      <c r="R325" s="188"/>
      <c r="S325" s="188"/>
      <c r="T325" s="188"/>
      <c r="U325" s="190"/>
      <c r="V325" s="190"/>
      <c r="W325" s="190"/>
      <c r="X325" s="188"/>
      <c r="Y325" s="188"/>
      <c r="Z325" s="190"/>
      <c r="AA325" s="188"/>
      <c r="AB325" s="188"/>
      <c r="AC325" s="188"/>
      <c r="AD325" s="188"/>
      <c r="AE325" s="188"/>
    </row>
    <row r="326" ht="14.25" customHeight="1">
      <c r="A326" s="186" t="s">
        <v>1482</v>
      </c>
      <c r="B326" s="187" t="s">
        <v>1483</v>
      </c>
      <c r="C326" s="186" t="s">
        <v>1484</v>
      </c>
      <c r="D326" s="188"/>
      <c r="E326" s="188"/>
      <c r="F326" s="189" t="s">
        <v>1485</v>
      </c>
      <c r="G326" s="188"/>
      <c r="H326" s="188"/>
      <c r="I326" s="188"/>
      <c r="J326" s="188"/>
      <c r="K326" s="188"/>
      <c r="L326" s="188"/>
      <c r="M326" s="188"/>
      <c r="N326" s="188"/>
      <c r="O326" s="188"/>
      <c r="P326" s="188"/>
      <c r="Q326" s="188"/>
      <c r="R326" s="188"/>
      <c r="S326" s="188"/>
      <c r="T326" s="188"/>
      <c r="U326" s="190"/>
      <c r="V326" s="190"/>
      <c r="W326" s="190"/>
      <c r="X326" s="188"/>
      <c r="Y326" s="188"/>
      <c r="Z326" s="190"/>
      <c r="AA326" s="188"/>
      <c r="AB326" s="188"/>
      <c r="AC326" s="188"/>
      <c r="AD326" s="188"/>
      <c r="AE326" s="188"/>
    </row>
    <row r="327" ht="14.25" customHeight="1">
      <c r="A327" s="186" t="s">
        <v>1486</v>
      </c>
      <c r="B327" s="187" t="s">
        <v>1487</v>
      </c>
      <c r="C327" s="186" t="s">
        <v>1488</v>
      </c>
      <c r="D327" s="188"/>
      <c r="E327" s="188"/>
      <c r="F327" s="189" t="s">
        <v>1489</v>
      </c>
      <c r="G327" s="188"/>
      <c r="H327" s="188"/>
      <c r="I327" s="188"/>
      <c r="J327" s="188"/>
      <c r="K327" s="188"/>
      <c r="L327" s="188"/>
      <c r="M327" s="188"/>
      <c r="N327" s="188"/>
      <c r="O327" s="188"/>
      <c r="P327" s="188"/>
      <c r="Q327" s="188"/>
      <c r="R327" s="188"/>
      <c r="S327" s="188"/>
      <c r="T327" s="188"/>
      <c r="U327" s="190"/>
      <c r="V327" s="190"/>
      <c r="W327" s="190"/>
      <c r="X327" s="188"/>
      <c r="Y327" s="188"/>
      <c r="Z327" s="190"/>
      <c r="AA327" s="188"/>
      <c r="AB327" s="188"/>
      <c r="AC327" s="188"/>
      <c r="AD327" s="188"/>
      <c r="AE327" s="188"/>
    </row>
    <row r="328" ht="14.25" customHeight="1">
      <c r="A328" s="186" t="s">
        <v>1490</v>
      </c>
      <c r="B328" s="187" t="s">
        <v>1491</v>
      </c>
      <c r="C328" s="186" t="s">
        <v>1492</v>
      </c>
      <c r="D328" s="188"/>
      <c r="E328" s="188"/>
      <c r="F328" s="189" t="s">
        <v>1493</v>
      </c>
      <c r="G328" s="188"/>
      <c r="H328" s="188"/>
      <c r="I328" s="188"/>
      <c r="J328" s="188"/>
      <c r="K328" s="188"/>
      <c r="L328" s="188"/>
      <c r="M328" s="188"/>
      <c r="N328" s="188"/>
      <c r="O328" s="188"/>
      <c r="P328" s="188"/>
      <c r="Q328" s="188"/>
      <c r="R328" s="188"/>
      <c r="S328" s="188"/>
      <c r="T328" s="188"/>
      <c r="U328" s="190"/>
      <c r="V328" s="190"/>
      <c r="W328" s="190"/>
      <c r="X328" s="188"/>
      <c r="Y328" s="188"/>
      <c r="Z328" s="190"/>
      <c r="AA328" s="188"/>
      <c r="AB328" s="188"/>
      <c r="AC328" s="188"/>
      <c r="AD328" s="188"/>
      <c r="AE328" s="188"/>
    </row>
    <row r="329" ht="14.25" customHeight="1">
      <c r="A329" s="186" t="s">
        <v>1494</v>
      </c>
      <c r="B329" s="187" t="s">
        <v>1495</v>
      </c>
      <c r="C329" s="186" t="s">
        <v>1496</v>
      </c>
      <c r="D329" s="188"/>
      <c r="E329" s="188"/>
      <c r="F329" s="189" t="s">
        <v>1497</v>
      </c>
      <c r="G329" s="188"/>
      <c r="H329" s="188"/>
      <c r="I329" s="188"/>
      <c r="J329" s="188"/>
      <c r="K329" s="188"/>
      <c r="L329" s="188"/>
      <c r="M329" s="188"/>
      <c r="N329" s="188"/>
      <c r="O329" s="188"/>
      <c r="P329" s="188"/>
      <c r="Q329" s="188"/>
      <c r="R329" s="188"/>
      <c r="S329" s="188"/>
      <c r="T329" s="188"/>
      <c r="U329" s="190"/>
      <c r="V329" s="190"/>
      <c r="W329" s="190"/>
      <c r="X329" s="188"/>
      <c r="Y329" s="188"/>
      <c r="Z329" s="190"/>
      <c r="AA329" s="188"/>
      <c r="AB329" s="188"/>
      <c r="AC329" s="188"/>
      <c r="AD329" s="188"/>
      <c r="AE329" s="188"/>
    </row>
    <row r="330" ht="14.25" customHeight="1">
      <c r="A330" s="186" t="s">
        <v>1498</v>
      </c>
      <c r="B330" s="187" t="s">
        <v>1499</v>
      </c>
      <c r="C330" s="186" t="s">
        <v>1500</v>
      </c>
      <c r="D330" s="188"/>
      <c r="E330" s="188"/>
      <c r="F330" s="189" t="s">
        <v>1501</v>
      </c>
      <c r="G330" s="188"/>
      <c r="H330" s="188"/>
      <c r="I330" s="188"/>
      <c r="J330" s="188"/>
      <c r="K330" s="188"/>
      <c r="L330" s="188"/>
      <c r="M330" s="188"/>
      <c r="N330" s="188"/>
      <c r="O330" s="188"/>
      <c r="P330" s="188"/>
      <c r="Q330" s="188"/>
      <c r="R330" s="188"/>
      <c r="S330" s="188"/>
      <c r="T330" s="188"/>
      <c r="U330" s="190"/>
      <c r="V330" s="190"/>
      <c r="W330" s="190"/>
      <c r="X330" s="188"/>
      <c r="Y330" s="188"/>
      <c r="Z330" s="190"/>
      <c r="AA330" s="188"/>
      <c r="AB330" s="188"/>
      <c r="AC330" s="188"/>
      <c r="AD330" s="188"/>
      <c r="AE330" s="188"/>
    </row>
    <row r="331" ht="14.25" customHeight="1">
      <c r="A331" s="186" t="s">
        <v>1502</v>
      </c>
      <c r="B331" s="187" t="s">
        <v>1503</v>
      </c>
      <c r="C331" s="186" t="s">
        <v>1504</v>
      </c>
      <c r="D331" s="188"/>
      <c r="E331" s="188"/>
      <c r="F331" s="189" t="s">
        <v>1505</v>
      </c>
      <c r="G331" s="188"/>
      <c r="H331" s="188"/>
      <c r="I331" s="188"/>
      <c r="J331" s="188"/>
      <c r="K331" s="188"/>
      <c r="L331" s="188"/>
      <c r="M331" s="188"/>
      <c r="N331" s="188"/>
      <c r="O331" s="188"/>
      <c r="P331" s="188"/>
      <c r="Q331" s="188"/>
      <c r="R331" s="188"/>
      <c r="S331" s="188"/>
      <c r="T331" s="188"/>
      <c r="U331" s="190"/>
      <c r="V331" s="190"/>
      <c r="W331" s="190"/>
      <c r="X331" s="188"/>
      <c r="Y331" s="188"/>
      <c r="Z331" s="190"/>
      <c r="AA331" s="188"/>
      <c r="AB331" s="188"/>
      <c r="AC331" s="188"/>
      <c r="AD331" s="188"/>
      <c r="AE331" s="188"/>
    </row>
    <row r="332" ht="14.25" customHeight="1">
      <c r="A332" s="186" t="s">
        <v>1506</v>
      </c>
      <c r="B332" s="187" t="s">
        <v>1507</v>
      </c>
      <c r="C332" s="186" t="s">
        <v>1508</v>
      </c>
      <c r="D332" s="188"/>
      <c r="E332" s="188"/>
      <c r="F332" s="189" t="s">
        <v>1509</v>
      </c>
      <c r="G332" s="188"/>
      <c r="H332" s="188"/>
      <c r="I332" s="188"/>
      <c r="J332" s="188"/>
      <c r="K332" s="188"/>
      <c r="L332" s="188"/>
      <c r="M332" s="188"/>
      <c r="N332" s="188"/>
      <c r="O332" s="188"/>
      <c r="P332" s="188"/>
      <c r="Q332" s="188"/>
      <c r="R332" s="188"/>
      <c r="S332" s="188"/>
      <c r="T332" s="188"/>
      <c r="U332" s="190"/>
      <c r="V332" s="190"/>
      <c r="W332" s="190"/>
      <c r="X332" s="188"/>
      <c r="Y332" s="188"/>
      <c r="Z332" s="190"/>
      <c r="AA332" s="188"/>
      <c r="AB332" s="188"/>
      <c r="AC332" s="188"/>
      <c r="AD332" s="188"/>
      <c r="AE332" s="188"/>
    </row>
    <row r="333" ht="14.25" customHeight="1">
      <c r="A333" s="186" t="s">
        <v>1510</v>
      </c>
      <c r="B333" s="187" t="s">
        <v>1511</v>
      </c>
      <c r="C333" s="186" t="s">
        <v>1512</v>
      </c>
      <c r="D333" s="188"/>
      <c r="E333" s="188"/>
      <c r="F333" s="189" t="s">
        <v>1513</v>
      </c>
      <c r="G333" s="188"/>
      <c r="H333" s="188"/>
      <c r="I333" s="188"/>
      <c r="J333" s="188"/>
      <c r="K333" s="188"/>
      <c r="L333" s="188"/>
      <c r="M333" s="188"/>
      <c r="N333" s="188"/>
      <c r="O333" s="188"/>
      <c r="P333" s="188"/>
      <c r="Q333" s="188"/>
      <c r="R333" s="188"/>
      <c r="S333" s="188"/>
      <c r="T333" s="188"/>
      <c r="U333" s="190"/>
      <c r="V333" s="190"/>
      <c r="W333" s="190"/>
      <c r="X333" s="188"/>
      <c r="Y333" s="188"/>
      <c r="Z333" s="190"/>
      <c r="AA333" s="188"/>
      <c r="AB333" s="188"/>
      <c r="AC333" s="188"/>
      <c r="AD333" s="188"/>
      <c r="AE333" s="188"/>
    </row>
    <row r="334" ht="14.25" customHeight="1">
      <c r="A334" s="186" t="s">
        <v>1514</v>
      </c>
      <c r="B334" s="187" t="s">
        <v>1515</v>
      </c>
      <c r="C334" s="186" t="s">
        <v>1516</v>
      </c>
      <c r="D334" s="188"/>
      <c r="E334" s="188"/>
      <c r="F334" s="189" t="s">
        <v>1517</v>
      </c>
      <c r="G334" s="188"/>
      <c r="H334" s="188"/>
      <c r="I334" s="188"/>
      <c r="J334" s="188"/>
      <c r="K334" s="188"/>
      <c r="L334" s="188"/>
      <c r="M334" s="188"/>
      <c r="N334" s="188"/>
      <c r="O334" s="188"/>
      <c r="P334" s="188"/>
      <c r="Q334" s="188"/>
      <c r="R334" s="188"/>
      <c r="S334" s="188"/>
      <c r="T334" s="188"/>
      <c r="U334" s="190"/>
      <c r="V334" s="190"/>
      <c r="W334" s="190"/>
      <c r="X334" s="188"/>
      <c r="Y334" s="188"/>
      <c r="Z334" s="190"/>
      <c r="AA334" s="188"/>
      <c r="AB334" s="188"/>
      <c r="AC334" s="188"/>
      <c r="AD334" s="188"/>
      <c r="AE334" s="188"/>
    </row>
    <row r="335" ht="14.25" customHeight="1">
      <c r="A335" s="186" t="s">
        <v>1518</v>
      </c>
      <c r="B335" s="187" t="s">
        <v>1519</v>
      </c>
      <c r="C335" s="186" t="s">
        <v>1520</v>
      </c>
      <c r="D335" s="188"/>
      <c r="E335" s="188"/>
      <c r="F335" s="189" t="s">
        <v>1521</v>
      </c>
      <c r="G335" s="188"/>
      <c r="H335" s="188"/>
      <c r="I335" s="188"/>
      <c r="J335" s="188"/>
      <c r="K335" s="188"/>
      <c r="L335" s="188"/>
      <c r="M335" s="188"/>
      <c r="N335" s="188"/>
      <c r="O335" s="188"/>
      <c r="P335" s="188"/>
      <c r="Q335" s="188"/>
      <c r="R335" s="188"/>
      <c r="S335" s="188"/>
      <c r="T335" s="188"/>
      <c r="U335" s="190"/>
      <c r="V335" s="190"/>
      <c r="W335" s="190"/>
      <c r="X335" s="188"/>
      <c r="Y335" s="188"/>
      <c r="Z335" s="190"/>
      <c r="AA335" s="188"/>
      <c r="AB335" s="188"/>
      <c r="AC335" s="188"/>
      <c r="AD335" s="188"/>
      <c r="AE335" s="188"/>
    </row>
    <row r="336" ht="14.25" customHeight="1">
      <c r="A336" s="186" t="s">
        <v>1522</v>
      </c>
      <c r="B336" s="187" t="s">
        <v>1523</v>
      </c>
      <c r="C336" s="186" t="s">
        <v>1524</v>
      </c>
      <c r="D336" s="188"/>
      <c r="E336" s="188"/>
      <c r="F336" s="189" t="s">
        <v>1525</v>
      </c>
      <c r="G336" s="188"/>
      <c r="H336" s="188"/>
      <c r="I336" s="188"/>
      <c r="J336" s="188"/>
      <c r="K336" s="188"/>
      <c r="L336" s="188"/>
      <c r="M336" s="188"/>
      <c r="N336" s="188"/>
      <c r="O336" s="188"/>
      <c r="P336" s="188"/>
      <c r="Q336" s="188"/>
      <c r="R336" s="188"/>
      <c r="S336" s="188"/>
      <c r="T336" s="188"/>
      <c r="U336" s="190"/>
      <c r="V336" s="190"/>
      <c r="W336" s="190"/>
      <c r="X336" s="188"/>
      <c r="Y336" s="188"/>
      <c r="Z336" s="190"/>
      <c r="AA336" s="188"/>
      <c r="AB336" s="188"/>
      <c r="AC336" s="188"/>
      <c r="AD336" s="188"/>
      <c r="AE336" s="188"/>
    </row>
    <row r="337" ht="14.25" customHeight="1">
      <c r="A337" s="186" t="s">
        <v>1526</v>
      </c>
      <c r="B337" s="187" t="s">
        <v>1527</v>
      </c>
      <c r="C337" s="186" t="s">
        <v>1528</v>
      </c>
      <c r="D337" s="188"/>
      <c r="E337" s="188"/>
      <c r="F337" s="189" t="s">
        <v>1529</v>
      </c>
      <c r="G337" s="188"/>
      <c r="H337" s="188"/>
      <c r="I337" s="188"/>
      <c r="J337" s="188"/>
      <c r="K337" s="188"/>
      <c r="L337" s="188"/>
      <c r="M337" s="188"/>
      <c r="N337" s="188"/>
      <c r="O337" s="188"/>
      <c r="P337" s="188"/>
      <c r="Q337" s="188"/>
      <c r="R337" s="188"/>
      <c r="S337" s="188"/>
      <c r="T337" s="188"/>
      <c r="U337" s="190"/>
      <c r="V337" s="190"/>
      <c r="W337" s="190"/>
      <c r="X337" s="188"/>
      <c r="Y337" s="188"/>
      <c r="Z337" s="190"/>
      <c r="AA337" s="188"/>
      <c r="AB337" s="188"/>
      <c r="AC337" s="188"/>
      <c r="AD337" s="188"/>
      <c r="AE337" s="188"/>
    </row>
    <row r="338" ht="14.25" customHeight="1">
      <c r="A338" s="186" t="s">
        <v>1530</v>
      </c>
      <c r="B338" s="187" t="s">
        <v>1531</v>
      </c>
      <c r="C338" s="186" t="s">
        <v>1532</v>
      </c>
      <c r="D338" s="188"/>
      <c r="E338" s="188"/>
      <c r="F338" s="189" t="s">
        <v>1533</v>
      </c>
      <c r="G338" s="188"/>
      <c r="H338" s="188"/>
      <c r="I338" s="188"/>
      <c r="J338" s="188"/>
      <c r="K338" s="188"/>
      <c r="L338" s="188"/>
      <c r="M338" s="188"/>
      <c r="N338" s="188"/>
      <c r="O338" s="188"/>
      <c r="P338" s="188"/>
      <c r="Q338" s="188"/>
      <c r="R338" s="188"/>
      <c r="S338" s="188"/>
      <c r="T338" s="188"/>
      <c r="U338" s="190"/>
      <c r="V338" s="190"/>
      <c r="W338" s="190"/>
      <c r="X338" s="188"/>
      <c r="Y338" s="188"/>
      <c r="Z338" s="190"/>
      <c r="AA338" s="188"/>
      <c r="AB338" s="188"/>
      <c r="AC338" s="188"/>
      <c r="AD338" s="188"/>
      <c r="AE338" s="188"/>
    </row>
    <row r="339" ht="14.25" customHeight="1">
      <c r="A339" s="186" t="s">
        <v>1534</v>
      </c>
      <c r="B339" s="187" t="s">
        <v>1535</v>
      </c>
      <c r="C339" s="186" t="s">
        <v>1536</v>
      </c>
      <c r="D339" s="188"/>
      <c r="E339" s="188"/>
      <c r="F339" s="189" t="s">
        <v>1537</v>
      </c>
      <c r="G339" s="188"/>
      <c r="H339" s="188"/>
      <c r="I339" s="188"/>
      <c r="J339" s="188"/>
      <c r="K339" s="188"/>
      <c r="L339" s="188"/>
      <c r="M339" s="188"/>
      <c r="N339" s="188"/>
      <c r="O339" s="188"/>
      <c r="P339" s="188"/>
      <c r="Q339" s="188"/>
      <c r="R339" s="188"/>
      <c r="S339" s="188"/>
      <c r="T339" s="188"/>
      <c r="U339" s="190"/>
      <c r="V339" s="190"/>
      <c r="W339" s="190"/>
      <c r="X339" s="188"/>
      <c r="Y339" s="188"/>
      <c r="Z339" s="190"/>
      <c r="AA339" s="188"/>
      <c r="AB339" s="188"/>
      <c r="AC339" s="188"/>
      <c r="AD339" s="188"/>
      <c r="AE339" s="188"/>
    </row>
    <row r="340" ht="14.25" customHeight="1">
      <c r="A340" s="186" t="s">
        <v>1538</v>
      </c>
      <c r="B340" s="187" t="s">
        <v>1539</v>
      </c>
      <c r="C340" s="186" t="s">
        <v>1540</v>
      </c>
      <c r="D340" s="188"/>
      <c r="E340" s="188"/>
      <c r="F340" s="189" t="s">
        <v>1541</v>
      </c>
      <c r="G340" s="188"/>
      <c r="H340" s="188"/>
      <c r="I340" s="188"/>
      <c r="J340" s="188"/>
      <c r="K340" s="188"/>
      <c r="L340" s="188"/>
      <c r="M340" s="188"/>
      <c r="N340" s="188"/>
      <c r="O340" s="188"/>
      <c r="P340" s="188"/>
      <c r="Q340" s="188"/>
      <c r="R340" s="188"/>
      <c r="S340" s="188"/>
      <c r="T340" s="188"/>
      <c r="U340" s="190"/>
      <c r="V340" s="190"/>
      <c r="W340" s="190"/>
      <c r="X340" s="188"/>
      <c r="Y340" s="188"/>
      <c r="Z340" s="190"/>
      <c r="AA340" s="188"/>
      <c r="AB340" s="188"/>
      <c r="AC340" s="188"/>
      <c r="AD340" s="188"/>
      <c r="AE340" s="188"/>
    </row>
    <row r="341" ht="14.25" customHeight="1">
      <c r="A341" s="186" t="s">
        <v>1542</v>
      </c>
      <c r="B341" s="187" t="s">
        <v>1543</v>
      </c>
      <c r="C341" s="186" t="s">
        <v>1544</v>
      </c>
      <c r="D341" s="188"/>
      <c r="E341" s="188"/>
      <c r="F341" s="189" t="s">
        <v>1545</v>
      </c>
      <c r="G341" s="188"/>
      <c r="H341" s="188"/>
      <c r="I341" s="188"/>
      <c r="J341" s="188"/>
      <c r="K341" s="188"/>
      <c r="L341" s="188"/>
      <c r="M341" s="188"/>
      <c r="N341" s="188"/>
      <c r="O341" s="188"/>
      <c r="P341" s="188"/>
      <c r="Q341" s="188"/>
      <c r="R341" s="188"/>
      <c r="S341" s="188"/>
      <c r="T341" s="188"/>
      <c r="U341" s="190"/>
      <c r="V341" s="190"/>
      <c r="W341" s="190"/>
      <c r="X341" s="188"/>
      <c r="Y341" s="188"/>
      <c r="Z341" s="190"/>
      <c r="AA341" s="188"/>
      <c r="AB341" s="188"/>
      <c r="AC341" s="188"/>
      <c r="AD341" s="188"/>
      <c r="AE341" s="188"/>
    </row>
    <row r="342" ht="14.25" customHeight="1">
      <c r="A342" s="186" t="s">
        <v>1546</v>
      </c>
      <c r="B342" s="187" t="s">
        <v>1547</v>
      </c>
      <c r="C342" s="186" t="s">
        <v>1548</v>
      </c>
      <c r="D342" s="188"/>
      <c r="E342" s="188"/>
      <c r="F342" s="189" t="s">
        <v>1549</v>
      </c>
      <c r="G342" s="188"/>
      <c r="H342" s="188"/>
      <c r="I342" s="188"/>
      <c r="J342" s="188"/>
      <c r="K342" s="188"/>
      <c r="L342" s="188"/>
      <c r="M342" s="188"/>
      <c r="N342" s="188"/>
      <c r="O342" s="188"/>
      <c r="P342" s="188"/>
      <c r="Q342" s="188"/>
      <c r="R342" s="188"/>
      <c r="S342" s="188"/>
      <c r="T342" s="188"/>
      <c r="U342" s="190"/>
      <c r="V342" s="190"/>
      <c r="W342" s="190"/>
      <c r="X342" s="188"/>
      <c r="Y342" s="188"/>
      <c r="Z342" s="190"/>
      <c r="AA342" s="188"/>
      <c r="AB342" s="188"/>
      <c r="AC342" s="188"/>
      <c r="AD342" s="188"/>
      <c r="AE342" s="188"/>
    </row>
    <row r="343" ht="14.25" customHeight="1">
      <c r="A343" s="186" t="s">
        <v>1550</v>
      </c>
      <c r="B343" s="187" t="s">
        <v>1551</v>
      </c>
      <c r="C343" s="186" t="s">
        <v>1552</v>
      </c>
      <c r="D343" s="188"/>
      <c r="E343" s="188"/>
      <c r="F343" s="189" t="s">
        <v>1553</v>
      </c>
      <c r="G343" s="188"/>
      <c r="H343" s="188"/>
      <c r="I343" s="188"/>
      <c r="J343" s="188"/>
      <c r="K343" s="188"/>
      <c r="L343" s="188"/>
      <c r="M343" s="188"/>
      <c r="N343" s="188"/>
      <c r="O343" s="188"/>
      <c r="P343" s="188"/>
      <c r="Q343" s="188"/>
      <c r="R343" s="188"/>
      <c r="S343" s="188"/>
      <c r="T343" s="188"/>
      <c r="U343" s="190"/>
      <c r="V343" s="190"/>
      <c r="W343" s="190"/>
      <c r="X343" s="188"/>
      <c r="Y343" s="188"/>
      <c r="Z343" s="190"/>
      <c r="AA343" s="188"/>
      <c r="AB343" s="188"/>
      <c r="AC343" s="188"/>
      <c r="AD343" s="188"/>
      <c r="AE343" s="188"/>
    </row>
    <row r="344" ht="14.25" customHeight="1">
      <c r="A344" s="186" t="s">
        <v>1554</v>
      </c>
      <c r="B344" s="187" t="s">
        <v>1555</v>
      </c>
      <c r="C344" s="186" t="s">
        <v>1556</v>
      </c>
      <c r="D344" s="188"/>
      <c r="E344" s="188"/>
      <c r="F344" s="189" t="s">
        <v>1557</v>
      </c>
      <c r="G344" s="188"/>
      <c r="H344" s="188"/>
      <c r="I344" s="188"/>
      <c r="J344" s="188"/>
      <c r="K344" s="188"/>
      <c r="L344" s="188"/>
      <c r="M344" s="188"/>
      <c r="N344" s="188"/>
      <c r="O344" s="188"/>
      <c r="P344" s="188"/>
      <c r="Q344" s="188"/>
      <c r="R344" s="188"/>
      <c r="S344" s="188"/>
      <c r="T344" s="188"/>
      <c r="U344" s="190"/>
      <c r="V344" s="190"/>
      <c r="W344" s="190"/>
      <c r="X344" s="188"/>
      <c r="Y344" s="188"/>
      <c r="Z344" s="190"/>
      <c r="AA344" s="188"/>
      <c r="AB344" s="188"/>
      <c r="AC344" s="188"/>
      <c r="AD344" s="188"/>
      <c r="AE344" s="188"/>
    </row>
    <row r="345" ht="14.25" customHeight="1">
      <c r="A345" s="186" t="s">
        <v>1558</v>
      </c>
      <c r="B345" s="187" t="s">
        <v>1559</v>
      </c>
      <c r="C345" s="186" t="s">
        <v>1560</v>
      </c>
      <c r="D345" s="188"/>
      <c r="E345" s="188"/>
      <c r="F345" s="189" t="s">
        <v>1561</v>
      </c>
      <c r="G345" s="188"/>
      <c r="H345" s="188"/>
      <c r="I345" s="188"/>
      <c r="J345" s="188"/>
      <c r="K345" s="188"/>
      <c r="L345" s="188"/>
      <c r="M345" s="188"/>
      <c r="N345" s="188"/>
      <c r="O345" s="188"/>
      <c r="P345" s="188"/>
      <c r="Q345" s="188"/>
      <c r="R345" s="188"/>
      <c r="S345" s="188"/>
      <c r="T345" s="188"/>
      <c r="U345" s="190"/>
      <c r="V345" s="190"/>
      <c r="W345" s="190"/>
      <c r="X345" s="188"/>
      <c r="Y345" s="188"/>
      <c r="Z345" s="190"/>
      <c r="AA345" s="188"/>
      <c r="AB345" s="188"/>
      <c r="AC345" s="188"/>
      <c r="AD345" s="188"/>
      <c r="AE345" s="188"/>
    </row>
    <row r="346" ht="14.25" customHeight="1">
      <c r="A346" s="186" t="s">
        <v>1562</v>
      </c>
      <c r="B346" s="187" t="s">
        <v>1563</v>
      </c>
      <c r="C346" s="186" t="s">
        <v>1564</v>
      </c>
      <c r="D346" s="188"/>
      <c r="E346" s="188"/>
      <c r="F346" s="189" t="s">
        <v>1565</v>
      </c>
      <c r="G346" s="188"/>
      <c r="H346" s="188"/>
      <c r="I346" s="188"/>
      <c r="J346" s="188"/>
      <c r="K346" s="188"/>
      <c r="L346" s="188"/>
      <c r="M346" s="188"/>
      <c r="N346" s="188"/>
      <c r="O346" s="188"/>
      <c r="P346" s="188"/>
      <c r="Q346" s="188"/>
      <c r="R346" s="188"/>
      <c r="S346" s="188"/>
      <c r="T346" s="188"/>
      <c r="U346" s="190"/>
      <c r="V346" s="190"/>
      <c r="W346" s="190"/>
      <c r="X346" s="188"/>
      <c r="Y346" s="188"/>
      <c r="Z346" s="190"/>
      <c r="AA346" s="188"/>
      <c r="AB346" s="188"/>
      <c r="AC346" s="188"/>
      <c r="AD346" s="188"/>
      <c r="AE346" s="188"/>
    </row>
    <row r="347" ht="14.25" customHeight="1">
      <c r="A347" s="186" t="s">
        <v>1566</v>
      </c>
      <c r="B347" s="187" t="s">
        <v>1567</v>
      </c>
      <c r="C347" s="186" t="s">
        <v>1568</v>
      </c>
      <c r="D347" s="188"/>
      <c r="E347" s="188"/>
      <c r="F347" s="189" t="s">
        <v>1569</v>
      </c>
      <c r="G347" s="188"/>
      <c r="H347" s="188"/>
      <c r="I347" s="188"/>
      <c r="J347" s="188"/>
      <c r="K347" s="188"/>
      <c r="L347" s="188"/>
      <c r="M347" s="188"/>
      <c r="N347" s="188"/>
      <c r="O347" s="188"/>
      <c r="P347" s="188"/>
      <c r="Q347" s="188"/>
      <c r="R347" s="188"/>
      <c r="S347" s="188"/>
      <c r="T347" s="188"/>
      <c r="U347" s="190"/>
      <c r="V347" s="190"/>
      <c r="W347" s="190"/>
      <c r="X347" s="188"/>
      <c r="Y347" s="188"/>
      <c r="Z347" s="190"/>
      <c r="AA347" s="188"/>
      <c r="AB347" s="188"/>
      <c r="AC347" s="188"/>
      <c r="AD347" s="188"/>
      <c r="AE347" s="188"/>
    </row>
    <row r="348" ht="14.25" customHeight="1">
      <c r="A348" s="186" t="s">
        <v>1570</v>
      </c>
      <c r="B348" s="187" t="s">
        <v>1571</v>
      </c>
      <c r="C348" s="186" t="s">
        <v>1572</v>
      </c>
      <c r="D348" s="188"/>
      <c r="E348" s="188"/>
      <c r="F348" s="189" t="s">
        <v>1573</v>
      </c>
      <c r="G348" s="188"/>
      <c r="H348" s="188"/>
      <c r="I348" s="188"/>
      <c r="J348" s="188"/>
      <c r="K348" s="188"/>
      <c r="L348" s="188"/>
      <c r="M348" s="188"/>
      <c r="N348" s="188"/>
      <c r="O348" s="188"/>
      <c r="P348" s="188"/>
      <c r="Q348" s="188"/>
      <c r="R348" s="188"/>
      <c r="S348" s="188"/>
      <c r="T348" s="188"/>
      <c r="U348" s="190"/>
      <c r="V348" s="190"/>
      <c r="W348" s="190"/>
      <c r="X348" s="188"/>
      <c r="Y348" s="188"/>
      <c r="Z348" s="190"/>
      <c r="AA348" s="188"/>
      <c r="AB348" s="188"/>
      <c r="AC348" s="188"/>
      <c r="AD348" s="188"/>
      <c r="AE348" s="188"/>
    </row>
    <row r="349" ht="14.25" customHeight="1">
      <c r="A349" s="186" t="s">
        <v>1574</v>
      </c>
      <c r="B349" s="187" t="s">
        <v>1575</v>
      </c>
      <c r="C349" s="186" t="s">
        <v>1576</v>
      </c>
      <c r="D349" s="188"/>
      <c r="E349" s="188"/>
      <c r="F349" s="189" t="s">
        <v>1577</v>
      </c>
      <c r="G349" s="188"/>
      <c r="H349" s="188"/>
      <c r="I349" s="188"/>
      <c r="J349" s="188"/>
      <c r="K349" s="188"/>
      <c r="L349" s="188"/>
      <c r="M349" s="188"/>
      <c r="N349" s="188"/>
      <c r="O349" s="188"/>
      <c r="P349" s="188"/>
      <c r="Q349" s="188"/>
      <c r="R349" s="188"/>
      <c r="S349" s="188"/>
      <c r="T349" s="188"/>
      <c r="U349" s="190"/>
      <c r="V349" s="190"/>
      <c r="W349" s="190"/>
      <c r="X349" s="188"/>
      <c r="Y349" s="188"/>
      <c r="Z349" s="190"/>
      <c r="AA349" s="188"/>
      <c r="AB349" s="188"/>
      <c r="AC349" s="188"/>
      <c r="AD349" s="188"/>
      <c r="AE349" s="188"/>
    </row>
    <row r="350" ht="14.25" customHeight="1">
      <c r="A350" s="186" t="s">
        <v>1578</v>
      </c>
      <c r="B350" s="187" t="s">
        <v>1579</v>
      </c>
      <c r="C350" s="186" t="s">
        <v>1580</v>
      </c>
      <c r="D350" s="188"/>
      <c r="E350" s="188"/>
      <c r="F350" s="189" t="s">
        <v>1581</v>
      </c>
      <c r="G350" s="188"/>
      <c r="H350" s="188"/>
      <c r="I350" s="188"/>
      <c r="J350" s="188"/>
      <c r="K350" s="188"/>
      <c r="L350" s="188"/>
      <c r="M350" s="188"/>
      <c r="N350" s="188"/>
      <c r="O350" s="188"/>
      <c r="P350" s="188"/>
      <c r="Q350" s="188"/>
      <c r="R350" s="188"/>
      <c r="S350" s="188"/>
      <c r="T350" s="188"/>
      <c r="U350" s="190"/>
      <c r="V350" s="190"/>
      <c r="W350" s="190"/>
      <c r="X350" s="188"/>
      <c r="Y350" s="188"/>
      <c r="Z350" s="190"/>
      <c r="AA350" s="188"/>
      <c r="AB350" s="188"/>
      <c r="AC350" s="188"/>
      <c r="AD350" s="188"/>
      <c r="AE350" s="188"/>
    </row>
    <row r="351" ht="14.25" customHeight="1">
      <c r="A351" s="186" t="s">
        <v>1582</v>
      </c>
      <c r="B351" s="187" t="s">
        <v>1583</v>
      </c>
      <c r="C351" s="186" t="s">
        <v>1584</v>
      </c>
      <c r="D351" s="188"/>
      <c r="E351" s="188"/>
      <c r="F351" s="189" t="s">
        <v>1585</v>
      </c>
      <c r="G351" s="188"/>
      <c r="H351" s="188"/>
      <c r="I351" s="188"/>
      <c r="J351" s="188"/>
      <c r="K351" s="188"/>
      <c r="L351" s="188"/>
      <c r="M351" s="188"/>
      <c r="N351" s="188"/>
      <c r="O351" s="188"/>
      <c r="P351" s="188"/>
      <c r="Q351" s="188"/>
      <c r="R351" s="188"/>
      <c r="S351" s="188"/>
      <c r="T351" s="188"/>
      <c r="U351" s="190"/>
      <c r="V351" s="190"/>
      <c r="W351" s="190"/>
      <c r="X351" s="188"/>
      <c r="Y351" s="188"/>
      <c r="Z351" s="190"/>
      <c r="AA351" s="188"/>
      <c r="AB351" s="188"/>
      <c r="AC351" s="188"/>
      <c r="AD351" s="188"/>
      <c r="AE351" s="188"/>
    </row>
    <row r="352" ht="14.25" customHeight="1">
      <c r="A352" s="186" t="s">
        <v>1586</v>
      </c>
      <c r="B352" s="187" t="s">
        <v>1587</v>
      </c>
      <c r="C352" s="186" t="s">
        <v>1588</v>
      </c>
      <c r="D352" s="188"/>
      <c r="E352" s="188"/>
      <c r="F352" s="189" t="s">
        <v>1589</v>
      </c>
      <c r="G352" s="188"/>
      <c r="H352" s="188"/>
      <c r="I352" s="188"/>
      <c r="J352" s="188"/>
      <c r="K352" s="188"/>
      <c r="L352" s="188"/>
      <c r="M352" s="188"/>
      <c r="N352" s="188"/>
      <c r="O352" s="188"/>
      <c r="P352" s="188"/>
      <c r="Q352" s="188"/>
      <c r="R352" s="188"/>
      <c r="S352" s="188"/>
      <c r="T352" s="188"/>
      <c r="U352" s="190"/>
      <c r="V352" s="190"/>
      <c r="W352" s="190"/>
      <c r="X352" s="188"/>
      <c r="Y352" s="188"/>
      <c r="Z352" s="190"/>
      <c r="AA352" s="188"/>
      <c r="AB352" s="188"/>
      <c r="AC352" s="188"/>
      <c r="AD352" s="188"/>
      <c r="AE352" s="188"/>
    </row>
    <row r="353" ht="14.25" customHeight="1">
      <c r="A353" s="186" t="s">
        <v>1590</v>
      </c>
      <c r="B353" s="187" t="s">
        <v>1591</v>
      </c>
      <c r="C353" s="186" t="s">
        <v>1592</v>
      </c>
      <c r="D353" s="188"/>
      <c r="E353" s="188"/>
      <c r="F353" s="189" t="s">
        <v>1593</v>
      </c>
      <c r="G353" s="188"/>
      <c r="H353" s="188"/>
      <c r="I353" s="188"/>
      <c r="J353" s="188"/>
      <c r="K353" s="188"/>
      <c r="L353" s="188"/>
      <c r="M353" s="188"/>
      <c r="N353" s="188"/>
      <c r="O353" s="188"/>
      <c r="P353" s="188"/>
      <c r="Q353" s="188"/>
      <c r="R353" s="188"/>
      <c r="S353" s="188"/>
      <c r="T353" s="188"/>
      <c r="U353" s="190"/>
      <c r="V353" s="190"/>
      <c r="W353" s="190"/>
      <c r="X353" s="188"/>
      <c r="Y353" s="188"/>
      <c r="Z353" s="190"/>
      <c r="AA353" s="188"/>
      <c r="AB353" s="188"/>
      <c r="AC353" s="188"/>
      <c r="AD353" s="188"/>
      <c r="AE353" s="188"/>
    </row>
    <row r="354" ht="14.25" customHeight="1">
      <c r="A354" s="186" t="s">
        <v>1594</v>
      </c>
      <c r="B354" s="187" t="s">
        <v>1595</v>
      </c>
      <c r="C354" s="186" t="s">
        <v>1596</v>
      </c>
      <c r="D354" s="188"/>
      <c r="E354" s="188"/>
      <c r="F354" s="189" t="s">
        <v>1597</v>
      </c>
      <c r="G354" s="188"/>
      <c r="H354" s="188"/>
      <c r="I354" s="188"/>
      <c r="J354" s="188"/>
      <c r="K354" s="188"/>
      <c r="L354" s="188"/>
      <c r="M354" s="188"/>
      <c r="N354" s="188"/>
      <c r="O354" s="188"/>
      <c r="P354" s="188"/>
      <c r="Q354" s="188"/>
      <c r="R354" s="188"/>
      <c r="S354" s="188"/>
      <c r="T354" s="188"/>
      <c r="U354" s="190"/>
      <c r="V354" s="190"/>
      <c r="W354" s="190"/>
      <c r="X354" s="188"/>
      <c r="Y354" s="188"/>
      <c r="Z354" s="190"/>
      <c r="AA354" s="188"/>
      <c r="AB354" s="188"/>
      <c r="AC354" s="188"/>
      <c r="AD354" s="188"/>
      <c r="AE354" s="188"/>
    </row>
    <row r="355" ht="14.25" customHeight="1">
      <c r="A355" s="186" t="s">
        <v>1598</v>
      </c>
      <c r="B355" s="187" t="s">
        <v>1599</v>
      </c>
      <c r="C355" s="186" t="s">
        <v>1600</v>
      </c>
      <c r="D355" s="188"/>
      <c r="E355" s="188"/>
      <c r="F355" s="189" t="s">
        <v>1601</v>
      </c>
      <c r="G355" s="188"/>
      <c r="H355" s="188"/>
      <c r="I355" s="188"/>
      <c r="J355" s="188"/>
      <c r="K355" s="188"/>
      <c r="L355" s="188"/>
      <c r="M355" s="188"/>
      <c r="N355" s="188"/>
      <c r="O355" s="188"/>
      <c r="P355" s="188"/>
      <c r="Q355" s="188"/>
      <c r="R355" s="188"/>
      <c r="S355" s="188"/>
      <c r="T355" s="188"/>
      <c r="U355" s="190"/>
      <c r="V355" s="190"/>
      <c r="W355" s="190"/>
      <c r="X355" s="188"/>
      <c r="Y355" s="188"/>
      <c r="Z355" s="190"/>
      <c r="AA355" s="188"/>
      <c r="AB355" s="188"/>
      <c r="AC355" s="188"/>
      <c r="AD355" s="188"/>
      <c r="AE355" s="188"/>
    </row>
    <row r="356" ht="14.25" customHeight="1">
      <c r="A356" s="186" t="s">
        <v>1602</v>
      </c>
      <c r="B356" s="187" t="s">
        <v>1603</v>
      </c>
      <c r="C356" s="186" t="s">
        <v>1604</v>
      </c>
      <c r="D356" s="188"/>
      <c r="E356" s="188"/>
      <c r="F356" s="189" t="s">
        <v>1605</v>
      </c>
      <c r="G356" s="188"/>
      <c r="H356" s="188"/>
      <c r="I356" s="188"/>
      <c r="J356" s="188"/>
      <c r="K356" s="188"/>
      <c r="L356" s="188"/>
      <c r="M356" s="188"/>
      <c r="N356" s="188"/>
      <c r="O356" s="188"/>
      <c r="P356" s="188"/>
      <c r="Q356" s="188"/>
      <c r="R356" s="188"/>
      <c r="S356" s="188"/>
      <c r="T356" s="188"/>
      <c r="U356" s="190"/>
      <c r="V356" s="190"/>
      <c r="W356" s="190"/>
      <c r="X356" s="188"/>
      <c r="Y356" s="188"/>
      <c r="Z356" s="190"/>
      <c r="AA356" s="188"/>
      <c r="AB356" s="188"/>
      <c r="AC356" s="188"/>
      <c r="AD356" s="188"/>
      <c r="AE356" s="188"/>
    </row>
    <row r="357" ht="14.25" customHeight="1">
      <c r="A357" s="186" t="s">
        <v>1606</v>
      </c>
      <c r="B357" s="187" t="s">
        <v>1607</v>
      </c>
      <c r="C357" s="186" t="s">
        <v>1608</v>
      </c>
      <c r="D357" s="188"/>
      <c r="E357" s="188"/>
      <c r="F357" s="189" t="s">
        <v>1609</v>
      </c>
      <c r="G357" s="188"/>
      <c r="H357" s="188"/>
      <c r="I357" s="188"/>
      <c r="J357" s="188"/>
      <c r="K357" s="188"/>
      <c r="L357" s="188"/>
      <c r="M357" s="188"/>
      <c r="N357" s="188"/>
      <c r="O357" s="188"/>
      <c r="P357" s="188"/>
      <c r="Q357" s="188"/>
      <c r="R357" s="188"/>
      <c r="S357" s="188"/>
      <c r="T357" s="188"/>
      <c r="U357" s="190"/>
      <c r="V357" s="190"/>
      <c r="W357" s="190"/>
      <c r="X357" s="188"/>
      <c r="Y357" s="188"/>
      <c r="Z357" s="190"/>
      <c r="AA357" s="188"/>
      <c r="AB357" s="188"/>
      <c r="AC357" s="188"/>
      <c r="AD357" s="188"/>
      <c r="AE357" s="188"/>
    </row>
    <row r="358" ht="14.25" customHeight="1">
      <c r="A358" s="186" t="s">
        <v>1610</v>
      </c>
      <c r="B358" s="187" t="s">
        <v>1611</v>
      </c>
      <c r="C358" s="186" t="s">
        <v>1612</v>
      </c>
      <c r="D358" s="188"/>
      <c r="E358" s="188"/>
      <c r="F358" s="189" t="s">
        <v>1613</v>
      </c>
      <c r="G358" s="188"/>
      <c r="H358" s="188"/>
      <c r="I358" s="188"/>
      <c r="J358" s="188"/>
      <c r="K358" s="188"/>
      <c r="L358" s="188"/>
      <c r="M358" s="188"/>
      <c r="N358" s="188"/>
      <c r="O358" s="188"/>
      <c r="P358" s="188"/>
      <c r="Q358" s="188"/>
      <c r="R358" s="188"/>
      <c r="S358" s="188"/>
      <c r="T358" s="188"/>
      <c r="U358" s="190"/>
      <c r="V358" s="190"/>
      <c r="W358" s="190"/>
      <c r="X358" s="188"/>
      <c r="Y358" s="188"/>
      <c r="Z358" s="190"/>
      <c r="AA358" s="188"/>
      <c r="AB358" s="188"/>
      <c r="AC358" s="188"/>
      <c r="AD358" s="188"/>
      <c r="AE358" s="188"/>
    </row>
    <row r="359" ht="14.25" customHeight="1">
      <c r="A359" s="186" t="s">
        <v>1614</v>
      </c>
      <c r="B359" s="187" t="s">
        <v>1615</v>
      </c>
      <c r="C359" s="186" t="s">
        <v>1616</v>
      </c>
      <c r="D359" s="188"/>
      <c r="E359" s="188"/>
      <c r="F359" s="189" t="s">
        <v>1617</v>
      </c>
      <c r="G359" s="188"/>
      <c r="H359" s="188"/>
      <c r="I359" s="188"/>
      <c r="J359" s="188"/>
      <c r="K359" s="188"/>
      <c r="L359" s="188"/>
      <c r="M359" s="188"/>
      <c r="N359" s="188"/>
      <c r="O359" s="188"/>
      <c r="P359" s="188"/>
      <c r="Q359" s="188"/>
      <c r="R359" s="188"/>
      <c r="S359" s="188"/>
      <c r="T359" s="188"/>
      <c r="U359" s="190"/>
      <c r="V359" s="190"/>
      <c r="W359" s="190"/>
      <c r="X359" s="188"/>
      <c r="Y359" s="188"/>
      <c r="Z359" s="190"/>
      <c r="AA359" s="188"/>
      <c r="AB359" s="188"/>
      <c r="AC359" s="188"/>
      <c r="AD359" s="188"/>
      <c r="AE359" s="188"/>
    </row>
    <row r="360" ht="14.25" customHeight="1">
      <c r="A360" s="186" t="s">
        <v>1618</v>
      </c>
      <c r="B360" s="187" t="s">
        <v>1619</v>
      </c>
      <c r="C360" s="186" t="s">
        <v>1620</v>
      </c>
      <c r="D360" s="188"/>
      <c r="E360" s="188"/>
      <c r="F360" s="189" t="s">
        <v>1621</v>
      </c>
      <c r="G360" s="188"/>
      <c r="H360" s="188"/>
      <c r="I360" s="188"/>
      <c r="J360" s="188"/>
      <c r="K360" s="188"/>
      <c r="L360" s="188"/>
      <c r="M360" s="188"/>
      <c r="N360" s="188"/>
      <c r="O360" s="188"/>
      <c r="P360" s="188"/>
      <c r="Q360" s="188"/>
      <c r="R360" s="188"/>
      <c r="S360" s="188"/>
      <c r="T360" s="188"/>
      <c r="U360" s="190"/>
      <c r="V360" s="190"/>
      <c r="W360" s="190"/>
      <c r="X360" s="188"/>
      <c r="Y360" s="188"/>
      <c r="Z360" s="190"/>
      <c r="AA360" s="188"/>
      <c r="AB360" s="188"/>
      <c r="AC360" s="188"/>
      <c r="AD360" s="188"/>
      <c r="AE360" s="188"/>
    </row>
    <row r="361" ht="14.25" customHeight="1">
      <c r="A361" s="186" t="s">
        <v>1622</v>
      </c>
      <c r="B361" s="187" t="s">
        <v>1623</v>
      </c>
      <c r="C361" s="186" t="s">
        <v>1624</v>
      </c>
      <c r="D361" s="188"/>
      <c r="E361" s="188"/>
      <c r="F361" s="189" t="s">
        <v>1625</v>
      </c>
      <c r="G361" s="188"/>
      <c r="H361" s="188"/>
      <c r="I361" s="188"/>
      <c r="J361" s="188"/>
      <c r="K361" s="188"/>
      <c r="L361" s="188"/>
      <c r="M361" s="188"/>
      <c r="N361" s="188"/>
      <c r="O361" s="188"/>
      <c r="P361" s="188"/>
      <c r="Q361" s="188"/>
      <c r="R361" s="188"/>
      <c r="S361" s="188"/>
      <c r="T361" s="188"/>
      <c r="U361" s="190"/>
      <c r="V361" s="190"/>
      <c r="W361" s="190"/>
      <c r="X361" s="188"/>
      <c r="Y361" s="188"/>
      <c r="Z361" s="190"/>
      <c r="AA361" s="188"/>
      <c r="AB361" s="188"/>
      <c r="AC361" s="188"/>
      <c r="AD361" s="188"/>
      <c r="AE361" s="188"/>
    </row>
    <row r="362" ht="14.25" customHeight="1">
      <c r="A362" s="186" t="s">
        <v>1626</v>
      </c>
      <c r="B362" s="187" t="s">
        <v>1627</v>
      </c>
      <c r="C362" s="186" t="s">
        <v>1628</v>
      </c>
      <c r="D362" s="188"/>
      <c r="E362" s="188"/>
      <c r="F362" s="189" t="s">
        <v>1629</v>
      </c>
      <c r="G362" s="188"/>
      <c r="H362" s="188"/>
      <c r="I362" s="188"/>
      <c r="J362" s="188"/>
      <c r="K362" s="188"/>
      <c r="L362" s="188"/>
      <c r="M362" s="188"/>
      <c r="N362" s="188"/>
      <c r="O362" s="188"/>
      <c r="P362" s="188"/>
      <c r="Q362" s="188"/>
      <c r="R362" s="188"/>
      <c r="S362" s="188"/>
      <c r="T362" s="188"/>
      <c r="U362" s="190"/>
      <c r="V362" s="190"/>
      <c r="W362" s="190"/>
      <c r="X362" s="188"/>
      <c r="Y362" s="188"/>
      <c r="Z362" s="190"/>
      <c r="AA362" s="188"/>
      <c r="AB362" s="188"/>
      <c r="AC362" s="188"/>
      <c r="AD362" s="188"/>
      <c r="AE362" s="188"/>
    </row>
    <row r="363" ht="14.25" customHeight="1">
      <c r="A363" s="186" t="s">
        <v>1630</v>
      </c>
      <c r="B363" s="187" t="s">
        <v>1631</v>
      </c>
      <c r="C363" s="186" t="s">
        <v>1632</v>
      </c>
      <c r="D363" s="188"/>
      <c r="E363" s="188"/>
      <c r="F363" s="189" t="s">
        <v>1633</v>
      </c>
      <c r="G363" s="188"/>
      <c r="H363" s="188"/>
      <c r="I363" s="188"/>
      <c r="J363" s="188"/>
      <c r="K363" s="188"/>
      <c r="L363" s="188"/>
      <c r="M363" s="188"/>
      <c r="N363" s="188"/>
      <c r="O363" s="188"/>
      <c r="P363" s="188"/>
      <c r="Q363" s="188"/>
      <c r="R363" s="188"/>
      <c r="S363" s="188"/>
      <c r="T363" s="188"/>
      <c r="U363" s="190"/>
      <c r="V363" s="190"/>
      <c r="W363" s="190"/>
      <c r="X363" s="188"/>
      <c r="Y363" s="188"/>
      <c r="Z363" s="190"/>
      <c r="AA363" s="188"/>
      <c r="AB363" s="188"/>
      <c r="AC363" s="188"/>
      <c r="AD363" s="188"/>
      <c r="AE363" s="188"/>
    </row>
    <row r="364" ht="14.25" customHeight="1">
      <c r="A364" s="186" t="s">
        <v>1634</v>
      </c>
      <c r="B364" s="187" t="s">
        <v>1635</v>
      </c>
      <c r="C364" s="186" t="s">
        <v>1636</v>
      </c>
      <c r="D364" s="188"/>
      <c r="E364" s="188"/>
      <c r="F364" s="189" t="s">
        <v>1637</v>
      </c>
      <c r="G364" s="188"/>
      <c r="H364" s="188"/>
      <c r="I364" s="188"/>
      <c r="J364" s="188"/>
      <c r="K364" s="188"/>
      <c r="L364" s="188"/>
      <c r="M364" s="188"/>
      <c r="N364" s="188"/>
      <c r="O364" s="188"/>
      <c r="P364" s="188"/>
      <c r="Q364" s="188"/>
      <c r="R364" s="188"/>
      <c r="S364" s="188"/>
      <c r="T364" s="188"/>
      <c r="U364" s="190"/>
      <c r="V364" s="190"/>
      <c r="W364" s="190"/>
      <c r="X364" s="188"/>
      <c r="Y364" s="188"/>
      <c r="Z364" s="190"/>
      <c r="AA364" s="188"/>
      <c r="AB364" s="188"/>
      <c r="AC364" s="188"/>
      <c r="AD364" s="188"/>
      <c r="AE364" s="188"/>
    </row>
    <row r="365" ht="14.25" customHeight="1">
      <c r="A365" s="186" t="s">
        <v>1638</v>
      </c>
      <c r="B365" s="187" t="s">
        <v>1639</v>
      </c>
      <c r="C365" s="186" t="s">
        <v>1640</v>
      </c>
      <c r="D365" s="188"/>
      <c r="E365" s="188"/>
      <c r="F365" s="189" t="s">
        <v>1641</v>
      </c>
      <c r="G365" s="188"/>
      <c r="H365" s="188"/>
      <c r="I365" s="188"/>
      <c r="J365" s="188"/>
      <c r="K365" s="188"/>
      <c r="L365" s="188"/>
      <c r="M365" s="188"/>
      <c r="N365" s="188"/>
      <c r="O365" s="188"/>
      <c r="P365" s="188"/>
      <c r="Q365" s="188"/>
      <c r="R365" s="188"/>
      <c r="S365" s="188"/>
      <c r="T365" s="188"/>
      <c r="U365" s="190"/>
      <c r="V365" s="190"/>
      <c r="W365" s="190"/>
      <c r="X365" s="188"/>
      <c r="Y365" s="188"/>
      <c r="Z365" s="190"/>
      <c r="AA365" s="188"/>
      <c r="AB365" s="188"/>
      <c r="AC365" s="188"/>
      <c r="AD365" s="188"/>
      <c r="AE365" s="188"/>
    </row>
    <row r="366" ht="14.25" customHeight="1">
      <c r="A366" s="186" t="s">
        <v>1642</v>
      </c>
      <c r="B366" s="187" t="s">
        <v>1643</v>
      </c>
      <c r="C366" s="186" t="s">
        <v>1644</v>
      </c>
      <c r="D366" s="188"/>
      <c r="E366" s="188"/>
      <c r="F366" s="189" t="s">
        <v>1645</v>
      </c>
      <c r="G366" s="188"/>
      <c r="H366" s="188"/>
      <c r="I366" s="188"/>
      <c r="J366" s="188"/>
      <c r="K366" s="188"/>
      <c r="L366" s="188"/>
      <c r="M366" s="188"/>
      <c r="N366" s="188"/>
      <c r="O366" s="188"/>
      <c r="P366" s="188"/>
      <c r="Q366" s="188"/>
      <c r="R366" s="188"/>
      <c r="S366" s="188"/>
      <c r="T366" s="188"/>
      <c r="U366" s="190"/>
      <c r="V366" s="190"/>
      <c r="W366" s="190"/>
      <c r="X366" s="188"/>
      <c r="Y366" s="188"/>
      <c r="Z366" s="190"/>
      <c r="AA366" s="188"/>
      <c r="AB366" s="188"/>
      <c r="AC366" s="188"/>
      <c r="AD366" s="188"/>
      <c r="AE366" s="188"/>
    </row>
    <row r="367" ht="14.25" customHeight="1">
      <c r="A367" s="186" t="s">
        <v>1646</v>
      </c>
      <c r="B367" s="187" t="s">
        <v>1647</v>
      </c>
      <c r="C367" s="186" t="s">
        <v>1648</v>
      </c>
      <c r="D367" s="188"/>
      <c r="E367" s="188"/>
      <c r="F367" s="189" t="s">
        <v>1649</v>
      </c>
      <c r="G367" s="188"/>
      <c r="H367" s="188"/>
      <c r="I367" s="188"/>
      <c r="J367" s="188"/>
      <c r="K367" s="188"/>
      <c r="L367" s="188"/>
      <c r="M367" s="188"/>
      <c r="N367" s="188"/>
      <c r="O367" s="188"/>
      <c r="P367" s="188"/>
      <c r="Q367" s="188"/>
      <c r="R367" s="188"/>
      <c r="S367" s="188"/>
      <c r="T367" s="188"/>
      <c r="U367" s="190"/>
      <c r="V367" s="190"/>
      <c r="W367" s="190"/>
      <c r="X367" s="188"/>
      <c r="Y367" s="188"/>
      <c r="Z367" s="190"/>
      <c r="AA367" s="188"/>
      <c r="AB367" s="188"/>
      <c r="AC367" s="188"/>
      <c r="AD367" s="188"/>
      <c r="AE367" s="188"/>
    </row>
    <row r="368" ht="14.25" customHeight="1">
      <c r="A368" s="186" t="s">
        <v>1650</v>
      </c>
      <c r="B368" s="187" t="s">
        <v>1651</v>
      </c>
      <c r="C368" s="186" t="s">
        <v>1652</v>
      </c>
      <c r="D368" s="188"/>
      <c r="E368" s="188"/>
      <c r="F368" s="189" t="s">
        <v>1653</v>
      </c>
      <c r="G368" s="188"/>
      <c r="H368" s="188"/>
      <c r="I368" s="188"/>
      <c r="J368" s="188"/>
      <c r="K368" s="188"/>
      <c r="L368" s="188"/>
      <c r="M368" s="188"/>
      <c r="N368" s="188"/>
      <c r="O368" s="188"/>
      <c r="P368" s="188"/>
      <c r="Q368" s="188"/>
      <c r="R368" s="188"/>
      <c r="S368" s="188"/>
      <c r="T368" s="188"/>
      <c r="U368" s="190"/>
      <c r="V368" s="190"/>
      <c r="W368" s="190"/>
      <c r="X368" s="188"/>
      <c r="Y368" s="188"/>
      <c r="Z368" s="190"/>
      <c r="AA368" s="188"/>
      <c r="AB368" s="188"/>
      <c r="AC368" s="188"/>
      <c r="AD368" s="188"/>
      <c r="AE368" s="188"/>
    </row>
    <row r="369" ht="14.25" customHeight="1">
      <c r="A369" s="186" t="s">
        <v>1654</v>
      </c>
      <c r="B369" s="187" t="s">
        <v>1655</v>
      </c>
      <c r="C369" s="186" t="s">
        <v>1656</v>
      </c>
      <c r="D369" s="188"/>
      <c r="E369" s="188"/>
      <c r="F369" s="189" t="s">
        <v>1657</v>
      </c>
      <c r="G369" s="188"/>
      <c r="H369" s="188"/>
      <c r="I369" s="188"/>
      <c r="J369" s="188"/>
      <c r="K369" s="188"/>
      <c r="L369" s="188"/>
      <c r="M369" s="188"/>
      <c r="N369" s="188"/>
      <c r="O369" s="188"/>
      <c r="P369" s="188"/>
      <c r="Q369" s="188"/>
      <c r="R369" s="188"/>
      <c r="S369" s="188"/>
      <c r="T369" s="188"/>
      <c r="U369" s="190"/>
      <c r="V369" s="190"/>
      <c r="W369" s="190"/>
      <c r="X369" s="188"/>
      <c r="Y369" s="188"/>
      <c r="Z369" s="190"/>
      <c r="AA369" s="188"/>
      <c r="AB369" s="188"/>
      <c r="AC369" s="188"/>
      <c r="AD369" s="188"/>
      <c r="AE369" s="188"/>
    </row>
    <row r="370" ht="14.25" customHeight="1">
      <c r="A370" s="186" t="s">
        <v>1658</v>
      </c>
      <c r="B370" s="187" t="s">
        <v>1659</v>
      </c>
      <c r="C370" s="186" t="s">
        <v>1660</v>
      </c>
      <c r="D370" s="188"/>
      <c r="E370" s="188"/>
      <c r="F370" s="189" t="s">
        <v>1661</v>
      </c>
      <c r="G370" s="188"/>
      <c r="H370" s="188"/>
      <c r="I370" s="188"/>
      <c r="J370" s="188"/>
      <c r="K370" s="188"/>
      <c r="L370" s="188"/>
      <c r="M370" s="188"/>
      <c r="N370" s="188"/>
      <c r="O370" s="188"/>
      <c r="P370" s="188"/>
      <c r="Q370" s="188"/>
      <c r="R370" s="188"/>
      <c r="S370" s="188"/>
      <c r="T370" s="188"/>
      <c r="U370" s="190"/>
      <c r="V370" s="190"/>
      <c r="W370" s="190"/>
      <c r="X370" s="188"/>
      <c r="Y370" s="188"/>
      <c r="Z370" s="190"/>
      <c r="AA370" s="188"/>
      <c r="AB370" s="188"/>
      <c r="AC370" s="188"/>
      <c r="AD370" s="188"/>
      <c r="AE370" s="188"/>
    </row>
    <row r="371" ht="14.25" customHeight="1">
      <c r="A371" s="186" t="s">
        <v>1662</v>
      </c>
      <c r="B371" s="187" t="s">
        <v>1663</v>
      </c>
      <c r="C371" s="186" t="s">
        <v>1664</v>
      </c>
      <c r="D371" s="188"/>
      <c r="E371" s="188"/>
      <c r="F371" s="189" t="s">
        <v>1665</v>
      </c>
      <c r="G371" s="188"/>
      <c r="H371" s="188"/>
      <c r="I371" s="188"/>
      <c r="J371" s="188"/>
      <c r="K371" s="188"/>
      <c r="L371" s="188"/>
      <c r="M371" s="188"/>
      <c r="N371" s="188"/>
      <c r="O371" s="188"/>
      <c r="P371" s="188"/>
      <c r="Q371" s="188"/>
      <c r="R371" s="188"/>
      <c r="S371" s="188"/>
      <c r="T371" s="188"/>
      <c r="U371" s="190"/>
      <c r="V371" s="190"/>
      <c r="W371" s="190"/>
      <c r="X371" s="188"/>
      <c r="Y371" s="188"/>
      <c r="Z371" s="190"/>
      <c r="AA371" s="188"/>
      <c r="AB371" s="188"/>
      <c r="AC371" s="188"/>
      <c r="AD371" s="188"/>
      <c r="AE371" s="188"/>
    </row>
    <row r="372" ht="14.25" customHeight="1">
      <c r="A372" s="186" t="s">
        <v>1666</v>
      </c>
      <c r="B372" s="187" t="s">
        <v>1667</v>
      </c>
      <c r="C372" s="186" t="s">
        <v>1668</v>
      </c>
      <c r="D372" s="188"/>
      <c r="E372" s="188"/>
      <c r="F372" s="189" t="s">
        <v>1669</v>
      </c>
      <c r="G372" s="188"/>
      <c r="H372" s="188"/>
      <c r="I372" s="188"/>
      <c r="J372" s="188"/>
      <c r="K372" s="188"/>
      <c r="L372" s="188"/>
      <c r="M372" s="188"/>
      <c r="N372" s="188"/>
      <c r="O372" s="188"/>
      <c r="P372" s="188"/>
      <c r="Q372" s="188"/>
      <c r="R372" s="188"/>
      <c r="S372" s="188"/>
      <c r="T372" s="188"/>
      <c r="U372" s="190"/>
      <c r="V372" s="190"/>
      <c r="W372" s="190"/>
      <c r="X372" s="188"/>
      <c r="Y372" s="188"/>
      <c r="Z372" s="190"/>
      <c r="AA372" s="188"/>
      <c r="AB372" s="188"/>
      <c r="AC372" s="188"/>
      <c r="AD372" s="188"/>
      <c r="AE372" s="188"/>
    </row>
    <row r="373" ht="14.25" customHeight="1">
      <c r="A373" s="186" t="s">
        <v>1670</v>
      </c>
      <c r="B373" s="187" t="s">
        <v>1671</v>
      </c>
      <c r="C373" s="186" t="s">
        <v>1672</v>
      </c>
      <c r="D373" s="188"/>
      <c r="E373" s="188"/>
      <c r="F373" s="189" t="s">
        <v>1673</v>
      </c>
      <c r="G373" s="188"/>
      <c r="H373" s="188"/>
      <c r="I373" s="188"/>
      <c r="J373" s="188"/>
      <c r="K373" s="188"/>
      <c r="L373" s="188"/>
      <c r="M373" s="188"/>
      <c r="N373" s="188"/>
      <c r="O373" s="188"/>
      <c r="P373" s="188"/>
      <c r="Q373" s="188"/>
      <c r="R373" s="188"/>
      <c r="S373" s="188"/>
      <c r="T373" s="188"/>
      <c r="U373" s="190"/>
      <c r="V373" s="190"/>
      <c r="W373" s="190"/>
      <c r="X373" s="188"/>
      <c r="Y373" s="188"/>
      <c r="Z373" s="190"/>
      <c r="AA373" s="188"/>
      <c r="AB373" s="188"/>
      <c r="AC373" s="188"/>
      <c r="AD373" s="188"/>
      <c r="AE373" s="188"/>
    </row>
    <row r="374" ht="14.25" customHeight="1">
      <c r="A374" s="186" t="s">
        <v>1674</v>
      </c>
      <c r="B374" s="187" t="s">
        <v>1675</v>
      </c>
      <c r="C374" s="186" t="s">
        <v>1676</v>
      </c>
      <c r="D374" s="188"/>
      <c r="E374" s="188"/>
      <c r="F374" s="189" t="s">
        <v>232</v>
      </c>
      <c r="G374" s="188"/>
      <c r="H374" s="188"/>
      <c r="I374" s="188"/>
      <c r="J374" s="188"/>
      <c r="K374" s="188"/>
      <c r="L374" s="188"/>
      <c r="M374" s="188"/>
      <c r="N374" s="188"/>
      <c r="O374" s="188"/>
      <c r="P374" s="188"/>
      <c r="Q374" s="188"/>
      <c r="R374" s="188"/>
      <c r="S374" s="188"/>
      <c r="T374" s="188"/>
      <c r="U374" s="190"/>
      <c r="V374" s="190"/>
      <c r="W374" s="190"/>
      <c r="X374" s="188"/>
      <c r="Y374" s="188"/>
      <c r="Z374" s="190"/>
      <c r="AA374" s="188"/>
      <c r="AB374" s="188"/>
      <c r="AC374" s="188"/>
      <c r="AD374" s="188"/>
      <c r="AE374" s="188"/>
    </row>
    <row r="375" ht="14.25" customHeight="1">
      <c r="A375" s="186" t="s">
        <v>1677</v>
      </c>
      <c r="B375" s="187" t="s">
        <v>1678</v>
      </c>
      <c r="C375" s="186" t="s">
        <v>1679</v>
      </c>
      <c r="D375" s="188"/>
      <c r="E375" s="188"/>
      <c r="F375" s="189" t="s">
        <v>232</v>
      </c>
      <c r="G375" s="188"/>
      <c r="H375" s="188"/>
      <c r="I375" s="188"/>
      <c r="J375" s="188"/>
      <c r="K375" s="188"/>
      <c r="L375" s="188"/>
      <c r="M375" s="188"/>
      <c r="N375" s="188"/>
      <c r="O375" s="188"/>
      <c r="P375" s="188"/>
      <c r="Q375" s="188"/>
      <c r="R375" s="188"/>
      <c r="S375" s="188"/>
      <c r="T375" s="188"/>
      <c r="U375" s="190"/>
      <c r="V375" s="190"/>
      <c r="W375" s="190"/>
      <c r="X375" s="188"/>
      <c r="Y375" s="188"/>
      <c r="Z375" s="190"/>
      <c r="AA375" s="188"/>
      <c r="AB375" s="188"/>
      <c r="AC375" s="188"/>
      <c r="AD375" s="188"/>
      <c r="AE375" s="188"/>
    </row>
    <row r="376" ht="14.25" customHeight="1">
      <c r="A376" s="186" t="s">
        <v>1680</v>
      </c>
      <c r="B376" s="187" t="s">
        <v>1681</v>
      </c>
      <c r="C376" s="186" t="s">
        <v>1682</v>
      </c>
      <c r="D376" s="188"/>
      <c r="E376" s="188"/>
      <c r="F376" s="189" t="s">
        <v>1683</v>
      </c>
      <c r="G376" s="188"/>
      <c r="H376" s="188"/>
      <c r="I376" s="188"/>
      <c r="J376" s="188"/>
      <c r="K376" s="188"/>
      <c r="L376" s="188"/>
      <c r="M376" s="188"/>
      <c r="N376" s="188"/>
      <c r="O376" s="188"/>
      <c r="P376" s="188"/>
      <c r="Q376" s="188"/>
      <c r="R376" s="188"/>
      <c r="S376" s="188"/>
      <c r="T376" s="188"/>
      <c r="U376" s="190"/>
      <c r="V376" s="190"/>
      <c r="W376" s="190"/>
      <c r="X376" s="188"/>
      <c r="Y376" s="188"/>
      <c r="Z376" s="190"/>
      <c r="AA376" s="188"/>
      <c r="AB376" s="188"/>
      <c r="AC376" s="188"/>
      <c r="AD376" s="188"/>
      <c r="AE376" s="188"/>
    </row>
    <row r="377" ht="14.25" customHeight="1">
      <c r="A377" s="186" t="s">
        <v>1684</v>
      </c>
      <c r="B377" s="187" t="s">
        <v>1685</v>
      </c>
      <c r="C377" s="186" t="s">
        <v>1686</v>
      </c>
      <c r="D377" s="188"/>
      <c r="E377" s="188"/>
      <c r="F377" s="189" t="s">
        <v>1687</v>
      </c>
      <c r="G377" s="188"/>
      <c r="H377" s="188"/>
      <c r="I377" s="188"/>
      <c r="J377" s="188"/>
      <c r="K377" s="188"/>
      <c r="L377" s="188"/>
      <c r="M377" s="188"/>
      <c r="N377" s="188"/>
      <c r="O377" s="188"/>
      <c r="P377" s="188"/>
      <c r="Q377" s="188"/>
      <c r="R377" s="188"/>
      <c r="S377" s="188"/>
      <c r="T377" s="188"/>
      <c r="U377" s="190"/>
      <c r="V377" s="190"/>
      <c r="W377" s="190"/>
      <c r="X377" s="188"/>
      <c r="Y377" s="188"/>
      <c r="Z377" s="190"/>
      <c r="AA377" s="188"/>
      <c r="AB377" s="188"/>
      <c r="AC377" s="188"/>
      <c r="AD377" s="188"/>
      <c r="AE377" s="188"/>
    </row>
    <row r="378" ht="14.25" customHeight="1">
      <c r="A378" s="186" t="s">
        <v>1688</v>
      </c>
      <c r="B378" s="187" t="s">
        <v>1689</v>
      </c>
      <c r="C378" s="186" t="s">
        <v>1690</v>
      </c>
      <c r="D378" s="188"/>
      <c r="E378" s="188"/>
      <c r="F378" s="189" t="s">
        <v>1691</v>
      </c>
      <c r="G378" s="188"/>
      <c r="H378" s="188"/>
      <c r="I378" s="188"/>
      <c r="J378" s="188"/>
      <c r="K378" s="188"/>
      <c r="L378" s="188"/>
      <c r="M378" s="188"/>
      <c r="N378" s="188"/>
      <c r="O378" s="188"/>
      <c r="P378" s="188"/>
      <c r="Q378" s="188"/>
      <c r="R378" s="188"/>
      <c r="S378" s="188"/>
      <c r="T378" s="188"/>
      <c r="U378" s="190"/>
      <c r="V378" s="190"/>
      <c r="W378" s="190"/>
      <c r="X378" s="188"/>
      <c r="Y378" s="188"/>
      <c r="Z378" s="190"/>
      <c r="AA378" s="188"/>
      <c r="AB378" s="188"/>
      <c r="AC378" s="188"/>
      <c r="AD378" s="188"/>
      <c r="AE378" s="188"/>
    </row>
    <row r="379" ht="14.25" customHeight="1">
      <c r="A379" s="186" t="s">
        <v>1692</v>
      </c>
      <c r="B379" s="187" t="s">
        <v>1693</v>
      </c>
      <c r="C379" s="186" t="s">
        <v>1694</v>
      </c>
      <c r="D379" s="188"/>
      <c r="E379" s="188"/>
      <c r="F379" s="189" t="s">
        <v>1695</v>
      </c>
      <c r="G379" s="188"/>
      <c r="H379" s="188"/>
      <c r="I379" s="188"/>
      <c r="J379" s="188"/>
      <c r="K379" s="188"/>
      <c r="L379" s="188"/>
      <c r="M379" s="188"/>
      <c r="N379" s="188"/>
      <c r="O379" s="188"/>
      <c r="P379" s="188"/>
      <c r="Q379" s="188"/>
      <c r="R379" s="188"/>
      <c r="S379" s="188"/>
      <c r="T379" s="188"/>
      <c r="U379" s="190"/>
      <c r="V379" s="190"/>
      <c r="W379" s="190"/>
      <c r="X379" s="188"/>
      <c r="Y379" s="188"/>
      <c r="Z379" s="190"/>
      <c r="AA379" s="188"/>
      <c r="AB379" s="188"/>
      <c r="AC379" s="188"/>
      <c r="AD379" s="188"/>
      <c r="AE379" s="188"/>
    </row>
    <row r="380" ht="14.25" customHeight="1">
      <c r="A380" s="186" t="s">
        <v>1696</v>
      </c>
      <c r="B380" s="187" t="s">
        <v>1697</v>
      </c>
      <c r="C380" s="186" t="s">
        <v>1698</v>
      </c>
      <c r="D380" s="188"/>
      <c r="E380" s="188"/>
      <c r="F380" s="189" t="s">
        <v>1699</v>
      </c>
      <c r="G380" s="188"/>
      <c r="H380" s="188"/>
      <c r="I380" s="188"/>
      <c r="J380" s="188"/>
      <c r="K380" s="188"/>
      <c r="L380" s="188"/>
      <c r="M380" s="188"/>
      <c r="N380" s="188"/>
      <c r="O380" s="188"/>
      <c r="P380" s="188"/>
      <c r="Q380" s="188"/>
      <c r="R380" s="188"/>
      <c r="S380" s="188"/>
      <c r="T380" s="188"/>
      <c r="U380" s="190"/>
      <c r="V380" s="190"/>
      <c r="W380" s="190"/>
      <c r="X380" s="188"/>
      <c r="Y380" s="188"/>
      <c r="Z380" s="190"/>
      <c r="AA380" s="188"/>
      <c r="AB380" s="188"/>
      <c r="AC380" s="188"/>
      <c r="AD380" s="188"/>
      <c r="AE380" s="188"/>
    </row>
    <row r="381" ht="14.25" customHeight="1">
      <c r="A381" s="186" t="s">
        <v>1700</v>
      </c>
      <c r="B381" s="187" t="s">
        <v>1701</v>
      </c>
      <c r="C381" s="186" t="s">
        <v>1702</v>
      </c>
      <c r="D381" s="188"/>
      <c r="E381" s="188"/>
      <c r="F381" s="189" t="s">
        <v>1703</v>
      </c>
      <c r="G381" s="188"/>
      <c r="H381" s="188"/>
      <c r="I381" s="188"/>
      <c r="J381" s="188"/>
      <c r="K381" s="188"/>
      <c r="L381" s="188"/>
      <c r="M381" s="188"/>
      <c r="N381" s="188"/>
      <c r="O381" s="188"/>
      <c r="P381" s="188"/>
      <c r="Q381" s="188"/>
      <c r="R381" s="188"/>
      <c r="S381" s="188"/>
      <c r="T381" s="188"/>
      <c r="U381" s="190"/>
      <c r="V381" s="190"/>
      <c r="W381" s="190"/>
      <c r="X381" s="188"/>
      <c r="Y381" s="188"/>
      <c r="Z381" s="190"/>
      <c r="AA381" s="188"/>
      <c r="AB381" s="188"/>
      <c r="AC381" s="188"/>
      <c r="AD381" s="188"/>
      <c r="AE381" s="188"/>
    </row>
    <row r="382" ht="14.25" customHeight="1">
      <c r="A382" s="186" t="s">
        <v>1704</v>
      </c>
      <c r="B382" s="187" t="s">
        <v>1705</v>
      </c>
      <c r="C382" s="186" t="s">
        <v>1706</v>
      </c>
      <c r="D382" s="188"/>
      <c r="E382" s="188"/>
      <c r="F382" s="189" t="s">
        <v>1707</v>
      </c>
      <c r="G382" s="188"/>
      <c r="H382" s="188"/>
      <c r="I382" s="188"/>
      <c r="J382" s="188"/>
      <c r="K382" s="188"/>
      <c r="L382" s="188"/>
      <c r="M382" s="188"/>
      <c r="N382" s="188"/>
      <c r="O382" s="188"/>
      <c r="P382" s="188"/>
      <c r="Q382" s="188"/>
      <c r="R382" s="188"/>
      <c r="S382" s="188"/>
      <c r="T382" s="188"/>
      <c r="U382" s="190"/>
      <c r="V382" s="190"/>
      <c r="W382" s="190"/>
      <c r="X382" s="188"/>
      <c r="Y382" s="188"/>
      <c r="Z382" s="190"/>
      <c r="AA382" s="188"/>
      <c r="AB382" s="188"/>
      <c r="AC382" s="188"/>
      <c r="AD382" s="188"/>
      <c r="AE382" s="188"/>
    </row>
    <row r="383" ht="14.25" customHeight="1">
      <c r="A383" s="186" t="s">
        <v>1708</v>
      </c>
      <c r="B383" s="187" t="s">
        <v>1709</v>
      </c>
      <c r="C383" s="186" t="s">
        <v>1710</v>
      </c>
      <c r="D383" s="188"/>
      <c r="E383" s="188"/>
      <c r="F383" s="189" t="s">
        <v>1711</v>
      </c>
      <c r="G383" s="188"/>
      <c r="H383" s="188"/>
      <c r="I383" s="188"/>
      <c r="J383" s="188"/>
      <c r="K383" s="188"/>
      <c r="L383" s="188"/>
      <c r="M383" s="188"/>
      <c r="N383" s="188"/>
      <c r="O383" s="188"/>
      <c r="P383" s="188"/>
      <c r="Q383" s="188"/>
      <c r="R383" s="188"/>
      <c r="S383" s="188"/>
      <c r="T383" s="188"/>
      <c r="U383" s="190"/>
      <c r="V383" s="190"/>
      <c r="W383" s="190"/>
      <c r="X383" s="188"/>
      <c r="Y383" s="188"/>
      <c r="Z383" s="190"/>
      <c r="AA383" s="188"/>
      <c r="AB383" s="188"/>
      <c r="AC383" s="188"/>
      <c r="AD383" s="188"/>
      <c r="AE383" s="188"/>
    </row>
    <row r="384" ht="14.25" customHeight="1">
      <c r="A384" s="186" t="s">
        <v>1712</v>
      </c>
      <c r="B384" s="187" t="s">
        <v>1713</v>
      </c>
      <c r="C384" s="186" t="s">
        <v>1714</v>
      </c>
      <c r="D384" s="188"/>
      <c r="E384" s="188"/>
      <c r="F384" s="189" t="s">
        <v>1715</v>
      </c>
      <c r="G384" s="188"/>
      <c r="H384" s="188"/>
      <c r="I384" s="188"/>
      <c r="J384" s="188"/>
      <c r="K384" s="188"/>
      <c r="L384" s="188"/>
      <c r="M384" s="188"/>
      <c r="N384" s="188"/>
      <c r="O384" s="188"/>
      <c r="P384" s="188"/>
      <c r="Q384" s="188"/>
      <c r="R384" s="188"/>
      <c r="S384" s="188"/>
      <c r="T384" s="188"/>
      <c r="U384" s="190"/>
      <c r="V384" s="190"/>
      <c r="W384" s="190"/>
      <c r="X384" s="188"/>
      <c r="Y384" s="188"/>
      <c r="Z384" s="190"/>
      <c r="AA384" s="188"/>
      <c r="AB384" s="188"/>
      <c r="AC384" s="188"/>
      <c r="AD384" s="188"/>
      <c r="AE384" s="188"/>
    </row>
    <row r="385" ht="14.25" customHeight="1">
      <c r="A385" s="186" t="s">
        <v>1716</v>
      </c>
      <c r="B385" s="187" t="s">
        <v>1717</v>
      </c>
      <c r="C385" s="186" t="s">
        <v>1718</v>
      </c>
      <c r="D385" s="188"/>
      <c r="E385" s="188"/>
      <c r="F385" s="189" t="s">
        <v>1719</v>
      </c>
      <c r="G385" s="188"/>
      <c r="H385" s="188"/>
      <c r="I385" s="188"/>
      <c r="J385" s="188"/>
      <c r="K385" s="188"/>
      <c r="L385" s="188"/>
      <c r="M385" s="188"/>
      <c r="N385" s="188"/>
      <c r="O385" s="188"/>
      <c r="P385" s="188"/>
      <c r="Q385" s="188"/>
      <c r="R385" s="188"/>
      <c r="S385" s="188"/>
      <c r="T385" s="188"/>
      <c r="U385" s="190"/>
      <c r="V385" s="190"/>
      <c r="W385" s="190"/>
      <c r="X385" s="188"/>
      <c r="Y385" s="188"/>
      <c r="Z385" s="190"/>
      <c r="AA385" s="188"/>
      <c r="AB385" s="188"/>
      <c r="AC385" s="188"/>
      <c r="AD385" s="188"/>
      <c r="AE385" s="188"/>
    </row>
    <row r="386" ht="14.25" customHeight="1">
      <c r="A386" s="186" t="s">
        <v>1720</v>
      </c>
      <c r="B386" s="187" t="s">
        <v>1721</v>
      </c>
      <c r="C386" s="186" t="s">
        <v>1722</v>
      </c>
      <c r="D386" s="188"/>
      <c r="E386" s="188"/>
      <c r="F386" s="189" t="s">
        <v>1723</v>
      </c>
      <c r="G386" s="188"/>
      <c r="H386" s="188"/>
      <c r="I386" s="188"/>
      <c r="J386" s="188"/>
      <c r="K386" s="188"/>
      <c r="L386" s="188"/>
      <c r="M386" s="188"/>
      <c r="N386" s="188"/>
      <c r="O386" s="188"/>
      <c r="P386" s="188"/>
      <c r="Q386" s="188"/>
      <c r="R386" s="188"/>
      <c r="S386" s="188"/>
      <c r="T386" s="188"/>
      <c r="U386" s="190"/>
      <c r="V386" s="190"/>
      <c r="W386" s="190"/>
      <c r="X386" s="188"/>
      <c r="Y386" s="188"/>
      <c r="Z386" s="190"/>
      <c r="AA386" s="188"/>
      <c r="AB386" s="188"/>
      <c r="AC386" s="188"/>
      <c r="AD386" s="188"/>
      <c r="AE386" s="188"/>
    </row>
    <row r="387" ht="14.25" customHeight="1">
      <c r="A387" s="186" t="s">
        <v>1724</v>
      </c>
      <c r="B387" s="187" t="s">
        <v>1725</v>
      </c>
      <c r="C387" s="186" t="s">
        <v>1726</v>
      </c>
      <c r="D387" s="188"/>
      <c r="E387" s="188"/>
      <c r="F387" s="189" t="s">
        <v>1727</v>
      </c>
      <c r="G387" s="188"/>
      <c r="H387" s="188"/>
      <c r="I387" s="188"/>
      <c r="J387" s="188"/>
      <c r="K387" s="188"/>
      <c r="L387" s="188"/>
      <c r="M387" s="188"/>
      <c r="N387" s="188"/>
      <c r="O387" s="188"/>
      <c r="P387" s="188"/>
      <c r="Q387" s="188"/>
      <c r="R387" s="188"/>
      <c r="S387" s="188"/>
      <c r="T387" s="188"/>
      <c r="U387" s="190"/>
      <c r="V387" s="190"/>
      <c r="W387" s="190"/>
      <c r="X387" s="188"/>
      <c r="Y387" s="188"/>
      <c r="Z387" s="190"/>
      <c r="AA387" s="188"/>
      <c r="AB387" s="188"/>
      <c r="AC387" s="188"/>
      <c r="AD387" s="188"/>
      <c r="AE387" s="188"/>
    </row>
    <row r="388" ht="14.25" customHeight="1">
      <c r="A388" s="186" t="s">
        <v>1728</v>
      </c>
      <c r="B388" s="187" t="s">
        <v>1729</v>
      </c>
      <c r="C388" s="186" t="s">
        <v>1730</v>
      </c>
      <c r="D388" s="188"/>
      <c r="E388" s="188"/>
      <c r="F388" s="189" t="s">
        <v>1731</v>
      </c>
      <c r="G388" s="188"/>
      <c r="H388" s="188"/>
      <c r="I388" s="188"/>
      <c r="J388" s="188"/>
      <c r="K388" s="188"/>
      <c r="L388" s="188"/>
      <c r="M388" s="188"/>
      <c r="N388" s="188"/>
      <c r="O388" s="188"/>
      <c r="P388" s="188"/>
      <c r="Q388" s="188"/>
      <c r="R388" s="188"/>
      <c r="S388" s="188"/>
      <c r="T388" s="188"/>
      <c r="U388" s="190"/>
      <c r="V388" s="190"/>
      <c r="W388" s="190"/>
      <c r="X388" s="188"/>
      <c r="Y388" s="188"/>
      <c r="Z388" s="190"/>
      <c r="AA388" s="188"/>
      <c r="AB388" s="188"/>
      <c r="AC388" s="188"/>
      <c r="AD388" s="188"/>
      <c r="AE388" s="188"/>
    </row>
    <row r="389" ht="14.25" customHeight="1">
      <c r="A389" s="186" t="s">
        <v>1732</v>
      </c>
      <c r="B389" s="187" t="s">
        <v>1733</v>
      </c>
      <c r="C389" s="186" t="s">
        <v>1734</v>
      </c>
      <c r="D389" s="188"/>
      <c r="E389" s="188"/>
      <c r="F389" s="189" t="s">
        <v>232</v>
      </c>
      <c r="G389" s="188"/>
      <c r="H389" s="188"/>
      <c r="I389" s="188"/>
      <c r="J389" s="188"/>
      <c r="K389" s="188"/>
      <c r="L389" s="188"/>
      <c r="M389" s="188"/>
      <c r="N389" s="188"/>
      <c r="O389" s="188"/>
      <c r="P389" s="188"/>
      <c r="Q389" s="188"/>
      <c r="R389" s="188"/>
      <c r="S389" s="188"/>
      <c r="T389" s="188"/>
      <c r="U389" s="190"/>
      <c r="V389" s="190"/>
      <c r="W389" s="190"/>
      <c r="X389" s="188"/>
      <c r="Y389" s="188"/>
      <c r="Z389" s="190"/>
      <c r="AA389" s="188"/>
      <c r="AB389" s="188"/>
      <c r="AC389" s="188"/>
      <c r="AD389" s="188"/>
      <c r="AE389" s="188"/>
    </row>
    <row r="390" ht="14.25" customHeight="1">
      <c r="A390" s="186" t="s">
        <v>1735</v>
      </c>
      <c r="B390" s="187" t="s">
        <v>1736</v>
      </c>
      <c r="C390" s="186" t="s">
        <v>1737</v>
      </c>
      <c r="D390" s="188"/>
      <c r="E390" s="188"/>
      <c r="F390" s="189" t="s">
        <v>232</v>
      </c>
      <c r="G390" s="188"/>
      <c r="H390" s="188"/>
      <c r="I390" s="188"/>
      <c r="J390" s="188"/>
      <c r="K390" s="188"/>
      <c r="L390" s="188"/>
      <c r="M390" s="188"/>
      <c r="N390" s="188"/>
      <c r="O390" s="188"/>
      <c r="P390" s="188"/>
      <c r="Q390" s="188"/>
      <c r="R390" s="188"/>
      <c r="S390" s="188"/>
      <c r="T390" s="188"/>
      <c r="U390" s="190"/>
      <c r="V390" s="190"/>
      <c r="W390" s="190"/>
      <c r="X390" s="188"/>
      <c r="Y390" s="188"/>
      <c r="Z390" s="190"/>
      <c r="AA390" s="188"/>
      <c r="AB390" s="188"/>
      <c r="AC390" s="188"/>
      <c r="AD390" s="188"/>
      <c r="AE390" s="188"/>
    </row>
    <row r="391" ht="14.25" customHeight="1">
      <c r="A391" s="186" t="s">
        <v>1738</v>
      </c>
      <c r="B391" s="187" t="s">
        <v>1739</v>
      </c>
      <c r="C391" s="186" t="s">
        <v>1740</v>
      </c>
      <c r="D391" s="188"/>
      <c r="E391" s="188"/>
      <c r="F391" s="189" t="s">
        <v>232</v>
      </c>
      <c r="G391" s="188"/>
      <c r="H391" s="188"/>
      <c r="I391" s="188"/>
      <c r="J391" s="188"/>
      <c r="K391" s="188"/>
      <c r="L391" s="188"/>
      <c r="M391" s="188"/>
      <c r="N391" s="188"/>
      <c r="O391" s="188"/>
      <c r="P391" s="188"/>
      <c r="Q391" s="188"/>
      <c r="R391" s="188"/>
      <c r="S391" s="188"/>
      <c r="T391" s="188"/>
      <c r="U391" s="190"/>
      <c r="V391" s="190"/>
      <c r="W391" s="190"/>
      <c r="X391" s="188"/>
      <c r="Y391" s="188"/>
      <c r="Z391" s="190"/>
      <c r="AA391" s="188"/>
      <c r="AB391" s="188"/>
      <c r="AC391" s="188"/>
      <c r="AD391" s="188"/>
      <c r="AE391" s="188"/>
    </row>
    <row r="392" ht="14.25" customHeight="1">
      <c r="A392" s="186" t="s">
        <v>1741</v>
      </c>
      <c r="B392" s="187" t="s">
        <v>1742</v>
      </c>
      <c r="C392" s="186" t="s">
        <v>1743</v>
      </c>
      <c r="D392" s="188"/>
      <c r="E392" s="188"/>
      <c r="F392" s="189" t="s">
        <v>232</v>
      </c>
      <c r="G392" s="188"/>
      <c r="H392" s="188"/>
      <c r="I392" s="188"/>
      <c r="J392" s="188"/>
      <c r="K392" s="188"/>
      <c r="L392" s="188"/>
      <c r="M392" s="188"/>
      <c r="N392" s="188"/>
      <c r="O392" s="188"/>
      <c r="P392" s="188"/>
      <c r="Q392" s="188"/>
      <c r="R392" s="188"/>
      <c r="S392" s="188"/>
      <c r="T392" s="188"/>
      <c r="U392" s="190"/>
      <c r="V392" s="190"/>
      <c r="W392" s="190"/>
      <c r="X392" s="188"/>
      <c r="Y392" s="188"/>
      <c r="Z392" s="190"/>
      <c r="AA392" s="188"/>
      <c r="AB392" s="188"/>
      <c r="AC392" s="188"/>
      <c r="AD392" s="188"/>
      <c r="AE392" s="188"/>
    </row>
    <row r="393" ht="14.25" customHeight="1">
      <c r="A393" s="186" t="s">
        <v>1744</v>
      </c>
      <c r="B393" s="187" t="s">
        <v>1745</v>
      </c>
      <c r="C393" s="186" t="s">
        <v>1746</v>
      </c>
      <c r="D393" s="188"/>
      <c r="E393" s="188"/>
      <c r="F393" s="189" t="s">
        <v>1747</v>
      </c>
      <c r="G393" s="188"/>
      <c r="H393" s="188"/>
      <c r="I393" s="188"/>
      <c r="J393" s="188"/>
      <c r="K393" s="188"/>
      <c r="L393" s="188"/>
      <c r="M393" s="188"/>
      <c r="N393" s="188"/>
      <c r="O393" s="188"/>
      <c r="P393" s="188"/>
      <c r="Q393" s="188"/>
      <c r="R393" s="188"/>
      <c r="S393" s="188"/>
      <c r="T393" s="188"/>
      <c r="U393" s="190"/>
      <c r="V393" s="190"/>
      <c r="W393" s="190"/>
      <c r="X393" s="188"/>
      <c r="Y393" s="188"/>
      <c r="Z393" s="190"/>
      <c r="AA393" s="188"/>
      <c r="AB393" s="188"/>
      <c r="AC393" s="188"/>
      <c r="AD393" s="188"/>
      <c r="AE393" s="188"/>
    </row>
    <row r="394" ht="14.25" customHeight="1">
      <c r="A394" s="186" t="s">
        <v>1748</v>
      </c>
      <c r="B394" s="187" t="s">
        <v>1749</v>
      </c>
      <c r="C394" s="186" t="s">
        <v>1750</v>
      </c>
      <c r="D394" s="188"/>
      <c r="E394" s="188"/>
      <c r="F394" s="189" t="s">
        <v>1751</v>
      </c>
      <c r="G394" s="188"/>
      <c r="H394" s="188"/>
      <c r="I394" s="188"/>
      <c r="J394" s="188"/>
      <c r="K394" s="188"/>
      <c r="L394" s="188"/>
      <c r="M394" s="188"/>
      <c r="N394" s="188"/>
      <c r="O394" s="188"/>
      <c r="P394" s="188"/>
      <c r="Q394" s="188"/>
      <c r="R394" s="188"/>
      <c r="S394" s="188"/>
      <c r="T394" s="188"/>
      <c r="U394" s="190"/>
      <c r="V394" s="190"/>
      <c r="W394" s="190"/>
      <c r="X394" s="188"/>
      <c r="Y394" s="188"/>
      <c r="Z394" s="190"/>
      <c r="AA394" s="188"/>
      <c r="AB394" s="188"/>
      <c r="AC394" s="188"/>
      <c r="AD394" s="188"/>
      <c r="AE394" s="188"/>
    </row>
    <row r="395" ht="14.25" customHeight="1">
      <c r="A395" s="186" t="s">
        <v>1752</v>
      </c>
      <c r="B395" s="187" t="s">
        <v>1753</v>
      </c>
      <c r="C395" s="186" t="s">
        <v>1754</v>
      </c>
      <c r="D395" s="188"/>
      <c r="E395" s="188"/>
      <c r="F395" s="189" t="s">
        <v>1755</v>
      </c>
      <c r="G395" s="188"/>
      <c r="H395" s="188"/>
      <c r="I395" s="188"/>
      <c r="J395" s="188"/>
      <c r="K395" s="188"/>
      <c r="L395" s="188"/>
      <c r="M395" s="188"/>
      <c r="N395" s="188"/>
      <c r="O395" s="188"/>
      <c r="P395" s="188"/>
      <c r="Q395" s="188"/>
      <c r="R395" s="188"/>
      <c r="S395" s="188"/>
      <c r="T395" s="188"/>
      <c r="U395" s="190"/>
      <c r="V395" s="190"/>
      <c r="W395" s="190"/>
      <c r="X395" s="188"/>
      <c r="Y395" s="188"/>
      <c r="Z395" s="190"/>
      <c r="AA395" s="188"/>
      <c r="AB395" s="188"/>
      <c r="AC395" s="188"/>
      <c r="AD395" s="188"/>
      <c r="AE395" s="188"/>
    </row>
    <row r="396" ht="14.25" customHeight="1">
      <c r="A396" s="186" t="s">
        <v>1756</v>
      </c>
      <c r="B396" s="187" t="s">
        <v>1757</v>
      </c>
      <c r="C396" s="186" t="s">
        <v>1758</v>
      </c>
      <c r="D396" s="188"/>
      <c r="E396" s="188"/>
      <c r="F396" s="189" t="s">
        <v>1759</v>
      </c>
      <c r="G396" s="188"/>
      <c r="H396" s="188"/>
      <c r="I396" s="188"/>
      <c r="J396" s="188"/>
      <c r="K396" s="188"/>
      <c r="L396" s="188"/>
      <c r="M396" s="188"/>
      <c r="N396" s="188"/>
      <c r="O396" s="188"/>
      <c r="P396" s="188"/>
      <c r="Q396" s="188"/>
      <c r="R396" s="188"/>
      <c r="S396" s="188"/>
      <c r="T396" s="188"/>
      <c r="U396" s="190"/>
      <c r="V396" s="190"/>
      <c r="W396" s="190"/>
      <c r="X396" s="188"/>
      <c r="Y396" s="188"/>
      <c r="Z396" s="190"/>
      <c r="AA396" s="188"/>
      <c r="AB396" s="188"/>
      <c r="AC396" s="188"/>
      <c r="AD396" s="188"/>
      <c r="AE396" s="188"/>
    </row>
    <row r="397" ht="14.25" customHeight="1">
      <c r="A397" s="186" t="s">
        <v>1760</v>
      </c>
      <c r="B397" s="187" t="s">
        <v>1761</v>
      </c>
      <c r="C397" s="186" t="s">
        <v>1762</v>
      </c>
      <c r="D397" s="188"/>
      <c r="E397" s="188"/>
      <c r="F397" s="189" t="s">
        <v>1763</v>
      </c>
      <c r="G397" s="188"/>
      <c r="H397" s="188"/>
      <c r="I397" s="188"/>
      <c r="J397" s="188"/>
      <c r="K397" s="188"/>
      <c r="L397" s="188"/>
      <c r="M397" s="188"/>
      <c r="N397" s="188"/>
      <c r="O397" s="188"/>
      <c r="P397" s="188"/>
      <c r="Q397" s="188"/>
      <c r="R397" s="188"/>
      <c r="S397" s="188"/>
      <c r="T397" s="188"/>
      <c r="U397" s="190"/>
      <c r="V397" s="190"/>
      <c r="W397" s="190"/>
      <c r="X397" s="188"/>
      <c r="Y397" s="188"/>
      <c r="Z397" s="190"/>
      <c r="AA397" s="188"/>
      <c r="AB397" s="188"/>
      <c r="AC397" s="188"/>
      <c r="AD397" s="188"/>
      <c r="AE397" s="188"/>
    </row>
    <row r="398" ht="14.25" customHeight="1">
      <c r="A398" s="186" t="s">
        <v>1764</v>
      </c>
      <c r="B398" s="187" t="s">
        <v>1765</v>
      </c>
      <c r="C398" s="186" t="s">
        <v>1766</v>
      </c>
      <c r="D398" s="188"/>
      <c r="E398" s="188"/>
      <c r="F398" s="189" t="s">
        <v>1767</v>
      </c>
      <c r="G398" s="188"/>
      <c r="H398" s="188"/>
      <c r="I398" s="188"/>
      <c r="J398" s="188"/>
      <c r="K398" s="188"/>
      <c r="L398" s="188"/>
      <c r="M398" s="188"/>
      <c r="N398" s="188"/>
      <c r="O398" s="188"/>
      <c r="P398" s="188"/>
      <c r="Q398" s="188"/>
      <c r="R398" s="188"/>
      <c r="S398" s="188"/>
      <c r="T398" s="188"/>
      <c r="U398" s="190"/>
      <c r="V398" s="190"/>
      <c r="W398" s="190"/>
      <c r="X398" s="188"/>
      <c r="Y398" s="188"/>
      <c r="Z398" s="190"/>
      <c r="AA398" s="188"/>
      <c r="AB398" s="188"/>
      <c r="AC398" s="188"/>
      <c r="AD398" s="188"/>
      <c r="AE398" s="188"/>
    </row>
    <row r="399" ht="14.25" customHeight="1">
      <c r="A399" s="186" t="s">
        <v>1768</v>
      </c>
      <c r="B399" s="187" t="s">
        <v>1769</v>
      </c>
      <c r="C399" s="186" t="s">
        <v>1770</v>
      </c>
      <c r="D399" s="188"/>
      <c r="E399" s="188"/>
      <c r="F399" s="189" t="s">
        <v>1771</v>
      </c>
      <c r="G399" s="188"/>
      <c r="H399" s="188"/>
      <c r="I399" s="188"/>
      <c r="J399" s="188"/>
      <c r="K399" s="188"/>
      <c r="L399" s="188"/>
      <c r="M399" s="188"/>
      <c r="N399" s="188"/>
      <c r="O399" s="188"/>
      <c r="P399" s="188"/>
      <c r="Q399" s="188"/>
      <c r="R399" s="188"/>
      <c r="S399" s="188"/>
      <c r="T399" s="188"/>
      <c r="U399" s="190"/>
      <c r="V399" s="190"/>
      <c r="W399" s="190"/>
      <c r="X399" s="188"/>
      <c r="Y399" s="188"/>
      <c r="Z399" s="190"/>
      <c r="AA399" s="188"/>
      <c r="AB399" s="188"/>
      <c r="AC399" s="188"/>
      <c r="AD399" s="188"/>
      <c r="AE399" s="188"/>
    </row>
    <row r="400" ht="14.25" customHeight="1">
      <c r="A400" s="186" t="s">
        <v>1772</v>
      </c>
      <c r="B400" s="187" t="s">
        <v>1773</v>
      </c>
      <c r="C400" s="186" t="s">
        <v>1774</v>
      </c>
      <c r="D400" s="188"/>
      <c r="E400" s="188"/>
      <c r="F400" s="189" t="s">
        <v>1775</v>
      </c>
      <c r="G400" s="188"/>
      <c r="H400" s="188"/>
      <c r="I400" s="188"/>
      <c r="J400" s="188"/>
      <c r="K400" s="188"/>
      <c r="L400" s="188"/>
      <c r="M400" s="188"/>
      <c r="N400" s="188"/>
      <c r="O400" s="188"/>
      <c r="P400" s="188"/>
      <c r="Q400" s="188"/>
      <c r="R400" s="188"/>
      <c r="S400" s="188"/>
      <c r="T400" s="188"/>
      <c r="U400" s="190"/>
      <c r="V400" s="190"/>
      <c r="W400" s="190"/>
      <c r="X400" s="188"/>
      <c r="Y400" s="188"/>
      <c r="Z400" s="190"/>
      <c r="AA400" s="188"/>
      <c r="AB400" s="188"/>
      <c r="AC400" s="188"/>
      <c r="AD400" s="188"/>
      <c r="AE400" s="188"/>
    </row>
    <row r="401" ht="14.25" customHeight="1">
      <c r="A401" s="186" t="s">
        <v>1776</v>
      </c>
      <c r="B401" s="187" t="s">
        <v>1777</v>
      </c>
      <c r="C401" s="186" t="s">
        <v>1778</v>
      </c>
      <c r="D401" s="188"/>
      <c r="E401" s="188"/>
      <c r="F401" s="189" t="s">
        <v>1779</v>
      </c>
      <c r="G401" s="188"/>
      <c r="H401" s="188"/>
      <c r="I401" s="188"/>
      <c r="J401" s="188"/>
      <c r="K401" s="188"/>
      <c r="L401" s="188"/>
      <c r="M401" s="188"/>
      <c r="N401" s="188"/>
      <c r="O401" s="188"/>
      <c r="P401" s="188"/>
      <c r="Q401" s="188"/>
      <c r="R401" s="188"/>
      <c r="S401" s="188"/>
      <c r="T401" s="188"/>
      <c r="U401" s="190"/>
      <c r="V401" s="190"/>
      <c r="W401" s="190"/>
      <c r="X401" s="188"/>
      <c r="Y401" s="188"/>
      <c r="Z401" s="190"/>
      <c r="AA401" s="188"/>
      <c r="AB401" s="188"/>
      <c r="AC401" s="188"/>
      <c r="AD401" s="188"/>
      <c r="AE401" s="188"/>
    </row>
    <row r="402" ht="14.25" customHeight="1">
      <c r="A402" s="186" t="s">
        <v>1780</v>
      </c>
      <c r="B402" s="187" t="s">
        <v>1781</v>
      </c>
      <c r="C402" s="186" t="s">
        <v>1782</v>
      </c>
      <c r="D402" s="188"/>
      <c r="E402" s="188"/>
      <c r="F402" s="189" t="s">
        <v>1783</v>
      </c>
      <c r="G402" s="188"/>
      <c r="H402" s="188"/>
      <c r="I402" s="188"/>
      <c r="J402" s="188"/>
      <c r="K402" s="188"/>
      <c r="L402" s="188"/>
      <c r="M402" s="188"/>
      <c r="N402" s="188"/>
      <c r="O402" s="188"/>
      <c r="P402" s="188"/>
      <c r="Q402" s="188"/>
      <c r="R402" s="188"/>
      <c r="S402" s="188"/>
      <c r="T402" s="188"/>
      <c r="U402" s="190"/>
      <c r="V402" s="190"/>
      <c r="W402" s="190"/>
      <c r="X402" s="188"/>
      <c r="Y402" s="188"/>
      <c r="Z402" s="190"/>
      <c r="AA402" s="188"/>
      <c r="AB402" s="188"/>
      <c r="AC402" s="188"/>
      <c r="AD402" s="188"/>
      <c r="AE402" s="188"/>
    </row>
    <row r="403" ht="14.25" customHeight="1">
      <c r="A403" s="186" t="s">
        <v>1784</v>
      </c>
      <c r="B403" s="187" t="s">
        <v>1785</v>
      </c>
      <c r="C403" s="186" t="s">
        <v>1786</v>
      </c>
      <c r="D403" s="188"/>
      <c r="E403" s="188"/>
      <c r="F403" s="189" t="s">
        <v>1787</v>
      </c>
      <c r="G403" s="188"/>
      <c r="H403" s="188"/>
      <c r="I403" s="188"/>
      <c r="J403" s="188"/>
      <c r="K403" s="188"/>
      <c r="L403" s="188"/>
      <c r="M403" s="188"/>
      <c r="N403" s="188"/>
      <c r="O403" s="188"/>
      <c r="P403" s="188"/>
      <c r="Q403" s="188"/>
      <c r="R403" s="188"/>
      <c r="S403" s="188"/>
      <c r="T403" s="188"/>
      <c r="U403" s="190"/>
      <c r="V403" s="190"/>
      <c r="W403" s="190"/>
      <c r="X403" s="188"/>
      <c r="Y403" s="188"/>
      <c r="Z403" s="190"/>
      <c r="AA403" s="188"/>
      <c r="AB403" s="188"/>
      <c r="AC403" s="188"/>
      <c r="AD403" s="188"/>
      <c r="AE403" s="188"/>
    </row>
    <row r="404" ht="14.25" customHeight="1">
      <c r="A404" s="186" t="s">
        <v>1788</v>
      </c>
      <c r="B404" s="187" t="s">
        <v>1789</v>
      </c>
      <c r="C404" s="186" t="s">
        <v>1790</v>
      </c>
      <c r="D404" s="188"/>
      <c r="E404" s="188"/>
      <c r="F404" s="189" t="s">
        <v>1791</v>
      </c>
      <c r="G404" s="188"/>
      <c r="H404" s="188"/>
      <c r="I404" s="188"/>
      <c r="J404" s="188"/>
      <c r="K404" s="188"/>
      <c r="L404" s="188"/>
      <c r="M404" s="188"/>
      <c r="N404" s="188"/>
      <c r="O404" s="188"/>
      <c r="P404" s="188"/>
      <c r="Q404" s="188"/>
      <c r="R404" s="188"/>
      <c r="S404" s="188"/>
      <c r="T404" s="188"/>
      <c r="U404" s="190"/>
      <c r="V404" s="190"/>
      <c r="W404" s="190"/>
      <c r="X404" s="188"/>
      <c r="Y404" s="188"/>
      <c r="Z404" s="190"/>
      <c r="AA404" s="188"/>
      <c r="AB404" s="188"/>
      <c r="AC404" s="188"/>
      <c r="AD404" s="188"/>
      <c r="AE404" s="188"/>
    </row>
    <row r="405" ht="14.25" customHeight="1">
      <c r="A405" s="186" t="s">
        <v>1792</v>
      </c>
      <c r="B405" s="187" t="s">
        <v>1793</v>
      </c>
      <c r="C405" s="186" t="s">
        <v>1794</v>
      </c>
      <c r="D405" s="188"/>
      <c r="E405" s="188"/>
      <c r="F405" s="189" t="s">
        <v>1795</v>
      </c>
      <c r="G405" s="188"/>
      <c r="H405" s="188"/>
      <c r="I405" s="188"/>
      <c r="J405" s="188"/>
      <c r="K405" s="188"/>
      <c r="L405" s="188"/>
      <c r="M405" s="188"/>
      <c r="N405" s="188"/>
      <c r="O405" s="188"/>
      <c r="P405" s="188"/>
      <c r="Q405" s="188"/>
      <c r="R405" s="188"/>
      <c r="S405" s="188"/>
      <c r="T405" s="188"/>
      <c r="U405" s="190"/>
      <c r="V405" s="190"/>
      <c r="W405" s="190"/>
      <c r="X405" s="188"/>
      <c r="Y405" s="188"/>
      <c r="Z405" s="190"/>
      <c r="AA405" s="188"/>
      <c r="AB405" s="188"/>
      <c r="AC405" s="188"/>
      <c r="AD405" s="188"/>
      <c r="AE405" s="188"/>
    </row>
    <row r="406" ht="14.25" customHeight="1">
      <c r="A406" s="186" t="s">
        <v>1796</v>
      </c>
      <c r="B406" s="187" t="s">
        <v>1797</v>
      </c>
      <c r="C406" s="186" t="s">
        <v>1798</v>
      </c>
      <c r="D406" s="188"/>
      <c r="E406" s="188"/>
      <c r="F406" s="189" t="s">
        <v>1799</v>
      </c>
      <c r="G406" s="188"/>
      <c r="H406" s="188"/>
      <c r="I406" s="188"/>
      <c r="J406" s="188"/>
      <c r="K406" s="188"/>
      <c r="L406" s="188"/>
      <c r="M406" s="188"/>
      <c r="N406" s="188"/>
      <c r="O406" s="188"/>
      <c r="P406" s="188"/>
      <c r="Q406" s="188"/>
      <c r="R406" s="188"/>
      <c r="S406" s="188"/>
      <c r="T406" s="188"/>
      <c r="U406" s="190"/>
      <c r="V406" s="190"/>
      <c r="W406" s="190"/>
      <c r="X406" s="188"/>
      <c r="Y406" s="188"/>
      <c r="Z406" s="190"/>
      <c r="AA406" s="188"/>
      <c r="AB406" s="188"/>
      <c r="AC406" s="188"/>
      <c r="AD406" s="188"/>
      <c r="AE406" s="188"/>
    </row>
    <row r="407" ht="14.25" customHeight="1">
      <c r="A407" s="186" t="s">
        <v>1800</v>
      </c>
      <c r="B407" s="187" t="s">
        <v>1801</v>
      </c>
      <c r="C407" s="186" t="s">
        <v>1802</v>
      </c>
      <c r="D407" s="188"/>
      <c r="E407" s="188"/>
      <c r="F407" s="189" t="s">
        <v>1803</v>
      </c>
      <c r="G407" s="188"/>
      <c r="H407" s="188"/>
      <c r="I407" s="188"/>
      <c r="J407" s="188"/>
      <c r="K407" s="188"/>
      <c r="L407" s="188"/>
      <c r="M407" s="188"/>
      <c r="N407" s="188"/>
      <c r="O407" s="188"/>
      <c r="P407" s="188"/>
      <c r="Q407" s="188"/>
      <c r="R407" s="188"/>
      <c r="S407" s="188"/>
      <c r="T407" s="188"/>
      <c r="U407" s="190"/>
      <c r="V407" s="190"/>
      <c r="W407" s="190"/>
      <c r="X407" s="188"/>
      <c r="Y407" s="188"/>
      <c r="Z407" s="190"/>
      <c r="AA407" s="188"/>
      <c r="AB407" s="188"/>
      <c r="AC407" s="188"/>
      <c r="AD407" s="188"/>
      <c r="AE407" s="188"/>
    </row>
    <row r="408" ht="14.25" customHeight="1">
      <c r="A408" s="186" t="s">
        <v>1804</v>
      </c>
      <c r="B408" s="187" t="s">
        <v>1805</v>
      </c>
      <c r="C408" s="186" t="s">
        <v>1806</v>
      </c>
      <c r="D408" s="188"/>
      <c r="E408" s="188"/>
      <c r="F408" s="189" t="s">
        <v>1807</v>
      </c>
      <c r="G408" s="188"/>
      <c r="H408" s="188"/>
      <c r="I408" s="188"/>
      <c r="J408" s="188"/>
      <c r="K408" s="188"/>
      <c r="L408" s="188"/>
      <c r="M408" s="188"/>
      <c r="N408" s="188"/>
      <c r="O408" s="188"/>
      <c r="P408" s="188"/>
      <c r="Q408" s="188"/>
      <c r="R408" s="188"/>
      <c r="S408" s="188"/>
      <c r="T408" s="188"/>
      <c r="U408" s="190"/>
      <c r="V408" s="190"/>
      <c r="W408" s="190"/>
      <c r="X408" s="188"/>
      <c r="Y408" s="188"/>
      <c r="Z408" s="190"/>
      <c r="AA408" s="188"/>
      <c r="AB408" s="188"/>
      <c r="AC408" s="188"/>
      <c r="AD408" s="188"/>
      <c r="AE408" s="188"/>
    </row>
    <row r="409" ht="14.25" customHeight="1">
      <c r="A409" s="186" t="s">
        <v>1808</v>
      </c>
      <c r="B409" s="187" t="s">
        <v>1809</v>
      </c>
      <c r="C409" s="186" t="s">
        <v>1810</v>
      </c>
      <c r="D409" s="188"/>
      <c r="E409" s="188"/>
      <c r="F409" s="189" t="s">
        <v>1811</v>
      </c>
      <c r="G409" s="188"/>
      <c r="H409" s="188"/>
      <c r="I409" s="188"/>
      <c r="J409" s="188"/>
      <c r="K409" s="188"/>
      <c r="L409" s="188"/>
      <c r="M409" s="188"/>
      <c r="N409" s="188"/>
      <c r="O409" s="188"/>
      <c r="P409" s="188"/>
      <c r="Q409" s="188"/>
      <c r="R409" s="188"/>
      <c r="S409" s="188"/>
      <c r="T409" s="188"/>
      <c r="U409" s="190"/>
      <c r="V409" s="190"/>
      <c r="W409" s="190"/>
      <c r="X409" s="188"/>
      <c r="Y409" s="188"/>
      <c r="Z409" s="190"/>
      <c r="AA409" s="188"/>
      <c r="AB409" s="188"/>
      <c r="AC409" s="188"/>
      <c r="AD409" s="188"/>
      <c r="AE409" s="188"/>
    </row>
    <row r="410" ht="14.25" customHeight="1">
      <c r="A410" s="186" t="s">
        <v>1812</v>
      </c>
      <c r="B410" s="187" t="s">
        <v>1813</v>
      </c>
      <c r="C410" s="186" t="s">
        <v>1814</v>
      </c>
      <c r="D410" s="188"/>
      <c r="E410" s="188"/>
      <c r="F410" s="189" t="s">
        <v>1815</v>
      </c>
      <c r="G410" s="188"/>
      <c r="H410" s="188"/>
      <c r="I410" s="188"/>
      <c r="J410" s="188"/>
      <c r="K410" s="188"/>
      <c r="L410" s="188"/>
      <c r="M410" s="188"/>
      <c r="N410" s="188"/>
      <c r="O410" s="188"/>
      <c r="P410" s="188"/>
      <c r="Q410" s="188"/>
      <c r="R410" s="188"/>
      <c r="S410" s="188"/>
      <c r="T410" s="188"/>
      <c r="U410" s="190"/>
      <c r="V410" s="190"/>
      <c r="W410" s="190"/>
      <c r="X410" s="188"/>
      <c r="Y410" s="188"/>
      <c r="Z410" s="190"/>
      <c r="AA410" s="188"/>
      <c r="AB410" s="188"/>
      <c r="AC410" s="188"/>
      <c r="AD410" s="188"/>
      <c r="AE410" s="188"/>
    </row>
    <row r="411" ht="14.25" customHeight="1">
      <c r="A411" s="186" t="s">
        <v>1816</v>
      </c>
      <c r="B411" s="187" t="s">
        <v>1817</v>
      </c>
      <c r="C411" s="186" t="s">
        <v>1818</v>
      </c>
      <c r="D411" s="188"/>
      <c r="E411" s="188"/>
      <c r="F411" s="189" t="s">
        <v>1819</v>
      </c>
      <c r="G411" s="188"/>
      <c r="H411" s="188"/>
      <c r="I411" s="188"/>
      <c r="J411" s="188"/>
      <c r="K411" s="188"/>
      <c r="L411" s="188"/>
      <c r="M411" s="188"/>
      <c r="N411" s="188"/>
      <c r="O411" s="188"/>
      <c r="P411" s="188"/>
      <c r="Q411" s="188"/>
      <c r="R411" s="188"/>
      <c r="S411" s="188"/>
      <c r="T411" s="188"/>
      <c r="U411" s="190"/>
      <c r="V411" s="190"/>
      <c r="W411" s="190"/>
      <c r="X411" s="188"/>
      <c r="Y411" s="188"/>
      <c r="Z411" s="190"/>
      <c r="AA411" s="188"/>
      <c r="AB411" s="188"/>
      <c r="AC411" s="188"/>
      <c r="AD411" s="188"/>
      <c r="AE411" s="188"/>
    </row>
    <row r="412" ht="14.25" customHeight="1">
      <c r="A412" s="186" t="s">
        <v>1820</v>
      </c>
      <c r="B412" s="187" t="s">
        <v>1821</v>
      </c>
      <c r="C412" s="186" t="s">
        <v>1822</v>
      </c>
      <c r="D412" s="188"/>
      <c r="E412" s="188"/>
      <c r="F412" s="189" t="s">
        <v>1823</v>
      </c>
      <c r="G412" s="188"/>
      <c r="H412" s="188"/>
      <c r="I412" s="188"/>
      <c r="J412" s="188"/>
      <c r="K412" s="188"/>
      <c r="L412" s="188"/>
      <c r="M412" s="188"/>
      <c r="N412" s="188"/>
      <c r="O412" s="188"/>
      <c r="P412" s="188"/>
      <c r="Q412" s="188"/>
      <c r="R412" s="188"/>
      <c r="S412" s="188"/>
      <c r="T412" s="188"/>
      <c r="U412" s="190"/>
      <c r="V412" s="190"/>
      <c r="W412" s="190"/>
      <c r="X412" s="188"/>
      <c r="Y412" s="188"/>
      <c r="Z412" s="190"/>
      <c r="AA412" s="188"/>
      <c r="AB412" s="188"/>
      <c r="AC412" s="188"/>
      <c r="AD412" s="188"/>
      <c r="AE412" s="188"/>
    </row>
    <row r="413" ht="14.25" customHeight="1">
      <c r="A413" s="186" t="s">
        <v>1824</v>
      </c>
      <c r="B413" s="187" t="s">
        <v>1825</v>
      </c>
      <c r="C413" s="186" t="s">
        <v>1826</v>
      </c>
      <c r="D413" s="188"/>
      <c r="E413" s="188"/>
      <c r="F413" s="189" t="s">
        <v>1827</v>
      </c>
      <c r="G413" s="188"/>
      <c r="H413" s="188"/>
      <c r="I413" s="188"/>
      <c r="J413" s="188"/>
      <c r="K413" s="188"/>
      <c r="L413" s="188"/>
      <c r="M413" s="188"/>
      <c r="N413" s="188"/>
      <c r="O413" s="188"/>
      <c r="P413" s="188"/>
      <c r="Q413" s="188"/>
      <c r="R413" s="188"/>
      <c r="S413" s="188"/>
      <c r="T413" s="188"/>
      <c r="U413" s="190"/>
      <c r="V413" s="190"/>
      <c r="W413" s="190"/>
      <c r="X413" s="188"/>
      <c r="Y413" s="188"/>
      <c r="Z413" s="190"/>
      <c r="AA413" s="188"/>
      <c r="AB413" s="188"/>
      <c r="AC413" s="188"/>
      <c r="AD413" s="188"/>
      <c r="AE413" s="188"/>
    </row>
    <row r="414" ht="14.25" customHeight="1">
      <c r="A414" s="186" t="s">
        <v>1828</v>
      </c>
      <c r="B414" s="187" t="s">
        <v>1829</v>
      </c>
      <c r="C414" s="186" t="s">
        <v>1830</v>
      </c>
      <c r="D414" s="188"/>
      <c r="E414" s="188"/>
      <c r="F414" s="189" t="s">
        <v>1831</v>
      </c>
      <c r="G414" s="188"/>
      <c r="H414" s="188"/>
      <c r="I414" s="188"/>
      <c r="J414" s="188"/>
      <c r="K414" s="188"/>
      <c r="L414" s="188"/>
      <c r="M414" s="188"/>
      <c r="N414" s="188"/>
      <c r="O414" s="188"/>
      <c r="P414" s="188"/>
      <c r="Q414" s="188"/>
      <c r="R414" s="188"/>
      <c r="S414" s="188"/>
      <c r="T414" s="188"/>
      <c r="U414" s="190"/>
      <c r="V414" s="190"/>
      <c r="W414" s="190"/>
      <c r="X414" s="188"/>
      <c r="Y414" s="188"/>
      <c r="Z414" s="190"/>
      <c r="AA414" s="188"/>
      <c r="AB414" s="188"/>
      <c r="AC414" s="188"/>
      <c r="AD414" s="188"/>
      <c r="AE414" s="188"/>
    </row>
    <row r="415" ht="14.25" customHeight="1">
      <c r="A415" s="186" t="s">
        <v>1832</v>
      </c>
      <c r="B415" s="187" t="s">
        <v>1833</v>
      </c>
      <c r="C415" s="186" t="s">
        <v>1834</v>
      </c>
      <c r="D415" s="188"/>
      <c r="E415" s="188"/>
      <c r="F415" s="189" t="s">
        <v>1835</v>
      </c>
      <c r="G415" s="188"/>
      <c r="H415" s="188"/>
      <c r="I415" s="188"/>
      <c r="J415" s="188"/>
      <c r="K415" s="188"/>
      <c r="L415" s="188"/>
      <c r="M415" s="188"/>
      <c r="N415" s="188"/>
      <c r="O415" s="188"/>
      <c r="P415" s="188"/>
      <c r="Q415" s="188"/>
      <c r="R415" s="188"/>
      <c r="S415" s="188"/>
      <c r="T415" s="188"/>
      <c r="U415" s="190"/>
      <c r="V415" s="190"/>
      <c r="W415" s="190"/>
      <c r="X415" s="188"/>
      <c r="Y415" s="188"/>
      <c r="Z415" s="190"/>
      <c r="AA415" s="188"/>
      <c r="AB415" s="188"/>
      <c r="AC415" s="188"/>
      <c r="AD415" s="188"/>
      <c r="AE415" s="188"/>
    </row>
    <row r="416" ht="14.25" customHeight="1">
      <c r="A416" s="186" t="s">
        <v>1836</v>
      </c>
      <c r="B416" s="187" t="s">
        <v>1837</v>
      </c>
      <c r="C416" s="186" t="s">
        <v>1838</v>
      </c>
      <c r="D416" s="188"/>
      <c r="E416" s="188"/>
      <c r="F416" s="189" t="s">
        <v>1839</v>
      </c>
      <c r="G416" s="188"/>
      <c r="H416" s="188"/>
      <c r="I416" s="188"/>
      <c r="J416" s="188"/>
      <c r="K416" s="188"/>
      <c r="L416" s="188"/>
      <c r="M416" s="188"/>
      <c r="N416" s="188"/>
      <c r="O416" s="188"/>
      <c r="P416" s="188"/>
      <c r="Q416" s="188"/>
      <c r="R416" s="188"/>
      <c r="S416" s="188"/>
      <c r="T416" s="188"/>
      <c r="U416" s="190"/>
      <c r="V416" s="190"/>
      <c r="W416" s="190"/>
      <c r="X416" s="188"/>
      <c r="Y416" s="188"/>
      <c r="Z416" s="190"/>
      <c r="AA416" s="188"/>
      <c r="AB416" s="188"/>
      <c r="AC416" s="188"/>
      <c r="AD416" s="188"/>
      <c r="AE416" s="188"/>
    </row>
    <row r="417" ht="14.25" customHeight="1">
      <c r="A417" s="186" t="s">
        <v>1840</v>
      </c>
      <c r="B417" s="187" t="s">
        <v>1841</v>
      </c>
      <c r="C417" s="186" t="s">
        <v>1842</v>
      </c>
      <c r="D417" s="188"/>
      <c r="E417" s="188"/>
      <c r="F417" s="189" t="s">
        <v>1843</v>
      </c>
      <c r="G417" s="188"/>
      <c r="H417" s="188"/>
      <c r="I417" s="188"/>
      <c r="J417" s="188"/>
      <c r="K417" s="188"/>
      <c r="L417" s="188"/>
      <c r="M417" s="188"/>
      <c r="N417" s="188"/>
      <c r="O417" s="188"/>
      <c r="P417" s="188"/>
      <c r="Q417" s="188"/>
      <c r="R417" s="188"/>
      <c r="S417" s="188"/>
      <c r="T417" s="188"/>
      <c r="U417" s="190"/>
      <c r="V417" s="190"/>
      <c r="W417" s="190"/>
      <c r="X417" s="188"/>
      <c r="Y417" s="188"/>
      <c r="Z417" s="190"/>
      <c r="AA417" s="188"/>
      <c r="AB417" s="188"/>
      <c r="AC417" s="188"/>
      <c r="AD417" s="188"/>
      <c r="AE417" s="188"/>
    </row>
    <row r="418" ht="14.25" customHeight="1">
      <c r="A418" s="186" t="s">
        <v>1844</v>
      </c>
      <c r="B418" s="187" t="s">
        <v>1845</v>
      </c>
      <c r="C418" s="186" t="s">
        <v>1846</v>
      </c>
      <c r="D418" s="188"/>
      <c r="E418" s="188"/>
      <c r="F418" s="189" t="s">
        <v>1847</v>
      </c>
      <c r="G418" s="188"/>
      <c r="H418" s="188"/>
      <c r="I418" s="188"/>
      <c r="J418" s="188"/>
      <c r="K418" s="188"/>
      <c r="L418" s="188"/>
      <c r="M418" s="188"/>
      <c r="N418" s="188"/>
      <c r="O418" s="188"/>
      <c r="P418" s="188"/>
      <c r="Q418" s="188"/>
      <c r="R418" s="188"/>
      <c r="S418" s="188"/>
      <c r="T418" s="188"/>
      <c r="U418" s="190"/>
      <c r="V418" s="190"/>
      <c r="W418" s="190"/>
      <c r="X418" s="188"/>
      <c r="Y418" s="188"/>
      <c r="Z418" s="190"/>
      <c r="AA418" s="188"/>
      <c r="AB418" s="188"/>
      <c r="AC418" s="188"/>
      <c r="AD418" s="188"/>
      <c r="AE418" s="188"/>
    </row>
    <row r="419" ht="14.25" customHeight="1">
      <c r="A419" s="186" t="s">
        <v>1848</v>
      </c>
      <c r="B419" s="187" t="s">
        <v>1849</v>
      </c>
      <c r="C419" s="186" t="s">
        <v>1850</v>
      </c>
      <c r="D419" s="188"/>
      <c r="E419" s="188"/>
      <c r="F419" s="189" t="s">
        <v>1851</v>
      </c>
      <c r="G419" s="188"/>
      <c r="H419" s="188"/>
      <c r="I419" s="188"/>
      <c r="J419" s="188"/>
      <c r="K419" s="188"/>
      <c r="L419" s="188"/>
      <c r="M419" s="188"/>
      <c r="N419" s="188"/>
      <c r="O419" s="188"/>
      <c r="P419" s="188"/>
      <c r="Q419" s="188"/>
      <c r="R419" s="188"/>
      <c r="S419" s="188"/>
      <c r="T419" s="188"/>
      <c r="U419" s="190"/>
      <c r="V419" s="190"/>
      <c r="W419" s="190"/>
      <c r="X419" s="188"/>
      <c r="Y419" s="188"/>
      <c r="Z419" s="190"/>
      <c r="AA419" s="188"/>
      <c r="AB419" s="188"/>
      <c r="AC419" s="188"/>
      <c r="AD419" s="188"/>
      <c r="AE419" s="188"/>
    </row>
    <row r="420" ht="14.25" customHeight="1">
      <c r="A420" s="186" t="s">
        <v>1852</v>
      </c>
      <c r="B420" s="187" t="s">
        <v>1853</v>
      </c>
      <c r="C420" s="186" t="s">
        <v>1854</v>
      </c>
      <c r="D420" s="188"/>
      <c r="E420" s="188"/>
      <c r="F420" s="189" t="s">
        <v>1855</v>
      </c>
      <c r="G420" s="188"/>
      <c r="H420" s="188"/>
      <c r="I420" s="188"/>
      <c r="J420" s="188"/>
      <c r="K420" s="188"/>
      <c r="L420" s="188"/>
      <c r="M420" s="188"/>
      <c r="N420" s="188"/>
      <c r="O420" s="188"/>
      <c r="P420" s="188"/>
      <c r="Q420" s="188"/>
      <c r="R420" s="188"/>
      <c r="S420" s="188"/>
      <c r="T420" s="188"/>
      <c r="U420" s="190"/>
      <c r="V420" s="190"/>
      <c r="W420" s="190"/>
      <c r="X420" s="188"/>
      <c r="Y420" s="188"/>
      <c r="Z420" s="190"/>
      <c r="AA420" s="188"/>
      <c r="AB420" s="188"/>
      <c r="AC420" s="188"/>
      <c r="AD420" s="188"/>
      <c r="AE420" s="188"/>
    </row>
    <row r="421" ht="14.25" customHeight="1">
      <c r="A421" s="186" t="s">
        <v>1856</v>
      </c>
      <c r="B421" s="187" t="s">
        <v>1857</v>
      </c>
      <c r="C421" s="186" t="s">
        <v>1858</v>
      </c>
      <c r="D421" s="188"/>
      <c r="E421" s="188"/>
      <c r="F421" s="189" t="s">
        <v>1859</v>
      </c>
      <c r="G421" s="188"/>
      <c r="H421" s="188"/>
      <c r="I421" s="188"/>
      <c r="J421" s="188"/>
      <c r="K421" s="188"/>
      <c r="L421" s="188"/>
      <c r="M421" s="188"/>
      <c r="N421" s="188"/>
      <c r="O421" s="188"/>
      <c r="P421" s="188"/>
      <c r="Q421" s="188"/>
      <c r="R421" s="188"/>
      <c r="S421" s="188"/>
      <c r="T421" s="188"/>
      <c r="U421" s="190"/>
      <c r="V421" s="190"/>
      <c r="W421" s="190"/>
      <c r="X421" s="188"/>
      <c r="Y421" s="188"/>
      <c r="Z421" s="190"/>
      <c r="AA421" s="188"/>
      <c r="AB421" s="188"/>
      <c r="AC421" s="188"/>
      <c r="AD421" s="188"/>
      <c r="AE421" s="188"/>
    </row>
    <row r="422" ht="14.25" customHeight="1">
      <c r="A422" s="186" t="s">
        <v>1860</v>
      </c>
      <c r="B422" s="187" t="s">
        <v>1861</v>
      </c>
      <c r="C422" s="186" t="s">
        <v>1862</v>
      </c>
      <c r="D422" s="188"/>
      <c r="E422" s="188"/>
      <c r="F422" s="189" t="s">
        <v>1863</v>
      </c>
      <c r="G422" s="188"/>
      <c r="H422" s="188"/>
      <c r="I422" s="188"/>
      <c r="J422" s="188"/>
      <c r="K422" s="188"/>
      <c r="L422" s="188"/>
      <c r="M422" s="188"/>
      <c r="N422" s="188"/>
      <c r="O422" s="188"/>
      <c r="P422" s="188"/>
      <c r="Q422" s="188"/>
      <c r="R422" s="188"/>
      <c r="S422" s="188"/>
      <c r="T422" s="188"/>
      <c r="U422" s="190"/>
      <c r="V422" s="190"/>
      <c r="W422" s="190"/>
      <c r="X422" s="188"/>
      <c r="Y422" s="188"/>
      <c r="Z422" s="190"/>
      <c r="AA422" s="188"/>
      <c r="AB422" s="188"/>
      <c r="AC422" s="188"/>
      <c r="AD422" s="188"/>
      <c r="AE422" s="188"/>
    </row>
    <row r="423" ht="14.25" customHeight="1">
      <c r="A423" s="186" t="s">
        <v>1864</v>
      </c>
      <c r="B423" s="187" t="s">
        <v>1865</v>
      </c>
      <c r="C423" s="186" t="s">
        <v>1866</v>
      </c>
      <c r="D423" s="188"/>
      <c r="E423" s="188"/>
      <c r="F423" s="189" t="s">
        <v>1867</v>
      </c>
      <c r="G423" s="188"/>
      <c r="H423" s="188"/>
      <c r="I423" s="188"/>
      <c r="J423" s="188"/>
      <c r="K423" s="188"/>
      <c r="L423" s="188"/>
      <c r="M423" s="188"/>
      <c r="N423" s="188"/>
      <c r="O423" s="188"/>
      <c r="P423" s="188"/>
      <c r="Q423" s="188"/>
      <c r="R423" s="188"/>
      <c r="S423" s="188"/>
      <c r="T423" s="188"/>
      <c r="U423" s="190"/>
      <c r="V423" s="190"/>
      <c r="W423" s="190"/>
      <c r="X423" s="188"/>
      <c r="Y423" s="188"/>
      <c r="Z423" s="190"/>
      <c r="AA423" s="188"/>
      <c r="AB423" s="188"/>
      <c r="AC423" s="188"/>
      <c r="AD423" s="188"/>
      <c r="AE423" s="188"/>
    </row>
    <row r="424" ht="14.25" customHeight="1">
      <c r="A424" s="186" t="s">
        <v>1868</v>
      </c>
      <c r="B424" s="187" t="s">
        <v>1869</v>
      </c>
      <c r="C424" s="186" t="s">
        <v>1870</v>
      </c>
      <c r="D424" s="188"/>
      <c r="E424" s="188"/>
      <c r="F424" s="189" t="s">
        <v>1871</v>
      </c>
      <c r="G424" s="188"/>
      <c r="H424" s="188"/>
      <c r="I424" s="188"/>
      <c r="J424" s="188"/>
      <c r="K424" s="188"/>
      <c r="L424" s="188"/>
      <c r="M424" s="188"/>
      <c r="N424" s="188"/>
      <c r="O424" s="188"/>
      <c r="P424" s="188"/>
      <c r="Q424" s="188"/>
      <c r="R424" s="188"/>
      <c r="S424" s="188"/>
      <c r="T424" s="188"/>
      <c r="U424" s="190"/>
      <c r="V424" s="190"/>
      <c r="W424" s="190"/>
      <c r="X424" s="188"/>
      <c r="Y424" s="188"/>
      <c r="Z424" s="190"/>
      <c r="AA424" s="188"/>
      <c r="AB424" s="188"/>
      <c r="AC424" s="188"/>
      <c r="AD424" s="188"/>
      <c r="AE424" s="188"/>
    </row>
    <row r="425" ht="14.25" customHeight="1">
      <c r="A425" s="186" t="s">
        <v>1872</v>
      </c>
      <c r="B425" s="187" t="s">
        <v>1873</v>
      </c>
      <c r="C425" s="186" t="s">
        <v>1874</v>
      </c>
      <c r="D425" s="188"/>
      <c r="E425" s="188"/>
      <c r="F425" s="189" t="s">
        <v>1875</v>
      </c>
      <c r="G425" s="188"/>
      <c r="H425" s="188"/>
      <c r="I425" s="188"/>
      <c r="J425" s="188"/>
      <c r="K425" s="188"/>
      <c r="L425" s="188"/>
      <c r="M425" s="188"/>
      <c r="N425" s="188"/>
      <c r="O425" s="188"/>
      <c r="P425" s="188"/>
      <c r="Q425" s="188"/>
      <c r="R425" s="188"/>
      <c r="S425" s="188"/>
      <c r="T425" s="188"/>
      <c r="U425" s="190"/>
      <c r="V425" s="190"/>
      <c r="W425" s="190"/>
      <c r="X425" s="188"/>
      <c r="Y425" s="188"/>
      <c r="Z425" s="190"/>
      <c r="AA425" s="188"/>
      <c r="AB425" s="188"/>
      <c r="AC425" s="188"/>
      <c r="AD425" s="188"/>
      <c r="AE425" s="188"/>
    </row>
    <row r="426" ht="14.25" customHeight="1">
      <c r="A426" s="186" t="s">
        <v>1876</v>
      </c>
      <c r="B426" s="187" t="s">
        <v>1877</v>
      </c>
      <c r="C426" s="186" t="s">
        <v>1878</v>
      </c>
      <c r="D426" s="188"/>
      <c r="E426" s="188"/>
      <c r="F426" s="189" t="s">
        <v>1879</v>
      </c>
      <c r="G426" s="188"/>
      <c r="H426" s="188"/>
      <c r="I426" s="188"/>
      <c r="J426" s="188"/>
      <c r="K426" s="188"/>
      <c r="L426" s="188"/>
      <c r="M426" s="188"/>
      <c r="N426" s="188"/>
      <c r="O426" s="188"/>
      <c r="P426" s="188"/>
      <c r="Q426" s="188"/>
      <c r="R426" s="188"/>
      <c r="S426" s="188"/>
      <c r="T426" s="188"/>
      <c r="U426" s="190"/>
      <c r="V426" s="190"/>
      <c r="W426" s="190"/>
      <c r="X426" s="188"/>
      <c r="Y426" s="188"/>
      <c r="Z426" s="190"/>
      <c r="AA426" s="188"/>
      <c r="AB426" s="188"/>
      <c r="AC426" s="188"/>
      <c r="AD426" s="188"/>
      <c r="AE426" s="188"/>
    </row>
    <row r="427" ht="14.25" customHeight="1">
      <c r="A427" s="186" t="s">
        <v>1880</v>
      </c>
      <c r="B427" s="187" t="s">
        <v>1881</v>
      </c>
      <c r="C427" s="186" t="s">
        <v>1882</v>
      </c>
      <c r="D427" s="188"/>
      <c r="E427" s="188"/>
      <c r="F427" s="189" t="s">
        <v>1883</v>
      </c>
      <c r="G427" s="188"/>
      <c r="H427" s="188"/>
      <c r="I427" s="188"/>
      <c r="J427" s="188"/>
      <c r="K427" s="188"/>
      <c r="L427" s="188"/>
      <c r="M427" s="188"/>
      <c r="N427" s="188"/>
      <c r="O427" s="188"/>
      <c r="P427" s="188"/>
      <c r="Q427" s="188"/>
      <c r="R427" s="188"/>
      <c r="S427" s="188"/>
      <c r="T427" s="188"/>
      <c r="U427" s="190"/>
      <c r="V427" s="190"/>
      <c r="W427" s="190"/>
      <c r="X427" s="188"/>
      <c r="Y427" s="188"/>
      <c r="Z427" s="190"/>
      <c r="AA427" s="188"/>
      <c r="AB427" s="188"/>
      <c r="AC427" s="188"/>
      <c r="AD427" s="188"/>
      <c r="AE427" s="188"/>
    </row>
    <row r="428" ht="14.25" customHeight="1">
      <c r="A428" s="186" t="s">
        <v>1884</v>
      </c>
      <c r="B428" s="187" t="s">
        <v>1885</v>
      </c>
      <c r="C428" s="186" t="s">
        <v>1886</v>
      </c>
      <c r="D428" s="188"/>
      <c r="E428" s="188"/>
      <c r="F428" s="189" t="s">
        <v>232</v>
      </c>
      <c r="G428" s="188"/>
      <c r="H428" s="188"/>
      <c r="I428" s="188"/>
      <c r="J428" s="188"/>
      <c r="K428" s="188"/>
      <c r="L428" s="188"/>
      <c r="M428" s="188"/>
      <c r="N428" s="188"/>
      <c r="O428" s="188"/>
      <c r="P428" s="188"/>
      <c r="Q428" s="188"/>
      <c r="R428" s="188"/>
      <c r="S428" s="188"/>
      <c r="T428" s="188"/>
      <c r="U428" s="190"/>
      <c r="V428" s="190"/>
      <c r="W428" s="190"/>
      <c r="X428" s="188"/>
      <c r="Y428" s="188"/>
      <c r="Z428" s="190"/>
      <c r="AA428" s="188"/>
      <c r="AB428" s="188"/>
      <c r="AC428" s="188"/>
      <c r="AD428" s="188"/>
      <c r="AE428" s="188"/>
    </row>
    <row r="429" ht="14.25" customHeight="1">
      <c r="A429" s="186" t="s">
        <v>1887</v>
      </c>
      <c r="B429" s="187" t="s">
        <v>1888</v>
      </c>
      <c r="C429" s="186" t="s">
        <v>1889</v>
      </c>
      <c r="D429" s="188"/>
      <c r="E429" s="188"/>
      <c r="F429" s="189" t="s">
        <v>1890</v>
      </c>
      <c r="G429" s="188"/>
      <c r="H429" s="188"/>
      <c r="I429" s="188"/>
      <c r="J429" s="188"/>
      <c r="K429" s="188"/>
      <c r="L429" s="188"/>
      <c r="M429" s="188"/>
      <c r="N429" s="188"/>
      <c r="O429" s="188"/>
      <c r="P429" s="188"/>
      <c r="Q429" s="188"/>
      <c r="R429" s="188"/>
      <c r="S429" s="188"/>
      <c r="T429" s="188"/>
      <c r="U429" s="190"/>
      <c r="V429" s="190"/>
      <c r="W429" s="190"/>
      <c r="X429" s="188"/>
      <c r="Y429" s="188"/>
      <c r="Z429" s="190"/>
      <c r="AA429" s="188"/>
      <c r="AB429" s="188"/>
      <c r="AC429" s="188"/>
      <c r="AD429" s="188"/>
      <c r="AE429" s="188"/>
    </row>
    <row r="430" ht="14.25" customHeight="1">
      <c r="A430" s="186" t="s">
        <v>1891</v>
      </c>
      <c r="B430" s="187" t="s">
        <v>1892</v>
      </c>
      <c r="C430" s="186" t="s">
        <v>1893</v>
      </c>
      <c r="D430" s="188"/>
      <c r="E430" s="188"/>
      <c r="F430" s="189" t="s">
        <v>1894</v>
      </c>
      <c r="G430" s="188"/>
      <c r="H430" s="188"/>
      <c r="I430" s="188"/>
      <c r="J430" s="188"/>
      <c r="K430" s="188"/>
      <c r="L430" s="188"/>
      <c r="M430" s="188"/>
      <c r="N430" s="188"/>
      <c r="O430" s="188"/>
      <c r="P430" s="188"/>
      <c r="Q430" s="188"/>
      <c r="R430" s="188"/>
      <c r="S430" s="188"/>
      <c r="T430" s="188"/>
      <c r="U430" s="190"/>
      <c r="V430" s="190"/>
      <c r="W430" s="190"/>
      <c r="X430" s="188"/>
      <c r="Y430" s="188"/>
      <c r="Z430" s="190"/>
      <c r="AA430" s="188"/>
      <c r="AB430" s="188"/>
      <c r="AC430" s="188"/>
      <c r="AD430" s="188"/>
      <c r="AE430" s="188"/>
    </row>
    <row r="431" ht="14.25" customHeight="1">
      <c r="A431" s="186" t="s">
        <v>1895</v>
      </c>
      <c r="B431" s="187" t="s">
        <v>1896</v>
      </c>
      <c r="C431" s="186" t="s">
        <v>1897</v>
      </c>
      <c r="D431" s="188"/>
      <c r="E431" s="188"/>
      <c r="F431" s="189" t="s">
        <v>1898</v>
      </c>
      <c r="G431" s="188"/>
      <c r="H431" s="188"/>
      <c r="I431" s="188"/>
      <c r="J431" s="188"/>
      <c r="K431" s="188"/>
      <c r="L431" s="188"/>
      <c r="M431" s="188"/>
      <c r="N431" s="188"/>
      <c r="O431" s="188"/>
      <c r="P431" s="188"/>
      <c r="Q431" s="188"/>
      <c r="R431" s="188"/>
      <c r="S431" s="188"/>
      <c r="T431" s="188"/>
      <c r="U431" s="190"/>
      <c r="V431" s="190"/>
      <c r="W431" s="190"/>
      <c r="X431" s="188"/>
      <c r="Y431" s="188"/>
      <c r="Z431" s="190"/>
      <c r="AA431" s="188"/>
      <c r="AB431" s="188"/>
      <c r="AC431" s="188"/>
      <c r="AD431" s="188"/>
      <c r="AE431" s="188"/>
    </row>
    <row r="432" ht="14.25" customHeight="1">
      <c r="A432" s="186" t="s">
        <v>1899</v>
      </c>
      <c r="B432" s="187" t="s">
        <v>1900</v>
      </c>
      <c r="C432" s="186" t="s">
        <v>1901</v>
      </c>
      <c r="D432" s="188"/>
      <c r="E432" s="188"/>
      <c r="F432" s="189" t="s">
        <v>232</v>
      </c>
      <c r="G432" s="188"/>
      <c r="H432" s="188"/>
      <c r="I432" s="188"/>
      <c r="J432" s="188"/>
      <c r="K432" s="188"/>
      <c r="L432" s="188"/>
      <c r="M432" s="188"/>
      <c r="N432" s="188"/>
      <c r="O432" s="188"/>
      <c r="P432" s="188"/>
      <c r="Q432" s="188"/>
      <c r="R432" s="188"/>
      <c r="S432" s="188"/>
      <c r="T432" s="188"/>
      <c r="U432" s="190"/>
      <c r="V432" s="190"/>
      <c r="W432" s="190"/>
      <c r="X432" s="188"/>
      <c r="Y432" s="188"/>
      <c r="Z432" s="190"/>
      <c r="AA432" s="188"/>
      <c r="AB432" s="188"/>
      <c r="AC432" s="188"/>
      <c r="AD432" s="188"/>
      <c r="AE432" s="188"/>
    </row>
    <row r="433" ht="14.25" customHeight="1">
      <c r="A433" s="186" t="s">
        <v>1902</v>
      </c>
      <c r="B433" s="187" t="s">
        <v>1903</v>
      </c>
      <c r="C433" s="186" t="s">
        <v>1904</v>
      </c>
      <c r="D433" s="188"/>
      <c r="E433" s="188"/>
      <c r="F433" s="189" t="s">
        <v>1905</v>
      </c>
      <c r="G433" s="188"/>
      <c r="H433" s="188"/>
      <c r="I433" s="188"/>
      <c r="J433" s="188"/>
      <c r="K433" s="188"/>
      <c r="L433" s="188"/>
      <c r="M433" s="188"/>
      <c r="N433" s="188"/>
      <c r="O433" s="188"/>
      <c r="P433" s="188"/>
      <c r="Q433" s="188"/>
      <c r="R433" s="188"/>
      <c r="S433" s="188"/>
      <c r="T433" s="188"/>
      <c r="U433" s="190"/>
      <c r="V433" s="190"/>
      <c r="W433" s="190"/>
      <c r="X433" s="188"/>
      <c r="Y433" s="188"/>
      <c r="Z433" s="190"/>
      <c r="AA433" s="188"/>
      <c r="AB433" s="188"/>
      <c r="AC433" s="188"/>
      <c r="AD433" s="188"/>
      <c r="AE433" s="188"/>
    </row>
    <row r="434" ht="14.25" customHeight="1">
      <c r="A434" s="186" t="s">
        <v>1906</v>
      </c>
      <c r="B434" s="187" t="s">
        <v>1907</v>
      </c>
      <c r="C434" s="186" t="s">
        <v>1908</v>
      </c>
      <c r="D434" s="188"/>
      <c r="E434" s="188"/>
      <c r="F434" s="189" t="s">
        <v>232</v>
      </c>
      <c r="G434" s="188"/>
      <c r="H434" s="188"/>
      <c r="I434" s="188"/>
      <c r="J434" s="188"/>
      <c r="K434" s="188"/>
      <c r="L434" s="188"/>
      <c r="M434" s="188"/>
      <c r="N434" s="188"/>
      <c r="O434" s="188"/>
      <c r="P434" s="188"/>
      <c r="Q434" s="188"/>
      <c r="R434" s="188"/>
      <c r="S434" s="188"/>
      <c r="T434" s="188"/>
      <c r="U434" s="190"/>
      <c r="V434" s="190"/>
      <c r="W434" s="190"/>
      <c r="X434" s="188"/>
      <c r="Y434" s="188"/>
      <c r="Z434" s="190"/>
      <c r="AA434" s="188"/>
      <c r="AB434" s="188"/>
      <c r="AC434" s="188"/>
      <c r="AD434" s="188"/>
      <c r="AE434" s="188"/>
    </row>
    <row r="435" ht="14.25" customHeight="1">
      <c r="A435" s="186" t="s">
        <v>1909</v>
      </c>
      <c r="B435" s="187" t="s">
        <v>1910</v>
      </c>
      <c r="C435" s="186" t="s">
        <v>1911</v>
      </c>
      <c r="D435" s="188"/>
      <c r="E435" s="188"/>
      <c r="F435" s="189" t="s">
        <v>232</v>
      </c>
      <c r="G435" s="188"/>
      <c r="H435" s="188"/>
      <c r="I435" s="188"/>
      <c r="J435" s="188"/>
      <c r="K435" s="188"/>
      <c r="L435" s="188"/>
      <c r="M435" s="188"/>
      <c r="N435" s="188"/>
      <c r="O435" s="188"/>
      <c r="P435" s="188"/>
      <c r="Q435" s="188"/>
      <c r="R435" s="188"/>
      <c r="S435" s="188"/>
      <c r="T435" s="188"/>
      <c r="U435" s="190"/>
      <c r="V435" s="190"/>
      <c r="W435" s="190"/>
      <c r="X435" s="188"/>
      <c r="Y435" s="188"/>
      <c r="Z435" s="190"/>
      <c r="AA435" s="188"/>
      <c r="AB435" s="188"/>
      <c r="AC435" s="188"/>
      <c r="AD435" s="188"/>
      <c r="AE435" s="188"/>
    </row>
    <row r="436" ht="14.25" customHeight="1">
      <c r="A436" s="186" t="s">
        <v>1912</v>
      </c>
      <c r="B436" s="187" t="s">
        <v>1913</v>
      </c>
      <c r="C436" s="186" t="s">
        <v>1914</v>
      </c>
      <c r="D436" s="188"/>
      <c r="E436" s="188"/>
      <c r="F436" s="189" t="s">
        <v>1915</v>
      </c>
      <c r="G436" s="188"/>
      <c r="H436" s="188"/>
      <c r="I436" s="188"/>
      <c r="J436" s="188"/>
      <c r="K436" s="188"/>
      <c r="L436" s="188"/>
      <c r="M436" s="188"/>
      <c r="N436" s="188"/>
      <c r="O436" s="188"/>
      <c r="P436" s="188"/>
      <c r="Q436" s="188"/>
      <c r="R436" s="188"/>
      <c r="S436" s="188"/>
      <c r="T436" s="188"/>
      <c r="U436" s="190"/>
      <c r="V436" s="190"/>
      <c r="W436" s="190"/>
      <c r="X436" s="188"/>
      <c r="Y436" s="188"/>
      <c r="Z436" s="190"/>
      <c r="AA436" s="188"/>
      <c r="AB436" s="188"/>
      <c r="AC436" s="188"/>
      <c r="AD436" s="188"/>
      <c r="AE436" s="188"/>
    </row>
    <row r="437" ht="14.25" customHeight="1">
      <c r="A437" s="186" t="s">
        <v>1916</v>
      </c>
      <c r="B437" s="187" t="s">
        <v>1917</v>
      </c>
      <c r="C437" s="186" t="s">
        <v>1918</v>
      </c>
      <c r="D437" s="188"/>
      <c r="E437" s="188"/>
      <c r="F437" s="189" t="s">
        <v>232</v>
      </c>
      <c r="G437" s="188"/>
      <c r="H437" s="188"/>
      <c r="I437" s="188"/>
      <c r="J437" s="188"/>
      <c r="K437" s="188"/>
      <c r="L437" s="188"/>
      <c r="M437" s="188"/>
      <c r="N437" s="188"/>
      <c r="O437" s="188"/>
      <c r="P437" s="188"/>
      <c r="Q437" s="188"/>
      <c r="R437" s="188"/>
      <c r="S437" s="188"/>
      <c r="T437" s="188"/>
      <c r="U437" s="190"/>
      <c r="V437" s="190"/>
      <c r="W437" s="190"/>
      <c r="X437" s="188"/>
      <c r="Y437" s="188"/>
      <c r="Z437" s="190"/>
      <c r="AA437" s="188"/>
      <c r="AB437" s="188"/>
      <c r="AC437" s="188"/>
      <c r="AD437" s="188"/>
      <c r="AE437" s="188"/>
    </row>
    <row r="438" ht="14.25" customHeight="1">
      <c r="A438" s="186" t="s">
        <v>1919</v>
      </c>
      <c r="B438" s="187" t="s">
        <v>1920</v>
      </c>
      <c r="C438" s="186" t="s">
        <v>1921</v>
      </c>
      <c r="D438" s="188"/>
      <c r="E438" s="188"/>
      <c r="F438" s="189" t="s">
        <v>1922</v>
      </c>
      <c r="G438" s="188"/>
      <c r="H438" s="188"/>
      <c r="I438" s="188"/>
      <c r="J438" s="188"/>
      <c r="K438" s="188"/>
      <c r="L438" s="188"/>
      <c r="M438" s="188"/>
      <c r="N438" s="188"/>
      <c r="O438" s="188"/>
      <c r="P438" s="188"/>
      <c r="Q438" s="188"/>
      <c r="R438" s="188"/>
      <c r="S438" s="188"/>
      <c r="T438" s="188"/>
      <c r="U438" s="190"/>
      <c r="V438" s="190"/>
      <c r="W438" s="190"/>
      <c r="X438" s="188"/>
      <c r="Y438" s="188"/>
      <c r="Z438" s="190"/>
      <c r="AA438" s="188"/>
      <c r="AB438" s="188"/>
      <c r="AC438" s="188"/>
      <c r="AD438" s="188"/>
      <c r="AE438" s="188"/>
    </row>
    <row r="439" ht="14.25" customHeight="1">
      <c r="A439" s="186" t="s">
        <v>1923</v>
      </c>
      <c r="B439" s="187" t="s">
        <v>1924</v>
      </c>
      <c r="C439" s="186" t="s">
        <v>1925</v>
      </c>
      <c r="D439" s="188"/>
      <c r="E439" s="188"/>
      <c r="F439" s="189" t="s">
        <v>1926</v>
      </c>
      <c r="G439" s="188"/>
      <c r="H439" s="188"/>
      <c r="I439" s="188"/>
      <c r="J439" s="188"/>
      <c r="K439" s="188"/>
      <c r="L439" s="188"/>
      <c r="M439" s="188"/>
      <c r="N439" s="188"/>
      <c r="O439" s="188"/>
      <c r="P439" s="188"/>
      <c r="Q439" s="188"/>
      <c r="R439" s="188"/>
      <c r="S439" s="188"/>
      <c r="T439" s="188"/>
      <c r="U439" s="190"/>
      <c r="V439" s="190"/>
      <c r="W439" s="190"/>
      <c r="X439" s="188"/>
      <c r="Y439" s="188"/>
      <c r="Z439" s="190"/>
      <c r="AA439" s="188"/>
      <c r="AB439" s="188"/>
      <c r="AC439" s="188"/>
      <c r="AD439" s="188"/>
      <c r="AE439" s="188"/>
    </row>
    <row r="440" ht="14.25" customHeight="1">
      <c r="A440" s="186" t="s">
        <v>1927</v>
      </c>
      <c r="B440" s="187" t="s">
        <v>1928</v>
      </c>
      <c r="C440" s="186" t="s">
        <v>1929</v>
      </c>
      <c r="D440" s="188"/>
      <c r="E440" s="188"/>
      <c r="F440" s="189" t="s">
        <v>232</v>
      </c>
      <c r="G440" s="188"/>
      <c r="H440" s="188"/>
      <c r="I440" s="188"/>
      <c r="J440" s="188"/>
      <c r="K440" s="188"/>
      <c r="L440" s="188"/>
      <c r="M440" s="188"/>
      <c r="N440" s="188"/>
      <c r="O440" s="188"/>
      <c r="P440" s="188"/>
      <c r="Q440" s="188"/>
      <c r="R440" s="188"/>
      <c r="S440" s="188"/>
      <c r="T440" s="188"/>
      <c r="U440" s="190"/>
      <c r="V440" s="190"/>
      <c r="W440" s="190"/>
      <c r="X440" s="188"/>
      <c r="Y440" s="188"/>
      <c r="Z440" s="190"/>
      <c r="AA440" s="188"/>
      <c r="AB440" s="188"/>
      <c r="AC440" s="188"/>
      <c r="AD440" s="188"/>
      <c r="AE440" s="188"/>
    </row>
    <row r="441" ht="14.25" customHeight="1">
      <c r="A441" s="186" t="s">
        <v>1930</v>
      </c>
      <c r="B441" s="187" t="s">
        <v>1931</v>
      </c>
      <c r="C441" s="186" t="s">
        <v>1932</v>
      </c>
      <c r="D441" s="188"/>
      <c r="E441" s="188"/>
      <c r="F441" s="189" t="s">
        <v>1933</v>
      </c>
      <c r="G441" s="188"/>
      <c r="H441" s="188"/>
      <c r="I441" s="188"/>
      <c r="J441" s="188"/>
      <c r="K441" s="188"/>
      <c r="L441" s="188"/>
      <c r="M441" s="188"/>
      <c r="N441" s="188"/>
      <c r="O441" s="188"/>
      <c r="P441" s="188"/>
      <c r="Q441" s="188"/>
      <c r="R441" s="188"/>
      <c r="S441" s="188"/>
      <c r="T441" s="188"/>
      <c r="U441" s="190"/>
      <c r="V441" s="190"/>
      <c r="W441" s="190"/>
      <c r="X441" s="188"/>
      <c r="Y441" s="188"/>
      <c r="Z441" s="190"/>
      <c r="AA441" s="188"/>
      <c r="AB441" s="188"/>
      <c r="AC441" s="188"/>
      <c r="AD441" s="188"/>
      <c r="AE441" s="188"/>
    </row>
    <row r="442" ht="14.25" customHeight="1">
      <c r="A442" s="186" t="s">
        <v>1934</v>
      </c>
      <c r="B442" s="187" t="s">
        <v>1935</v>
      </c>
      <c r="C442" s="186" t="s">
        <v>1936</v>
      </c>
      <c r="D442" s="188"/>
      <c r="E442" s="188"/>
      <c r="F442" s="189" t="s">
        <v>232</v>
      </c>
      <c r="G442" s="188"/>
      <c r="H442" s="188"/>
      <c r="I442" s="188"/>
      <c r="J442" s="188"/>
      <c r="K442" s="188"/>
      <c r="L442" s="188"/>
      <c r="M442" s="188"/>
      <c r="N442" s="188"/>
      <c r="O442" s="188"/>
      <c r="P442" s="188"/>
      <c r="Q442" s="188"/>
      <c r="R442" s="188"/>
      <c r="S442" s="188"/>
      <c r="T442" s="188"/>
      <c r="U442" s="190"/>
      <c r="V442" s="190"/>
      <c r="W442" s="190"/>
      <c r="X442" s="188"/>
      <c r="Y442" s="188"/>
      <c r="Z442" s="190"/>
      <c r="AA442" s="188"/>
      <c r="AB442" s="188"/>
      <c r="AC442" s="188"/>
      <c r="AD442" s="188"/>
      <c r="AE442" s="188"/>
    </row>
    <row r="443" ht="14.25" customHeight="1">
      <c r="A443" s="186" t="s">
        <v>1937</v>
      </c>
      <c r="B443" s="187" t="s">
        <v>1938</v>
      </c>
      <c r="C443" s="186" t="s">
        <v>1939</v>
      </c>
      <c r="D443" s="188"/>
      <c r="E443" s="188"/>
      <c r="F443" s="189" t="s">
        <v>1940</v>
      </c>
      <c r="G443" s="188"/>
      <c r="H443" s="188"/>
      <c r="I443" s="188"/>
      <c r="J443" s="188"/>
      <c r="K443" s="188"/>
      <c r="L443" s="188"/>
      <c r="M443" s="188"/>
      <c r="N443" s="188"/>
      <c r="O443" s="188"/>
      <c r="P443" s="188"/>
      <c r="Q443" s="188"/>
      <c r="R443" s="188"/>
      <c r="S443" s="188"/>
      <c r="T443" s="188"/>
      <c r="U443" s="190"/>
      <c r="V443" s="190"/>
      <c r="W443" s="190"/>
      <c r="X443" s="188"/>
      <c r="Y443" s="188"/>
      <c r="Z443" s="190"/>
      <c r="AA443" s="188"/>
      <c r="AB443" s="188"/>
      <c r="AC443" s="188"/>
      <c r="AD443" s="188"/>
      <c r="AE443" s="188"/>
    </row>
    <row r="444" ht="14.25" customHeight="1">
      <c r="A444" s="186" t="s">
        <v>1941</v>
      </c>
      <c r="B444" s="187" t="s">
        <v>1942</v>
      </c>
      <c r="C444" s="186" t="s">
        <v>1943</v>
      </c>
      <c r="D444" s="188"/>
      <c r="E444" s="188"/>
      <c r="F444" s="189" t="s">
        <v>1944</v>
      </c>
      <c r="G444" s="188"/>
      <c r="H444" s="188"/>
      <c r="I444" s="188"/>
      <c r="J444" s="188"/>
      <c r="K444" s="188"/>
      <c r="L444" s="188"/>
      <c r="M444" s="188"/>
      <c r="N444" s="188"/>
      <c r="O444" s="188"/>
      <c r="P444" s="188"/>
      <c r="Q444" s="188"/>
      <c r="R444" s="188"/>
      <c r="S444" s="188"/>
      <c r="T444" s="188"/>
      <c r="U444" s="190"/>
      <c r="V444" s="190"/>
      <c r="W444" s="190"/>
      <c r="X444" s="188"/>
      <c r="Y444" s="188"/>
      <c r="Z444" s="190"/>
      <c r="AA444" s="188"/>
      <c r="AB444" s="188"/>
      <c r="AC444" s="188"/>
      <c r="AD444" s="188"/>
      <c r="AE444" s="188"/>
    </row>
    <row r="445" ht="14.25" customHeight="1">
      <c r="A445" s="186" t="s">
        <v>1945</v>
      </c>
      <c r="B445" s="187" t="s">
        <v>1946</v>
      </c>
      <c r="C445" s="186" t="s">
        <v>1947</v>
      </c>
      <c r="D445" s="188"/>
      <c r="E445" s="188"/>
      <c r="F445" s="189" t="s">
        <v>232</v>
      </c>
      <c r="G445" s="188"/>
      <c r="H445" s="188"/>
      <c r="I445" s="188"/>
      <c r="J445" s="188"/>
      <c r="K445" s="188"/>
      <c r="L445" s="188"/>
      <c r="M445" s="188"/>
      <c r="N445" s="188"/>
      <c r="O445" s="188"/>
      <c r="P445" s="188"/>
      <c r="Q445" s="188"/>
      <c r="R445" s="188"/>
      <c r="S445" s="188"/>
      <c r="T445" s="188"/>
      <c r="U445" s="190"/>
      <c r="V445" s="190"/>
      <c r="W445" s="190"/>
      <c r="X445" s="188"/>
      <c r="Y445" s="188"/>
      <c r="Z445" s="190"/>
      <c r="AA445" s="188"/>
      <c r="AB445" s="188"/>
      <c r="AC445" s="188"/>
      <c r="AD445" s="188"/>
      <c r="AE445" s="188"/>
    </row>
    <row r="446" ht="14.25" customHeight="1">
      <c r="A446" s="186" t="s">
        <v>1948</v>
      </c>
      <c r="B446" s="187" t="s">
        <v>1949</v>
      </c>
      <c r="C446" s="186" t="s">
        <v>1950</v>
      </c>
      <c r="D446" s="188"/>
      <c r="E446" s="188"/>
      <c r="F446" s="189" t="s">
        <v>1951</v>
      </c>
      <c r="G446" s="188"/>
      <c r="H446" s="188"/>
      <c r="I446" s="188"/>
      <c r="J446" s="188"/>
      <c r="K446" s="188"/>
      <c r="L446" s="188"/>
      <c r="M446" s="188"/>
      <c r="N446" s="188"/>
      <c r="O446" s="188"/>
      <c r="P446" s="188"/>
      <c r="Q446" s="188"/>
      <c r="R446" s="188"/>
      <c r="S446" s="188"/>
      <c r="T446" s="188"/>
      <c r="U446" s="190"/>
      <c r="V446" s="190"/>
      <c r="W446" s="190"/>
      <c r="X446" s="188"/>
      <c r="Y446" s="188"/>
      <c r="Z446" s="190"/>
      <c r="AA446" s="188"/>
      <c r="AB446" s="188"/>
      <c r="AC446" s="188"/>
      <c r="AD446" s="188"/>
      <c r="AE446" s="188"/>
    </row>
    <row r="447" ht="14.25" customHeight="1">
      <c r="A447" s="186" t="s">
        <v>1952</v>
      </c>
      <c r="B447" s="187" t="s">
        <v>1953</v>
      </c>
      <c r="C447" s="186" t="s">
        <v>1954</v>
      </c>
      <c r="D447" s="188"/>
      <c r="E447" s="188"/>
      <c r="F447" s="189" t="s">
        <v>1955</v>
      </c>
      <c r="G447" s="188"/>
      <c r="H447" s="188"/>
      <c r="I447" s="188"/>
      <c r="J447" s="188"/>
      <c r="K447" s="188"/>
      <c r="L447" s="188"/>
      <c r="M447" s="188"/>
      <c r="N447" s="188"/>
      <c r="O447" s="188"/>
      <c r="P447" s="188"/>
      <c r="Q447" s="188"/>
      <c r="R447" s="188"/>
      <c r="S447" s="188"/>
      <c r="T447" s="188"/>
      <c r="U447" s="190"/>
      <c r="V447" s="190"/>
      <c r="W447" s="190"/>
      <c r="X447" s="188"/>
      <c r="Y447" s="188"/>
      <c r="Z447" s="190"/>
      <c r="AA447" s="188"/>
      <c r="AB447" s="188"/>
      <c r="AC447" s="188"/>
      <c r="AD447" s="188"/>
      <c r="AE447" s="188"/>
    </row>
    <row r="448" ht="14.25" customHeight="1">
      <c r="A448" s="186" t="s">
        <v>1956</v>
      </c>
      <c r="B448" s="187" t="s">
        <v>1957</v>
      </c>
      <c r="C448" s="186" t="s">
        <v>1958</v>
      </c>
      <c r="D448" s="188"/>
      <c r="E448" s="188"/>
      <c r="F448" s="189" t="s">
        <v>1959</v>
      </c>
      <c r="G448" s="188"/>
      <c r="H448" s="188"/>
      <c r="I448" s="188"/>
      <c r="J448" s="188"/>
      <c r="K448" s="188"/>
      <c r="L448" s="188"/>
      <c r="M448" s="188"/>
      <c r="N448" s="188"/>
      <c r="O448" s="188"/>
      <c r="P448" s="188"/>
      <c r="Q448" s="188"/>
      <c r="R448" s="188"/>
      <c r="S448" s="188"/>
      <c r="T448" s="188"/>
      <c r="U448" s="190"/>
      <c r="V448" s="190"/>
      <c r="W448" s="190"/>
      <c r="X448" s="188"/>
      <c r="Y448" s="188"/>
      <c r="Z448" s="190"/>
      <c r="AA448" s="188"/>
      <c r="AB448" s="188"/>
      <c r="AC448" s="188"/>
      <c r="AD448" s="188"/>
      <c r="AE448" s="188"/>
    </row>
    <row r="449" ht="14.25" customHeight="1">
      <c r="A449" s="186" t="s">
        <v>1960</v>
      </c>
      <c r="B449" s="187" t="s">
        <v>1961</v>
      </c>
      <c r="C449" s="186" t="s">
        <v>1962</v>
      </c>
      <c r="D449" s="188"/>
      <c r="E449" s="188"/>
      <c r="F449" s="189" t="s">
        <v>1963</v>
      </c>
      <c r="G449" s="188"/>
      <c r="H449" s="188"/>
      <c r="I449" s="188"/>
      <c r="J449" s="188"/>
      <c r="K449" s="188"/>
      <c r="L449" s="188"/>
      <c r="M449" s="188"/>
      <c r="N449" s="188"/>
      <c r="O449" s="188"/>
      <c r="P449" s="188"/>
      <c r="Q449" s="188"/>
      <c r="R449" s="188"/>
      <c r="S449" s="188"/>
      <c r="T449" s="188"/>
      <c r="U449" s="190"/>
      <c r="V449" s="190"/>
      <c r="W449" s="190"/>
      <c r="X449" s="188"/>
      <c r="Y449" s="188"/>
      <c r="Z449" s="190"/>
      <c r="AA449" s="188"/>
      <c r="AB449" s="188"/>
      <c r="AC449" s="188"/>
      <c r="AD449" s="188"/>
      <c r="AE449" s="188"/>
    </row>
    <row r="450" ht="14.25" customHeight="1">
      <c r="A450" s="186" t="s">
        <v>1964</v>
      </c>
      <c r="B450" s="187" t="s">
        <v>1965</v>
      </c>
      <c r="C450" s="186" t="s">
        <v>1966</v>
      </c>
      <c r="D450" s="188"/>
      <c r="E450" s="188"/>
      <c r="F450" s="189" t="s">
        <v>1967</v>
      </c>
      <c r="G450" s="188"/>
      <c r="H450" s="188"/>
      <c r="I450" s="188"/>
      <c r="J450" s="188"/>
      <c r="K450" s="188"/>
      <c r="L450" s="188"/>
      <c r="M450" s="188"/>
      <c r="N450" s="188"/>
      <c r="O450" s="188"/>
      <c r="P450" s="188"/>
      <c r="Q450" s="188"/>
      <c r="R450" s="188"/>
      <c r="S450" s="188"/>
      <c r="T450" s="188"/>
      <c r="U450" s="190"/>
      <c r="V450" s="190"/>
      <c r="W450" s="190"/>
      <c r="X450" s="188"/>
      <c r="Y450" s="188"/>
      <c r="Z450" s="190"/>
      <c r="AA450" s="188"/>
      <c r="AB450" s="188"/>
      <c r="AC450" s="188"/>
      <c r="AD450" s="188"/>
      <c r="AE450" s="188"/>
    </row>
    <row r="451" ht="14.25" customHeight="1">
      <c r="A451" s="186" t="s">
        <v>1968</v>
      </c>
      <c r="B451" s="187" t="s">
        <v>1969</v>
      </c>
      <c r="C451" s="186" t="s">
        <v>1970</v>
      </c>
      <c r="D451" s="188"/>
      <c r="E451" s="188"/>
      <c r="F451" s="189" t="s">
        <v>1971</v>
      </c>
      <c r="G451" s="188"/>
      <c r="H451" s="188"/>
      <c r="I451" s="188"/>
      <c r="J451" s="188"/>
      <c r="K451" s="188"/>
      <c r="L451" s="188"/>
      <c r="M451" s="188"/>
      <c r="N451" s="188"/>
      <c r="O451" s="188"/>
      <c r="P451" s="188"/>
      <c r="Q451" s="188"/>
      <c r="R451" s="188"/>
      <c r="S451" s="188"/>
      <c r="T451" s="188"/>
      <c r="U451" s="190"/>
      <c r="V451" s="190"/>
      <c r="W451" s="190"/>
      <c r="X451" s="188"/>
      <c r="Y451" s="188"/>
      <c r="Z451" s="190"/>
      <c r="AA451" s="188"/>
      <c r="AB451" s="188"/>
      <c r="AC451" s="188"/>
      <c r="AD451" s="188"/>
      <c r="AE451" s="188"/>
    </row>
    <row r="452" ht="14.25" customHeight="1">
      <c r="A452" s="186" t="s">
        <v>1972</v>
      </c>
      <c r="B452" s="187" t="s">
        <v>1973</v>
      </c>
      <c r="C452" s="186" t="s">
        <v>1974</v>
      </c>
      <c r="D452" s="188"/>
      <c r="E452" s="188"/>
      <c r="F452" s="189" t="s">
        <v>1975</v>
      </c>
      <c r="G452" s="188"/>
      <c r="H452" s="188"/>
      <c r="I452" s="188"/>
      <c r="J452" s="188"/>
      <c r="K452" s="188"/>
      <c r="L452" s="188"/>
      <c r="M452" s="188"/>
      <c r="N452" s="188"/>
      <c r="O452" s="188"/>
      <c r="P452" s="188"/>
      <c r="Q452" s="188"/>
      <c r="R452" s="188"/>
      <c r="S452" s="188"/>
      <c r="T452" s="188"/>
      <c r="U452" s="190"/>
      <c r="V452" s="190"/>
      <c r="W452" s="190"/>
      <c r="X452" s="188"/>
      <c r="Y452" s="188"/>
      <c r="Z452" s="190"/>
      <c r="AA452" s="188"/>
      <c r="AB452" s="188"/>
      <c r="AC452" s="188"/>
      <c r="AD452" s="188"/>
      <c r="AE452" s="188"/>
    </row>
    <row r="453" ht="14.25" customHeight="1">
      <c r="A453" s="186" t="s">
        <v>1976</v>
      </c>
      <c r="B453" s="187" t="s">
        <v>1977</v>
      </c>
      <c r="C453" s="186" t="s">
        <v>1978</v>
      </c>
      <c r="D453" s="188"/>
      <c r="E453" s="188"/>
      <c r="F453" s="189" t="s">
        <v>1979</v>
      </c>
      <c r="G453" s="188"/>
      <c r="H453" s="188"/>
      <c r="I453" s="188"/>
      <c r="J453" s="188"/>
      <c r="K453" s="188"/>
      <c r="L453" s="188"/>
      <c r="M453" s="188"/>
      <c r="N453" s="188"/>
      <c r="O453" s="188"/>
      <c r="P453" s="188"/>
      <c r="Q453" s="188"/>
      <c r="R453" s="188"/>
      <c r="S453" s="188"/>
      <c r="T453" s="188"/>
      <c r="U453" s="190"/>
      <c r="V453" s="190"/>
      <c r="W453" s="190"/>
      <c r="X453" s="188"/>
      <c r="Y453" s="188"/>
      <c r="Z453" s="190"/>
      <c r="AA453" s="188"/>
      <c r="AB453" s="188"/>
      <c r="AC453" s="188"/>
      <c r="AD453" s="188"/>
      <c r="AE453" s="188"/>
    </row>
    <row r="454" ht="14.25" customHeight="1">
      <c r="A454" s="186" t="s">
        <v>1980</v>
      </c>
      <c r="B454" s="187" t="s">
        <v>1981</v>
      </c>
      <c r="C454" s="186" t="s">
        <v>1982</v>
      </c>
      <c r="D454" s="188"/>
      <c r="E454" s="188"/>
      <c r="F454" s="189" t="s">
        <v>1983</v>
      </c>
      <c r="G454" s="188"/>
      <c r="H454" s="188"/>
      <c r="I454" s="188"/>
      <c r="J454" s="188"/>
      <c r="K454" s="188"/>
      <c r="L454" s="188"/>
      <c r="M454" s="188"/>
      <c r="N454" s="188"/>
      <c r="O454" s="188"/>
      <c r="P454" s="188"/>
      <c r="Q454" s="188"/>
      <c r="R454" s="188"/>
      <c r="S454" s="188"/>
      <c r="T454" s="188"/>
      <c r="U454" s="190"/>
      <c r="V454" s="190"/>
      <c r="W454" s="190"/>
      <c r="X454" s="188"/>
      <c r="Y454" s="188"/>
      <c r="Z454" s="190"/>
      <c r="AA454" s="188"/>
      <c r="AB454" s="188"/>
      <c r="AC454" s="188"/>
      <c r="AD454" s="188"/>
      <c r="AE454" s="188"/>
    </row>
    <row r="455" ht="14.25" customHeight="1">
      <c r="A455" s="186" t="s">
        <v>1984</v>
      </c>
      <c r="B455" s="187" t="s">
        <v>1985</v>
      </c>
      <c r="C455" s="186" t="s">
        <v>1986</v>
      </c>
      <c r="D455" s="188"/>
      <c r="E455" s="188"/>
      <c r="F455" s="189" t="s">
        <v>1987</v>
      </c>
      <c r="G455" s="188"/>
      <c r="H455" s="188"/>
      <c r="I455" s="188"/>
      <c r="J455" s="188"/>
      <c r="K455" s="188"/>
      <c r="L455" s="188"/>
      <c r="M455" s="188"/>
      <c r="N455" s="188"/>
      <c r="O455" s="188"/>
      <c r="P455" s="188"/>
      <c r="Q455" s="188"/>
      <c r="R455" s="188"/>
      <c r="S455" s="188"/>
      <c r="T455" s="188"/>
      <c r="U455" s="190"/>
      <c r="V455" s="190"/>
      <c r="W455" s="190"/>
      <c r="X455" s="188"/>
      <c r="Y455" s="188"/>
      <c r="Z455" s="190"/>
      <c r="AA455" s="188"/>
      <c r="AB455" s="188"/>
      <c r="AC455" s="188"/>
      <c r="AD455" s="188"/>
      <c r="AE455" s="188"/>
    </row>
    <row r="456" ht="14.25" customHeight="1">
      <c r="A456" s="186" t="s">
        <v>1988</v>
      </c>
      <c r="B456" s="187" t="s">
        <v>1989</v>
      </c>
      <c r="C456" s="186" t="s">
        <v>1990</v>
      </c>
      <c r="D456" s="188"/>
      <c r="E456" s="188"/>
      <c r="F456" s="189" t="s">
        <v>1991</v>
      </c>
      <c r="G456" s="188"/>
      <c r="H456" s="188"/>
      <c r="I456" s="188"/>
      <c r="J456" s="188"/>
      <c r="K456" s="188"/>
      <c r="L456" s="188"/>
      <c r="M456" s="188"/>
      <c r="N456" s="188"/>
      <c r="O456" s="188"/>
      <c r="P456" s="188"/>
      <c r="Q456" s="188"/>
      <c r="R456" s="188"/>
      <c r="S456" s="188"/>
      <c r="T456" s="188"/>
      <c r="U456" s="190"/>
      <c r="V456" s="190"/>
      <c r="W456" s="190"/>
      <c r="X456" s="188"/>
      <c r="Y456" s="188"/>
      <c r="Z456" s="190"/>
      <c r="AA456" s="188"/>
      <c r="AB456" s="188"/>
      <c r="AC456" s="188"/>
      <c r="AD456" s="188"/>
      <c r="AE456" s="188"/>
    </row>
    <row r="457" ht="14.25" customHeight="1">
      <c r="A457" s="186" t="s">
        <v>1992</v>
      </c>
      <c r="B457" s="187" t="s">
        <v>1993</v>
      </c>
      <c r="C457" s="186" t="s">
        <v>1994</v>
      </c>
      <c r="D457" s="188"/>
      <c r="E457" s="188"/>
      <c r="F457" s="189" t="s">
        <v>1995</v>
      </c>
      <c r="G457" s="188"/>
      <c r="H457" s="188"/>
      <c r="I457" s="188"/>
      <c r="J457" s="188"/>
      <c r="K457" s="188"/>
      <c r="L457" s="188"/>
      <c r="M457" s="188"/>
      <c r="N457" s="188"/>
      <c r="O457" s="188"/>
      <c r="P457" s="188"/>
      <c r="Q457" s="188"/>
      <c r="R457" s="188"/>
      <c r="S457" s="188"/>
      <c r="T457" s="188"/>
      <c r="U457" s="190"/>
      <c r="V457" s="190"/>
      <c r="W457" s="190"/>
      <c r="X457" s="188"/>
      <c r="Y457" s="188"/>
      <c r="Z457" s="190"/>
      <c r="AA457" s="188"/>
      <c r="AB457" s="188"/>
      <c r="AC457" s="188"/>
      <c r="AD457" s="188"/>
      <c r="AE457" s="188"/>
    </row>
    <row r="458" ht="14.25" customHeight="1">
      <c r="A458" s="186" t="s">
        <v>1996</v>
      </c>
      <c r="B458" s="187" t="s">
        <v>1997</v>
      </c>
      <c r="C458" s="186" t="s">
        <v>1998</v>
      </c>
      <c r="D458" s="188"/>
      <c r="E458" s="188"/>
      <c r="F458" s="189" t="s">
        <v>1999</v>
      </c>
      <c r="G458" s="188"/>
      <c r="H458" s="188"/>
      <c r="I458" s="188"/>
      <c r="J458" s="188"/>
      <c r="K458" s="188"/>
      <c r="L458" s="188"/>
      <c r="M458" s="188"/>
      <c r="N458" s="188"/>
      <c r="O458" s="188"/>
      <c r="P458" s="188"/>
      <c r="Q458" s="188"/>
      <c r="R458" s="188"/>
      <c r="S458" s="188"/>
      <c r="T458" s="188"/>
      <c r="U458" s="190"/>
      <c r="V458" s="190"/>
      <c r="W458" s="190"/>
      <c r="X458" s="188"/>
      <c r="Y458" s="188"/>
      <c r="Z458" s="190"/>
      <c r="AA458" s="188"/>
      <c r="AB458" s="188"/>
      <c r="AC458" s="188"/>
      <c r="AD458" s="188"/>
      <c r="AE458" s="188"/>
    </row>
    <row r="459" ht="14.25" customHeight="1">
      <c r="A459" s="186" t="s">
        <v>2000</v>
      </c>
      <c r="B459" s="187" t="s">
        <v>2001</v>
      </c>
      <c r="C459" s="186" t="s">
        <v>2002</v>
      </c>
      <c r="D459" s="188"/>
      <c r="E459" s="188"/>
      <c r="F459" s="189" t="s">
        <v>2003</v>
      </c>
      <c r="G459" s="188"/>
      <c r="H459" s="188"/>
      <c r="I459" s="188"/>
      <c r="J459" s="188"/>
      <c r="K459" s="188"/>
      <c r="L459" s="188"/>
      <c r="M459" s="188"/>
      <c r="N459" s="188"/>
      <c r="O459" s="188"/>
      <c r="P459" s="188"/>
      <c r="Q459" s="188"/>
      <c r="R459" s="188"/>
      <c r="S459" s="188"/>
      <c r="T459" s="188"/>
      <c r="U459" s="190"/>
      <c r="V459" s="190"/>
      <c r="W459" s="190"/>
      <c r="X459" s="188"/>
      <c r="Y459" s="188"/>
      <c r="Z459" s="190"/>
      <c r="AA459" s="188"/>
      <c r="AB459" s="188"/>
      <c r="AC459" s="188"/>
      <c r="AD459" s="188"/>
      <c r="AE459" s="188"/>
    </row>
    <row r="460" ht="14.25" customHeight="1">
      <c r="A460" s="186" t="s">
        <v>2004</v>
      </c>
      <c r="B460" s="187" t="s">
        <v>2005</v>
      </c>
      <c r="C460" s="186" t="s">
        <v>2006</v>
      </c>
      <c r="D460" s="188"/>
      <c r="E460" s="188"/>
      <c r="F460" s="189" t="s">
        <v>232</v>
      </c>
      <c r="G460" s="188"/>
      <c r="H460" s="188"/>
      <c r="I460" s="188"/>
      <c r="J460" s="188"/>
      <c r="K460" s="188"/>
      <c r="L460" s="188"/>
      <c r="M460" s="188"/>
      <c r="N460" s="188"/>
      <c r="O460" s="188"/>
      <c r="P460" s="188"/>
      <c r="Q460" s="188"/>
      <c r="R460" s="188"/>
      <c r="S460" s="188"/>
      <c r="T460" s="188"/>
      <c r="U460" s="190"/>
      <c r="V460" s="190"/>
      <c r="W460" s="190"/>
      <c r="X460" s="188"/>
      <c r="Y460" s="188"/>
      <c r="Z460" s="190"/>
      <c r="AA460" s="188"/>
      <c r="AB460" s="188"/>
      <c r="AC460" s="188"/>
      <c r="AD460" s="188"/>
      <c r="AE460" s="188"/>
    </row>
    <row r="461" ht="14.25" customHeight="1">
      <c r="A461" s="186" t="s">
        <v>2007</v>
      </c>
      <c r="B461" s="187" t="s">
        <v>2008</v>
      </c>
      <c r="C461" s="186" t="s">
        <v>2009</v>
      </c>
      <c r="D461" s="188"/>
      <c r="E461" s="188"/>
      <c r="F461" s="189" t="s">
        <v>2010</v>
      </c>
      <c r="G461" s="188"/>
      <c r="H461" s="188"/>
      <c r="I461" s="188"/>
      <c r="J461" s="188"/>
      <c r="K461" s="188"/>
      <c r="L461" s="188"/>
      <c r="M461" s="188"/>
      <c r="N461" s="188"/>
      <c r="O461" s="188"/>
      <c r="P461" s="188"/>
      <c r="Q461" s="188"/>
      <c r="R461" s="188"/>
      <c r="S461" s="188"/>
      <c r="T461" s="188"/>
      <c r="U461" s="190"/>
      <c r="V461" s="190"/>
      <c r="W461" s="190"/>
      <c r="X461" s="188"/>
      <c r="Y461" s="188"/>
      <c r="Z461" s="190"/>
      <c r="AA461" s="188"/>
      <c r="AB461" s="188"/>
      <c r="AC461" s="188"/>
      <c r="AD461" s="188"/>
      <c r="AE461" s="188"/>
    </row>
    <row r="462" ht="14.25" customHeight="1">
      <c r="A462" s="186" t="s">
        <v>2011</v>
      </c>
      <c r="B462" s="187" t="s">
        <v>2012</v>
      </c>
      <c r="C462" s="186" t="s">
        <v>2013</v>
      </c>
      <c r="D462" s="188"/>
      <c r="E462" s="188"/>
      <c r="F462" s="189" t="s">
        <v>2014</v>
      </c>
      <c r="G462" s="188"/>
      <c r="H462" s="188"/>
      <c r="I462" s="188"/>
      <c r="J462" s="188"/>
      <c r="K462" s="188"/>
      <c r="L462" s="188"/>
      <c r="M462" s="188"/>
      <c r="N462" s="188"/>
      <c r="O462" s="188"/>
      <c r="P462" s="188"/>
      <c r="Q462" s="188"/>
      <c r="R462" s="188"/>
      <c r="S462" s="188"/>
      <c r="T462" s="188"/>
      <c r="U462" s="190"/>
      <c r="V462" s="190"/>
      <c r="W462" s="190"/>
      <c r="X462" s="188"/>
      <c r="Y462" s="188"/>
      <c r="Z462" s="190"/>
      <c r="AA462" s="188"/>
      <c r="AB462" s="188"/>
      <c r="AC462" s="188"/>
      <c r="AD462" s="188"/>
      <c r="AE462" s="188"/>
    </row>
    <row r="463" ht="14.25" customHeight="1">
      <c r="A463" s="186" t="s">
        <v>2015</v>
      </c>
      <c r="B463" s="187" t="s">
        <v>2016</v>
      </c>
      <c r="C463" s="186" t="s">
        <v>2017</v>
      </c>
      <c r="D463" s="188"/>
      <c r="E463" s="188"/>
      <c r="F463" s="189" t="s">
        <v>2018</v>
      </c>
      <c r="G463" s="188"/>
      <c r="H463" s="188"/>
      <c r="I463" s="188"/>
      <c r="J463" s="188"/>
      <c r="K463" s="188"/>
      <c r="L463" s="188"/>
      <c r="M463" s="188"/>
      <c r="N463" s="188"/>
      <c r="O463" s="188"/>
      <c r="P463" s="188"/>
      <c r="Q463" s="188"/>
      <c r="R463" s="188"/>
      <c r="S463" s="188"/>
      <c r="T463" s="188"/>
      <c r="U463" s="190"/>
      <c r="V463" s="190"/>
      <c r="W463" s="190"/>
      <c r="X463" s="188"/>
      <c r="Y463" s="188"/>
      <c r="Z463" s="190"/>
      <c r="AA463" s="188"/>
      <c r="AB463" s="188"/>
      <c r="AC463" s="188"/>
      <c r="AD463" s="188"/>
      <c r="AE463" s="188"/>
    </row>
    <row r="464" ht="14.25" customHeight="1">
      <c r="A464" s="186" t="s">
        <v>2019</v>
      </c>
      <c r="B464" s="187" t="s">
        <v>2020</v>
      </c>
      <c r="C464" s="186" t="s">
        <v>2021</v>
      </c>
      <c r="D464" s="188"/>
      <c r="E464" s="188"/>
      <c r="F464" s="189" t="s">
        <v>2022</v>
      </c>
      <c r="G464" s="188"/>
      <c r="H464" s="188"/>
      <c r="I464" s="188"/>
      <c r="J464" s="188"/>
      <c r="K464" s="188"/>
      <c r="L464" s="188"/>
      <c r="M464" s="188"/>
      <c r="N464" s="188"/>
      <c r="O464" s="188"/>
      <c r="P464" s="188"/>
      <c r="Q464" s="188"/>
      <c r="R464" s="188"/>
      <c r="S464" s="188"/>
      <c r="T464" s="188"/>
      <c r="U464" s="190"/>
      <c r="V464" s="190"/>
      <c r="W464" s="190"/>
      <c r="X464" s="188"/>
      <c r="Y464" s="188"/>
      <c r="Z464" s="190"/>
      <c r="AA464" s="188"/>
      <c r="AB464" s="188"/>
      <c r="AC464" s="188"/>
      <c r="AD464" s="188"/>
      <c r="AE464" s="188"/>
    </row>
    <row r="465" ht="14.25" customHeight="1">
      <c r="A465" s="186" t="s">
        <v>2023</v>
      </c>
      <c r="B465" s="187" t="s">
        <v>2024</v>
      </c>
      <c r="C465" s="186" t="s">
        <v>2025</v>
      </c>
      <c r="D465" s="188"/>
      <c r="E465" s="188"/>
      <c r="F465" s="189" t="s">
        <v>2026</v>
      </c>
      <c r="G465" s="188"/>
      <c r="H465" s="188"/>
      <c r="I465" s="188"/>
      <c r="J465" s="188"/>
      <c r="K465" s="188"/>
      <c r="L465" s="188"/>
      <c r="M465" s="188"/>
      <c r="N465" s="188"/>
      <c r="O465" s="188"/>
      <c r="P465" s="188"/>
      <c r="Q465" s="188"/>
      <c r="R465" s="188"/>
      <c r="S465" s="188"/>
      <c r="T465" s="188"/>
      <c r="U465" s="190"/>
      <c r="V465" s="190"/>
      <c r="W465" s="190"/>
      <c r="X465" s="188"/>
      <c r="Y465" s="188"/>
      <c r="Z465" s="190"/>
      <c r="AA465" s="188"/>
      <c r="AB465" s="188"/>
      <c r="AC465" s="188"/>
      <c r="AD465" s="188"/>
      <c r="AE465" s="188"/>
    </row>
    <row r="466" ht="14.25" customHeight="1">
      <c r="A466" s="186" t="s">
        <v>2027</v>
      </c>
      <c r="B466" s="187" t="s">
        <v>2028</v>
      </c>
      <c r="C466" s="186" t="s">
        <v>2029</v>
      </c>
      <c r="D466" s="188"/>
      <c r="E466" s="188"/>
      <c r="F466" s="189" t="s">
        <v>2030</v>
      </c>
      <c r="G466" s="188"/>
      <c r="H466" s="188"/>
      <c r="I466" s="188"/>
      <c r="J466" s="188"/>
      <c r="K466" s="188"/>
      <c r="L466" s="188"/>
      <c r="M466" s="188"/>
      <c r="N466" s="188"/>
      <c r="O466" s="188"/>
      <c r="P466" s="188"/>
      <c r="Q466" s="188"/>
      <c r="R466" s="188"/>
      <c r="S466" s="188"/>
      <c r="T466" s="188"/>
      <c r="U466" s="190"/>
      <c r="V466" s="190"/>
      <c r="W466" s="190"/>
      <c r="X466" s="188"/>
      <c r="Y466" s="188"/>
      <c r="Z466" s="190"/>
      <c r="AA466" s="188"/>
      <c r="AB466" s="188"/>
      <c r="AC466" s="188"/>
      <c r="AD466" s="188"/>
      <c r="AE466" s="188"/>
    </row>
    <row r="467" ht="14.25" customHeight="1">
      <c r="A467" s="186" t="s">
        <v>2031</v>
      </c>
      <c r="B467" s="187" t="s">
        <v>2032</v>
      </c>
      <c r="C467" s="186" t="s">
        <v>2033</v>
      </c>
      <c r="D467" s="188"/>
      <c r="E467" s="188"/>
      <c r="F467" s="189" t="s">
        <v>2034</v>
      </c>
      <c r="G467" s="188"/>
      <c r="H467" s="188"/>
      <c r="I467" s="188"/>
      <c r="J467" s="188"/>
      <c r="K467" s="188"/>
      <c r="L467" s="188"/>
      <c r="M467" s="188"/>
      <c r="N467" s="188"/>
      <c r="O467" s="188"/>
      <c r="P467" s="188"/>
      <c r="Q467" s="188"/>
      <c r="R467" s="188"/>
      <c r="S467" s="188"/>
      <c r="T467" s="188"/>
      <c r="U467" s="190"/>
      <c r="V467" s="190"/>
      <c r="W467" s="190"/>
      <c r="X467" s="188"/>
      <c r="Y467" s="188"/>
      <c r="Z467" s="190"/>
      <c r="AA467" s="188"/>
      <c r="AB467" s="188"/>
      <c r="AC467" s="188"/>
      <c r="AD467" s="188"/>
      <c r="AE467" s="188"/>
    </row>
    <row r="468" ht="14.25" customHeight="1">
      <c r="A468" s="186" t="s">
        <v>2035</v>
      </c>
      <c r="B468" s="187" t="s">
        <v>2036</v>
      </c>
      <c r="C468" s="186" t="s">
        <v>2037</v>
      </c>
      <c r="D468" s="188"/>
      <c r="E468" s="188"/>
      <c r="F468" s="189" t="s">
        <v>2038</v>
      </c>
      <c r="G468" s="188"/>
      <c r="H468" s="188"/>
      <c r="I468" s="188"/>
      <c r="J468" s="188"/>
      <c r="K468" s="188"/>
      <c r="L468" s="188"/>
      <c r="M468" s="188"/>
      <c r="N468" s="188"/>
      <c r="O468" s="188"/>
      <c r="P468" s="188"/>
      <c r="Q468" s="188"/>
      <c r="R468" s="188"/>
      <c r="S468" s="188"/>
      <c r="T468" s="188"/>
      <c r="U468" s="190"/>
      <c r="V468" s="190"/>
      <c r="W468" s="190"/>
      <c r="X468" s="188"/>
      <c r="Y468" s="188"/>
      <c r="Z468" s="190"/>
      <c r="AA468" s="188"/>
      <c r="AB468" s="188"/>
      <c r="AC468" s="188"/>
      <c r="AD468" s="188"/>
      <c r="AE468" s="188"/>
    </row>
    <row r="469" ht="14.25" customHeight="1">
      <c r="A469" s="186" t="s">
        <v>2039</v>
      </c>
      <c r="B469" s="187" t="s">
        <v>2040</v>
      </c>
      <c r="C469" s="186" t="s">
        <v>2041</v>
      </c>
      <c r="D469" s="188"/>
      <c r="E469" s="188"/>
      <c r="F469" s="189" t="s">
        <v>2042</v>
      </c>
      <c r="G469" s="188"/>
      <c r="H469" s="188"/>
      <c r="I469" s="188"/>
      <c r="J469" s="188"/>
      <c r="K469" s="188"/>
      <c r="L469" s="188"/>
      <c r="M469" s="188"/>
      <c r="N469" s="188"/>
      <c r="O469" s="188"/>
      <c r="P469" s="188"/>
      <c r="Q469" s="188"/>
      <c r="R469" s="188"/>
      <c r="S469" s="188"/>
      <c r="T469" s="188"/>
      <c r="U469" s="190"/>
      <c r="V469" s="190"/>
      <c r="W469" s="190"/>
      <c r="X469" s="188"/>
      <c r="Y469" s="188"/>
      <c r="Z469" s="190"/>
      <c r="AA469" s="188"/>
      <c r="AB469" s="188"/>
      <c r="AC469" s="188"/>
      <c r="AD469" s="188"/>
      <c r="AE469" s="188"/>
    </row>
    <row r="470" ht="14.25" customHeight="1">
      <c r="A470" s="186" t="s">
        <v>2043</v>
      </c>
      <c r="B470" s="187" t="s">
        <v>2044</v>
      </c>
      <c r="C470" s="186" t="s">
        <v>2045</v>
      </c>
      <c r="D470" s="188"/>
      <c r="E470" s="188"/>
      <c r="F470" s="189" t="s">
        <v>2046</v>
      </c>
      <c r="G470" s="188"/>
      <c r="H470" s="188"/>
      <c r="I470" s="188"/>
      <c r="J470" s="188"/>
      <c r="K470" s="188"/>
      <c r="L470" s="188"/>
      <c r="M470" s="188"/>
      <c r="N470" s="188"/>
      <c r="O470" s="188"/>
      <c r="P470" s="188"/>
      <c r="Q470" s="188"/>
      <c r="R470" s="188"/>
      <c r="S470" s="188"/>
      <c r="T470" s="188"/>
      <c r="U470" s="190"/>
      <c r="V470" s="190"/>
      <c r="W470" s="190"/>
      <c r="X470" s="188"/>
      <c r="Y470" s="188"/>
      <c r="Z470" s="190"/>
      <c r="AA470" s="188"/>
      <c r="AB470" s="188"/>
      <c r="AC470" s="188"/>
      <c r="AD470" s="188"/>
      <c r="AE470" s="188"/>
    </row>
    <row r="471" ht="14.25" customHeight="1">
      <c r="A471" s="186" t="s">
        <v>2047</v>
      </c>
      <c r="B471" s="187" t="s">
        <v>2048</v>
      </c>
      <c r="C471" s="186" t="s">
        <v>2049</v>
      </c>
      <c r="D471" s="188"/>
      <c r="E471" s="188"/>
      <c r="F471" s="189" t="s">
        <v>2050</v>
      </c>
      <c r="G471" s="188"/>
      <c r="H471" s="188"/>
      <c r="I471" s="188"/>
      <c r="J471" s="188"/>
      <c r="K471" s="188"/>
      <c r="L471" s="188"/>
      <c r="M471" s="188"/>
      <c r="N471" s="188"/>
      <c r="O471" s="188"/>
      <c r="P471" s="188"/>
      <c r="Q471" s="188"/>
      <c r="R471" s="188"/>
      <c r="S471" s="188"/>
      <c r="T471" s="188"/>
      <c r="U471" s="190"/>
      <c r="V471" s="190"/>
      <c r="W471" s="190"/>
      <c r="X471" s="188"/>
      <c r="Y471" s="188"/>
      <c r="Z471" s="190"/>
      <c r="AA471" s="188"/>
      <c r="AB471" s="188"/>
      <c r="AC471" s="188"/>
      <c r="AD471" s="188"/>
      <c r="AE471" s="188"/>
    </row>
    <row r="472" ht="14.25" customHeight="1">
      <c r="A472" s="186" t="s">
        <v>2051</v>
      </c>
      <c r="B472" s="187" t="s">
        <v>2052</v>
      </c>
      <c r="C472" s="186" t="s">
        <v>2053</v>
      </c>
      <c r="D472" s="188"/>
      <c r="E472" s="188"/>
      <c r="F472" s="189" t="s">
        <v>2054</v>
      </c>
      <c r="G472" s="188"/>
      <c r="H472" s="188"/>
      <c r="I472" s="188"/>
      <c r="J472" s="188"/>
      <c r="K472" s="188"/>
      <c r="L472" s="188"/>
      <c r="M472" s="188"/>
      <c r="N472" s="188"/>
      <c r="O472" s="188"/>
      <c r="P472" s="188"/>
      <c r="Q472" s="188"/>
      <c r="R472" s="188"/>
      <c r="S472" s="188"/>
      <c r="T472" s="188"/>
      <c r="U472" s="190"/>
      <c r="V472" s="190"/>
      <c r="W472" s="190"/>
      <c r="X472" s="188"/>
      <c r="Y472" s="188"/>
      <c r="Z472" s="190"/>
      <c r="AA472" s="188"/>
      <c r="AB472" s="188"/>
      <c r="AC472" s="188"/>
      <c r="AD472" s="188"/>
      <c r="AE472" s="188"/>
    </row>
    <row r="473" ht="14.25" customHeight="1">
      <c r="A473" s="186" t="s">
        <v>2055</v>
      </c>
      <c r="B473" s="187" t="s">
        <v>2056</v>
      </c>
      <c r="C473" s="186" t="s">
        <v>2057</v>
      </c>
      <c r="D473" s="188"/>
      <c r="E473" s="188"/>
      <c r="F473" s="189"/>
      <c r="G473" s="188"/>
      <c r="H473" s="188"/>
      <c r="I473" s="188"/>
      <c r="J473" s="188"/>
      <c r="K473" s="188"/>
      <c r="L473" s="188"/>
      <c r="M473" s="188"/>
      <c r="N473" s="188"/>
      <c r="O473" s="188"/>
      <c r="P473" s="188"/>
      <c r="Q473" s="188"/>
      <c r="R473" s="188"/>
      <c r="S473" s="188"/>
      <c r="T473" s="188"/>
      <c r="U473" s="190"/>
      <c r="V473" s="190"/>
      <c r="W473" s="190"/>
      <c r="X473" s="188"/>
      <c r="Y473" s="188"/>
      <c r="Z473" s="190"/>
      <c r="AA473" s="188"/>
      <c r="AB473" s="188"/>
      <c r="AC473" s="188"/>
      <c r="AD473" s="188"/>
      <c r="AE473" s="188"/>
    </row>
    <row r="474" ht="14.25" customHeight="1">
      <c r="A474" s="186" t="s">
        <v>2058</v>
      </c>
      <c r="B474" s="187" t="s">
        <v>2059</v>
      </c>
      <c r="C474" s="186" t="s">
        <v>2060</v>
      </c>
      <c r="D474" s="188"/>
      <c r="E474" s="188"/>
      <c r="F474" s="189"/>
      <c r="G474" s="188"/>
      <c r="H474" s="188"/>
      <c r="I474" s="188"/>
      <c r="J474" s="188"/>
      <c r="K474" s="188"/>
      <c r="L474" s="188"/>
      <c r="M474" s="188"/>
      <c r="N474" s="188"/>
      <c r="O474" s="188"/>
      <c r="P474" s="188"/>
      <c r="Q474" s="188"/>
      <c r="R474" s="188"/>
      <c r="S474" s="188"/>
      <c r="T474" s="188"/>
      <c r="U474" s="190"/>
      <c r="V474" s="190"/>
      <c r="W474" s="190"/>
      <c r="X474" s="188"/>
      <c r="Y474" s="188"/>
      <c r="Z474" s="190"/>
      <c r="AA474" s="188"/>
      <c r="AB474" s="188"/>
      <c r="AC474" s="188"/>
      <c r="AD474" s="188"/>
      <c r="AE474" s="188"/>
    </row>
    <row r="475" ht="14.25" customHeight="1">
      <c r="A475" s="186" t="s">
        <v>2061</v>
      </c>
      <c r="B475" s="187" t="s">
        <v>2062</v>
      </c>
      <c r="C475" s="186" t="s">
        <v>2063</v>
      </c>
      <c r="D475" s="188"/>
      <c r="E475" s="188"/>
      <c r="F475" s="189" t="s">
        <v>2064</v>
      </c>
      <c r="G475" s="188"/>
      <c r="H475" s="188"/>
      <c r="I475" s="188"/>
      <c r="J475" s="188"/>
      <c r="K475" s="188"/>
      <c r="L475" s="188"/>
      <c r="M475" s="188"/>
      <c r="N475" s="188"/>
      <c r="O475" s="188"/>
      <c r="P475" s="188"/>
      <c r="Q475" s="188"/>
      <c r="R475" s="188"/>
      <c r="S475" s="188"/>
      <c r="T475" s="188"/>
      <c r="U475" s="190"/>
      <c r="V475" s="190"/>
      <c r="W475" s="190"/>
      <c r="X475" s="188"/>
      <c r="Y475" s="188"/>
      <c r="Z475" s="190"/>
      <c r="AA475" s="188"/>
      <c r="AB475" s="188"/>
      <c r="AC475" s="188"/>
      <c r="AD475" s="188"/>
      <c r="AE475" s="188"/>
    </row>
    <row r="476" ht="14.25" customHeight="1">
      <c r="A476" s="186" t="s">
        <v>2065</v>
      </c>
      <c r="B476" s="187" t="s">
        <v>2066</v>
      </c>
      <c r="C476" s="186" t="s">
        <v>2067</v>
      </c>
      <c r="D476" s="188"/>
      <c r="E476" s="188"/>
      <c r="F476" s="189"/>
      <c r="G476" s="188"/>
      <c r="H476" s="188"/>
      <c r="I476" s="188"/>
      <c r="J476" s="188"/>
      <c r="K476" s="188"/>
      <c r="L476" s="188"/>
      <c r="M476" s="188"/>
      <c r="N476" s="188"/>
      <c r="O476" s="188"/>
      <c r="P476" s="188"/>
      <c r="Q476" s="188"/>
      <c r="R476" s="188"/>
      <c r="S476" s="188"/>
      <c r="T476" s="188"/>
      <c r="U476" s="190"/>
      <c r="V476" s="190"/>
      <c r="W476" s="190"/>
      <c r="X476" s="188"/>
      <c r="Y476" s="188"/>
      <c r="Z476" s="190"/>
      <c r="AA476" s="188"/>
      <c r="AB476" s="188"/>
      <c r="AC476" s="188"/>
      <c r="AD476" s="188"/>
      <c r="AE476" s="188"/>
    </row>
    <row r="477" ht="14.25" customHeight="1">
      <c r="A477" s="186" t="s">
        <v>2068</v>
      </c>
      <c r="B477" s="187" t="s">
        <v>2069</v>
      </c>
      <c r="C477" s="186" t="s">
        <v>2070</v>
      </c>
      <c r="D477" s="188"/>
      <c r="E477" s="188"/>
      <c r="F477" s="189" t="s">
        <v>2071</v>
      </c>
      <c r="G477" s="188"/>
      <c r="H477" s="188"/>
      <c r="I477" s="188"/>
      <c r="J477" s="188"/>
      <c r="K477" s="188"/>
      <c r="L477" s="188"/>
      <c r="M477" s="188"/>
      <c r="N477" s="188"/>
      <c r="O477" s="188"/>
      <c r="P477" s="188"/>
      <c r="Q477" s="188"/>
      <c r="R477" s="188"/>
      <c r="S477" s="188"/>
      <c r="T477" s="188"/>
      <c r="U477" s="190"/>
      <c r="V477" s="190"/>
      <c r="W477" s="190"/>
      <c r="X477" s="188"/>
      <c r="Y477" s="188"/>
      <c r="Z477" s="190"/>
      <c r="AA477" s="188"/>
      <c r="AB477" s="188"/>
      <c r="AC477" s="188"/>
      <c r="AD477" s="188"/>
      <c r="AE477" s="188"/>
    </row>
    <row r="478" ht="14.25" customHeight="1">
      <c r="A478" s="186" t="s">
        <v>2072</v>
      </c>
      <c r="B478" s="187" t="s">
        <v>2073</v>
      </c>
      <c r="C478" s="186" t="s">
        <v>2074</v>
      </c>
      <c r="D478" s="188"/>
      <c r="E478" s="188"/>
      <c r="F478" s="189" t="s">
        <v>2075</v>
      </c>
      <c r="G478" s="188"/>
      <c r="H478" s="188"/>
      <c r="I478" s="188"/>
      <c r="J478" s="188"/>
      <c r="K478" s="188"/>
      <c r="L478" s="188"/>
      <c r="M478" s="188"/>
      <c r="N478" s="188"/>
      <c r="O478" s="188"/>
      <c r="P478" s="188"/>
      <c r="Q478" s="188"/>
      <c r="R478" s="188"/>
      <c r="S478" s="188"/>
      <c r="T478" s="188"/>
      <c r="U478" s="190"/>
      <c r="V478" s="190"/>
      <c r="W478" s="190"/>
      <c r="X478" s="188"/>
      <c r="Y478" s="188"/>
      <c r="Z478" s="190"/>
      <c r="AA478" s="188"/>
      <c r="AB478" s="188"/>
      <c r="AC478" s="188"/>
      <c r="AD478" s="188"/>
      <c r="AE478" s="188"/>
    </row>
    <row r="479" ht="14.25" customHeight="1">
      <c r="A479" s="186" t="s">
        <v>2076</v>
      </c>
      <c r="B479" s="187" t="s">
        <v>2077</v>
      </c>
      <c r="C479" s="186" t="s">
        <v>2078</v>
      </c>
      <c r="D479" s="188"/>
      <c r="E479" s="188"/>
      <c r="F479" s="189" t="s">
        <v>2079</v>
      </c>
      <c r="G479" s="188"/>
      <c r="H479" s="188"/>
      <c r="I479" s="188"/>
      <c r="J479" s="188"/>
      <c r="K479" s="188"/>
      <c r="L479" s="188"/>
      <c r="M479" s="188"/>
      <c r="N479" s="188"/>
      <c r="O479" s="188"/>
      <c r="P479" s="188"/>
      <c r="Q479" s="188"/>
      <c r="R479" s="188"/>
      <c r="S479" s="188"/>
      <c r="T479" s="188"/>
      <c r="U479" s="190"/>
      <c r="V479" s="190"/>
      <c r="W479" s="190"/>
      <c r="X479" s="188"/>
      <c r="Y479" s="188"/>
      <c r="Z479" s="190"/>
      <c r="AA479" s="188"/>
      <c r="AB479" s="188"/>
      <c r="AC479" s="188"/>
      <c r="AD479" s="188"/>
      <c r="AE479" s="188"/>
    </row>
    <row r="480" ht="14.25" customHeight="1">
      <c r="A480" s="186" t="s">
        <v>2080</v>
      </c>
      <c r="B480" s="187" t="s">
        <v>2081</v>
      </c>
      <c r="C480" s="186" t="s">
        <v>2082</v>
      </c>
      <c r="D480" s="188"/>
      <c r="E480" s="188"/>
      <c r="F480" s="189" t="s">
        <v>2083</v>
      </c>
      <c r="G480" s="188"/>
      <c r="H480" s="188"/>
      <c r="I480" s="188"/>
      <c r="J480" s="188"/>
      <c r="K480" s="188"/>
      <c r="L480" s="188"/>
      <c r="M480" s="188"/>
      <c r="N480" s="188"/>
      <c r="O480" s="188"/>
      <c r="P480" s="188"/>
      <c r="Q480" s="188"/>
      <c r="R480" s="188"/>
      <c r="S480" s="188"/>
      <c r="T480" s="188"/>
      <c r="U480" s="190"/>
      <c r="V480" s="190"/>
      <c r="W480" s="190"/>
      <c r="X480" s="188"/>
      <c r="Y480" s="188"/>
      <c r="Z480" s="190"/>
      <c r="AA480" s="188"/>
      <c r="AB480" s="188"/>
      <c r="AC480" s="188"/>
      <c r="AD480" s="188"/>
      <c r="AE480" s="188"/>
    </row>
    <row r="481" ht="14.25" customHeight="1">
      <c r="A481" s="186" t="s">
        <v>2084</v>
      </c>
      <c r="B481" s="187" t="s">
        <v>2085</v>
      </c>
      <c r="C481" s="186" t="s">
        <v>2086</v>
      </c>
      <c r="D481" s="188"/>
      <c r="E481" s="188"/>
      <c r="F481" s="189" t="s">
        <v>2087</v>
      </c>
      <c r="G481" s="188"/>
      <c r="H481" s="188"/>
      <c r="I481" s="188"/>
      <c r="J481" s="188"/>
      <c r="K481" s="188"/>
      <c r="L481" s="188"/>
      <c r="M481" s="188"/>
      <c r="N481" s="188"/>
      <c r="O481" s="188"/>
      <c r="P481" s="188"/>
      <c r="Q481" s="188"/>
      <c r="R481" s="188"/>
      <c r="S481" s="188"/>
      <c r="T481" s="188"/>
      <c r="U481" s="190"/>
      <c r="V481" s="190"/>
      <c r="W481" s="190"/>
      <c r="X481" s="188"/>
      <c r="Y481" s="188"/>
      <c r="Z481" s="190"/>
      <c r="AA481" s="188"/>
      <c r="AB481" s="188"/>
      <c r="AC481" s="188"/>
      <c r="AD481" s="188"/>
      <c r="AE481" s="188"/>
    </row>
    <row r="482" ht="14.25" customHeight="1">
      <c r="A482" s="186" t="s">
        <v>2088</v>
      </c>
      <c r="B482" s="187" t="s">
        <v>2089</v>
      </c>
      <c r="C482" s="186" t="s">
        <v>2090</v>
      </c>
      <c r="D482" s="188"/>
      <c r="E482" s="188"/>
      <c r="F482" s="189" t="s">
        <v>2091</v>
      </c>
      <c r="G482" s="188"/>
      <c r="H482" s="188"/>
      <c r="I482" s="188"/>
      <c r="J482" s="188"/>
      <c r="K482" s="188"/>
      <c r="L482" s="188"/>
      <c r="M482" s="188"/>
      <c r="N482" s="188"/>
      <c r="O482" s="188"/>
      <c r="P482" s="188"/>
      <c r="Q482" s="188"/>
      <c r="R482" s="188"/>
      <c r="S482" s="188"/>
      <c r="T482" s="188"/>
      <c r="U482" s="190"/>
      <c r="V482" s="190"/>
      <c r="W482" s="190"/>
      <c r="X482" s="188"/>
      <c r="Y482" s="188"/>
      <c r="Z482" s="190"/>
      <c r="AA482" s="188"/>
      <c r="AB482" s="188"/>
      <c r="AC482" s="188"/>
      <c r="AD482" s="188"/>
      <c r="AE482" s="188"/>
    </row>
    <row r="483" ht="14.25" customHeight="1">
      <c r="A483" s="186" t="s">
        <v>2092</v>
      </c>
      <c r="B483" s="187" t="s">
        <v>2093</v>
      </c>
      <c r="C483" s="186" t="s">
        <v>2094</v>
      </c>
      <c r="D483" s="188"/>
      <c r="E483" s="188"/>
      <c r="F483" s="189" t="s">
        <v>2095</v>
      </c>
      <c r="G483" s="188"/>
      <c r="H483" s="188"/>
      <c r="I483" s="188"/>
      <c r="J483" s="188"/>
      <c r="K483" s="188"/>
      <c r="L483" s="188"/>
      <c r="M483" s="188"/>
      <c r="N483" s="188"/>
      <c r="O483" s="188"/>
      <c r="P483" s="188"/>
      <c r="Q483" s="188"/>
      <c r="R483" s="188"/>
      <c r="S483" s="188"/>
      <c r="T483" s="188"/>
      <c r="U483" s="190"/>
      <c r="V483" s="190"/>
      <c r="W483" s="190"/>
      <c r="X483" s="188"/>
      <c r="Y483" s="188"/>
      <c r="Z483" s="190"/>
      <c r="AA483" s="188"/>
      <c r="AB483" s="188"/>
      <c r="AC483" s="188"/>
      <c r="AD483" s="188"/>
      <c r="AE483" s="188"/>
    </row>
    <row r="484" ht="14.25" customHeight="1">
      <c r="A484" s="186" t="s">
        <v>2096</v>
      </c>
      <c r="B484" s="187" t="s">
        <v>2097</v>
      </c>
      <c r="C484" s="186" t="s">
        <v>2098</v>
      </c>
      <c r="D484" s="188"/>
      <c r="E484" s="188"/>
      <c r="F484" s="189" t="s">
        <v>2099</v>
      </c>
      <c r="G484" s="188"/>
      <c r="H484" s="188"/>
      <c r="I484" s="188"/>
      <c r="J484" s="188"/>
      <c r="K484" s="188"/>
      <c r="L484" s="188"/>
      <c r="M484" s="188"/>
      <c r="N484" s="188"/>
      <c r="O484" s="188"/>
      <c r="P484" s="188"/>
      <c r="Q484" s="188"/>
      <c r="R484" s="188"/>
      <c r="S484" s="188"/>
      <c r="T484" s="188"/>
      <c r="U484" s="190"/>
      <c r="V484" s="190"/>
      <c r="W484" s="190"/>
      <c r="X484" s="188"/>
      <c r="Y484" s="188"/>
      <c r="Z484" s="190"/>
      <c r="AA484" s="188"/>
      <c r="AB484" s="188"/>
      <c r="AC484" s="188"/>
      <c r="AD484" s="188"/>
      <c r="AE484" s="188"/>
    </row>
    <row r="485" ht="14.25" customHeight="1">
      <c r="A485" s="186" t="s">
        <v>2100</v>
      </c>
      <c r="B485" s="187" t="s">
        <v>2101</v>
      </c>
      <c r="C485" s="186" t="s">
        <v>2102</v>
      </c>
      <c r="D485" s="188"/>
      <c r="E485" s="188"/>
      <c r="F485" s="189" t="s">
        <v>2103</v>
      </c>
      <c r="G485" s="188"/>
      <c r="H485" s="188"/>
      <c r="I485" s="188"/>
      <c r="J485" s="188"/>
      <c r="K485" s="188"/>
      <c r="L485" s="188"/>
      <c r="M485" s="188"/>
      <c r="N485" s="188"/>
      <c r="O485" s="188"/>
      <c r="P485" s="188"/>
      <c r="Q485" s="188"/>
      <c r="R485" s="188"/>
      <c r="S485" s="188"/>
      <c r="T485" s="188"/>
      <c r="U485" s="190"/>
      <c r="V485" s="190"/>
      <c r="W485" s="190"/>
      <c r="X485" s="188"/>
      <c r="Y485" s="188"/>
      <c r="Z485" s="190"/>
      <c r="AA485" s="188"/>
      <c r="AB485" s="188"/>
      <c r="AC485" s="188"/>
      <c r="AD485" s="188"/>
      <c r="AE485" s="188"/>
    </row>
    <row r="486" ht="14.25" customHeight="1">
      <c r="A486" s="186" t="s">
        <v>2104</v>
      </c>
      <c r="B486" s="187" t="s">
        <v>2105</v>
      </c>
      <c r="C486" s="186" t="s">
        <v>2106</v>
      </c>
      <c r="D486" s="188"/>
      <c r="E486" s="188"/>
      <c r="F486" s="189" t="s">
        <v>2107</v>
      </c>
      <c r="G486" s="188"/>
      <c r="H486" s="188"/>
      <c r="I486" s="188"/>
      <c r="J486" s="188"/>
      <c r="K486" s="188"/>
      <c r="L486" s="188"/>
      <c r="M486" s="188"/>
      <c r="N486" s="188"/>
      <c r="O486" s="188"/>
      <c r="P486" s="188"/>
      <c r="Q486" s="188"/>
      <c r="R486" s="188"/>
      <c r="S486" s="188"/>
      <c r="T486" s="188"/>
      <c r="U486" s="190"/>
      <c r="V486" s="190"/>
      <c r="W486" s="190"/>
      <c r="X486" s="188"/>
      <c r="Y486" s="188"/>
      <c r="Z486" s="190"/>
      <c r="AA486" s="188"/>
      <c r="AB486" s="188"/>
      <c r="AC486" s="188"/>
      <c r="AD486" s="188"/>
      <c r="AE486" s="188"/>
    </row>
    <row r="487" ht="14.25" customHeight="1">
      <c r="A487" s="186" t="s">
        <v>2108</v>
      </c>
      <c r="B487" s="187" t="s">
        <v>2109</v>
      </c>
      <c r="C487" s="186" t="s">
        <v>2110</v>
      </c>
      <c r="D487" s="188"/>
      <c r="E487" s="188"/>
      <c r="F487" s="189" t="s">
        <v>2111</v>
      </c>
      <c r="G487" s="188"/>
      <c r="H487" s="188"/>
      <c r="I487" s="188"/>
      <c r="J487" s="188"/>
      <c r="K487" s="188"/>
      <c r="L487" s="188"/>
      <c r="M487" s="188"/>
      <c r="N487" s="188"/>
      <c r="O487" s="188"/>
      <c r="P487" s="188"/>
      <c r="Q487" s="188"/>
      <c r="R487" s="188"/>
      <c r="S487" s="188"/>
      <c r="T487" s="188"/>
      <c r="U487" s="190"/>
      <c r="V487" s="190"/>
      <c r="W487" s="190"/>
      <c r="X487" s="188"/>
      <c r="Y487" s="188"/>
      <c r="Z487" s="190"/>
      <c r="AA487" s="188"/>
      <c r="AB487" s="188"/>
      <c r="AC487" s="188"/>
      <c r="AD487" s="188"/>
      <c r="AE487" s="188"/>
    </row>
    <row r="488" ht="14.25" customHeight="1">
      <c r="A488" s="186" t="s">
        <v>2112</v>
      </c>
      <c r="B488" s="187" t="s">
        <v>2113</v>
      </c>
      <c r="C488" s="186" t="s">
        <v>2114</v>
      </c>
      <c r="D488" s="188"/>
      <c r="E488" s="188"/>
      <c r="F488" s="189" t="s">
        <v>2115</v>
      </c>
      <c r="G488" s="188"/>
      <c r="H488" s="188"/>
      <c r="I488" s="188"/>
      <c r="J488" s="188"/>
      <c r="K488" s="188"/>
      <c r="L488" s="188"/>
      <c r="M488" s="188"/>
      <c r="N488" s="188"/>
      <c r="O488" s="188"/>
      <c r="P488" s="188"/>
      <c r="Q488" s="188"/>
      <c r="R488" s="188"/>
      <c r="S488" s="188"/>
      <c r="T488" s="188"/>
      <c r="U488" s="190"/>
      <c r="V488" s="190"/>
      <c r="W488" s="190"/>
      <c r="X488" s="188"/>
      <c r="Y488" s="188"/>
      <c r="Z488" s="190"/>
      <c r="AA488" s="188"/>
      <c r="AB488" s="188"/>
      <c r="AC488" s="188"/>
      <c r="AD488" s="188"/>
      <c r="AE488" s="188"/>
    </row>
    <row r="489" ht="14.25" customHeight="1">
      <c r="A489" s="186" t="s">
        <v>2116</v>
      </c>
      <c r="B489" s="187" t="s">
        <v>2117</v>
      </c>
      <c r="C489" s="186" t="s">
        <v>2118</v>
      </c>
      <c r="D489" s="188"/>
      <c r="E489" s="188"/>
      <c r="F489" s="189" t="s">
        <v>2119</v>
      </c>
      <c r="G489" s="188"/>
      <c r="H489" s="188"/>
      <c r="I489" s="188"/>
      <c r="J489" s="188"/>
      <c r="K489" s="188"/>
      <c r="L489" s="188"/>
      <c r="M489" s="188"/>
      <c r="N489" s="188"/>
      <c r="O489" s="188"/>
      <c r="P489" s="188"/>
      <c r="Q489" s="188"/>
      <c r="R489" s="188"/>
      <c r="S489" s="188"/>
      <c r="T489" s="188"/>
      <c r="U489" s="190"/>
      <c r="V489" s="190"/>
      <c r="W489" s="190"/>
      <c r="X489" s="188"/>
      <c r="Y489" s="188"/>
      <c r="Z489" s="190"/>
      <c r="AA489" s="188"/>
      <c r="AB489" s="188"/>
      <c r="AC489" s="188"/>
      <c r="AD489" s="188"/>
      <c r="AE489" s="188"/>
    </row>
    <row r="490" ht="14.25" customHeight="1">
      <c r="A490" s="186" t="s">
        <v>2120</v>
      </c>
      <c r="B490" s="187" t="s">
        <v>2121</v>
      </c>
      <c r="C490" s="186" t="s">
        <v>2122</v>
      </c>
      <c r="D490" s="188"/>
      <c r="E490" s="188"/>
      <c r="F490" s="189"/>
      <c r="G490" s="188"/>
      <c r="H490" s="188"/>
      <c r="I490" s="188"/>
      <c r="J490" s="188"/>
      <c r="K490" s="188"/>
      <c r="L490" s="188"/>
      <c r="M490" s="188"/>
      <c r="N490" s="188"/>
      <c r="O490" s="188"/>
      <c r="P490" s="188"/>
      <c r="Q490" s="188"/>
      <c r="R490" s="188"/>
      <c r="S490" s="188"/>
      <c r="T490" s="188"/>
      <c r="U490" s="190"/>
      <c r="V490" s="190"/>
      <c r="W490" s="190"/>
      <c r="X490" s="188"/>
      <c r="Y490" s="188"/>
      <c r="Z490" s="190"/>
      <c r="AA490" s="188"/>
      <c r="AB490" s="188"/>
      <c r="AC490" s="188"/>
      <c r="AD490" s="188"/>
      <c r="AE490" s="188"/>
    </row>
    <row r="491" ht="14.25" customHeight="1">
      <c r="A491" s="186" t="s">
        <v>2123</v>
      </c>
      <c r="B491" s="187" t="s">
        <v>2124</v>
      </c>
      <c r="C491" s="186" t="s">
        <v>2125</v>
      </c>
      <c r="D491" s="188"/>
      <c r="E491" s="188"/>
      <c r="F491" s="189" t="s">
        <v>2126</v>
      </c>
      <c r="G491" s="188"/>
      <c r="H491" s="188"/>
      <c r="I491" s="188"/>
      <c r="J491" s="188"/>
      <c r="K491" s="188"/>
      <c r="L491" s="188"/>
      <c r="M491" s="188"/>
      <c r="N491" s="188"/>
      <c r="O491" s="188"/>
      <c r="P491" s="188"/>
      <c r="Q491" s="188"/>
      <c r="R491" s="188"/>
      <c r="S491" s="188"/>
      <c r="T491" s="188"/>
      <c r="U491" s="190"/>
      <c r="V491" s="190"/>
      <c r="W491" s="190"/>
      <c r="X491" s="188"/>
      <c r="Y491" s="188"/>
      <c r="Z491" s="190"/>
      <c r="AA491" s="188"/>
      <c r="AB491" s="188"/>
      <c r="AC491" s="188"/>
      <c r="AD491" s="188"/>
      <c r="AE491" s="188"/>
    </row>
    <row r="492" ht="14.25" customHeight="1">
      <c r="A492" s="186" t="s">
        <v>2127</v>
      </c>
      <c r="B492" s="187" t="s">
        <v>2128</v>
      </c>
      <c r="C492" s="186" t="s">
        <v>2129</v>
      </c>
      <c r="D492" s="188"/>
      <c r="E492" s="188"/>
      <c r="F492" s="189" t="s">
        <v>2130</v>
      </c>
      <c r="G492" s="188"/>
      <c r="H492" s="188"/>
      <c r="I492" s="188"/>
      <c r="J492" s="188"/>
      <c r="K492" s="188"/>
      <c r="L492" s="188"/>
      <c r="M492" s="188"/>
      <c r="N492" s="188"/>
      <c r="O492" s="188"/>
      <c r="P492" s="188"/>
      <c r="Q492" s="188"/>
      <c r="R492" s="188"/>
      <c r="S492" s="188"/>
      <c r="T492" s="188"/>
      <c r="U492" s="190"/>
      <c r="V492" s="190"/>
      <c r="W492" s="190"/>
      <c r="X492" s="188"/>
      <c r="Y492" s="188"/>
      <c r="Z492" s="190"/>
      <c r="AA492" s="188"/>
      <c r="AB492" s="188"/>
      <c r="AC492" s="188"/>
      <c r="AD492" s="188"/>
      <c r="AE492" s="188"/>
    </row>
    <row r="493" ht="14.25" customHeight="1">
      <c r="A493" s="186" t="s">
        <v>2131</v>
      </c>
      <c r="B493" s="187" t="s">
        <v>2132</v>
      </c>
      <c r="C493" s="186" t="s">
        <v>2133</v>
      </c>
      <c r="D493" s="188"/>
      <c r="E493" s="188"/>
      <c r="F493" s="189" t="s">
        <v>2134</v>
      </c>
      <c r="G493" s="188"/>
      <c r="H493" s="188"/>
      <c r="I493" s="188"/>
      <c r="J493" s="188"/>
      <c r="K493" s="188"/>
      <c r="L493" s="188"/>
      <c r="M493" s="188"/>
      <c r="N493" s="188"/>
      <c r="O493" s="188"/>
      <c r="P493" s="188"/>
      <c r="Q493" s="188"/>
      <c r="R493" s="188"/>
      <c r="S493" s="188"/>
      <c r="T493" s="188"/>
      <c r="U493" s="190"/>
      <c r="V493" s="190"/>
      <c r="W493" s="190"/>
      <c r="X493" s="188"/>
      <c r="Y493" s="188"/>
      <c r="Z493" s="190"/>
      <c r="AA493" s="188"/>
      <c r="AB493" s="188"/>
      <c r="AC493" s="188"/>
      <c r="AD493" s="188"/>
      <c r="AE493" s="188"/>
    </row>
    <row r="494" ht="14.25" customHeight="1">
      <c r="A494" s="186" t="s">
        <v>2135</v>
      </c>
      <c r="B494" s="187" t="s">
        <v>2136</v>
      </c>
      <c r="C494" s="186" t="s">
        <v>2137</v>
      </c>
      <c r="D494" s="188"/>
      <c r="E494" s="188"/>
      <c r="F494" s="189" t="s">
        <v>2138</v>
      </c>
      <c r="G494" s="188"/>
      <c r="H494" s="188"/>
      <c r="I494" s="188"/>
      <c r="J494" s="188"/>
      <c r="K494" s="188"/>
      <c r="L494" s="188"/>
      <c r="M494" s="188"/>
      <c r="N494" s="188"/>
      <c r="O494" s="188"/>
      <c r="P494" s="188"/>
      <c r="Q494" s="188"/>
      <c r="R494" s="188"/>
      <c r="S494" s="188"/>
      <c r="T494" s="188"/>
      <c r="U494" s="190"/>
      <c r="V494" s="190"/>
      <c r="W494" s="190"/>
      <c r="X494" s="188"/>
      <c r="Y494" s="188"/>
      <c r="Z494" s="190"/>
      <c r="AA494" s="188"/>
      <c r="AB494" s="188"/>
      <c r="AC494" s="188"/>
      <c r="AD494" s="188"/>
      <c r="AE494" s="188"/>
    </row>
    <row r="495" ht="14.25" customHeight="1">
      <c r="A495" s="186" t="s">
        <v>2139</v>
      </c>
      <c r="B495" s="187" t="s">
        <v>2140</v>
      </c>
      <c r="C495" s="186" t="s">
        <v>2141</v>
      </c>
      <c r="D495" s="188"/>
      <c r="E495" s="188"/>
      <c r="F495" s="189" t="s">
        <v>2142</v>
      </c>
      <c r="G495" s="188"/>
      <c r="H495" s="188"/>
      <c r="I495" s="188"/>
      <c r="J495" s="188"/>
      <c r="K495" s="188"/>
      <c r="L495" s="188"/>
      <c r="M495" s="188"/>
      <c r="N495" s="188"/>
      <c r="O495" s="188"/>
      <c r="P495" s="188"/>
      <c r="Q495" s="188"/>
      <c r="R495" s="188"/>
      <c r="S495" s="188"/>
      <c r="T495" s="188"/>
      <c r="U495" s="190"/>
      <c r="V495" s="190"/>
      <c r="W495" s="190"/>
      <c r="X495" s="188"/>
      <c r="Y495" s="188"/>
      <c r="Z495" s="190"/>
      <c r="AA495" s="188"/>
      <c r="AB495" s="188"/>
      <c r="AC495" s="188"/>
      <c r="AD495" s="188"/>
      <c r="AE495" s="188"/>
    </row>
    <row r="496" ht="14.25" customHeight="1">
      <c r="A496" s="186" t="s">
        <v>2143</v>
      </c>
      <c r="B496" s="187" t="s">
        <v>2144</v>
      </c>
      <c r="C496" s="186" t="s">
        <v>2145</v>
      </c>
      <c r="D496" s="188"/>
      <c r="E496" s="188"/>
      <c r="F496" s="189" t="s">
        <v>2146</v>
      </c>
      <c r="G496" s="188"/>
      <c r="H496" s="188"/>
      <c r="I496" s="188"/>
      <c r="J496" s="188"/>
      <c r="K496" s="188"/>
      <c r="L496" s="188"/>
      <c r="M496" s="188"/>
      <c r="N496" s="188"/>
      <c r="O496" s="188"/>
      <c r="P496" s="188"/>
      <c r="Q496" s="188"/>
      <c r="R496" s="188"/>
      <c r="S496" s="188"/>
      <c r="T496" s="188"/>
      <c r="U496" s="190"/>
      <c r="V496" s="190"/>
      <c r="W496" s="190"/>
      <c r="X496" s="188"/>
      <c r="Y496" s="188"/>
      <c r="Z496" s="190"/>
      <c r="AA496" s="188"/>
      <c r="AB496" s="188"/>
      <c r="AC496" s="188"/>
      <c r="AD496" s="188"/>
      <c r="AE496" s="188"/>
    </row>
    <row r="497" ht="14.25" customHeight="1">
      <c r="A497" s="186" t="s">
        <v>2147</v>
      </c>
      <c r="B497" s="187" t="s">
        <v>2148</v>
      </c>
      <c r="C497" s="186" t="s">
        <v>2149</v>
      </c>
      <c r="D497" s="188"/>
      <c r="E497" s="188"/>
      <c r="F497" s="189" t="s">
        <v>2150</v>
      </c>
      <c r="G497" s="188"/>
      <c r="H497" s="188"/>
      <c r="I497" s="188"/>
      <c r="J497" s="188"/>
      <c r="K497" s="188"/>
      <c r="L497" s="188"/>
      <c r="M497" s="188"/>
      <c r="N497" s="188"/>
      <c r="O497" s="188"/>
      <c r="P497" s="188"/>
      <c r="Q497" s="188"/>
      <c r="R497" s="188"/>
      <c r="S497" s="188"/>
      <c r="T497" s="188"/>
      <c r="U497" s="190"/>
      <c r="V497" s="190"/>
      <c r="W497" s="190"/>
      <c r="X497" s="188"/>
      <c r="Y497" s="188"/>
      <c r="Z497" s="190"/>
      <c r="AA497" s="188"/>
      <c r="AB497" s="188"/>
      <c r="AC497" s="188"/>
      <c r="AD497" s="188"/>
      <c r="AE497" s="188"/>
    </row>
    <row r="498" ht="14.25" customHeight="1">
      <c r="A498" s="186" t="s">
        <v>2151</v>
      </c>
      <c r="B498" s="187" t="s">
        <v>2152</v>
      </c>
      <c r="C498" s="186" t="s">
        <v>2153</v>
      </c>
      <c r="D498" s="188"/>
      <c r="E498" s="188"/>
      <c r="F498" s="189" t="s">
        <v>2154</v>
      </c>
      <c r="G498" s="188"/>
      <c r="H498" s="188"/>
      <c r="I498" s="188"/>
      <c r="J498" s="188"/>
      <c r="K498" s="188"/>
      <c r="L498" s="188"/>
      <c r="M498" s="188"/>
      <c r="N498" s="188"/>
      <c r="O498" s="188"/>
      <c r="P498" s="188"/>
      <c r="Q498" s="188"/>
      <c r="R498" s="188"/>
      <c r="S498" s="188"/>
      <c r="T498" s="188"/>
      <c r="U498" s="190"/>
      <c r="V498" s="190"/>
      <c r="W498" s="190"/>
      <c r="X498" s="188"/>
      <c r="Y498" s="188"/>
      <c r="Z498" s="190"/>
      <c r="AA498" s="188"/>
      <c r="AB498" s="188"/>
      <c r="AC498" s="188"/>
      <c r="AD498" s="188"/>
      <c r="AE498" s="188"/>
    </row>
    <row r="499" ht="14.25" customHeight="1">
      <c r="A499" s="186" t="s">
        <v>2155</v>
      </c>
      <c r="B499" s="187" t="s">
        <v>2156</v>
      </c>
      <c r="C499" s="186" t="s">
        <v>2157</v>
      </c>
      <c r="D499" s="188"/>
      <c r="E499" s="188"/>
      <c r="F499" s="189" t="s">
        <v>2158</v>
      </c>
      <c r="G499" s="188"/>
      <c r="H499" s="188"/>
      <c r="I499" s="188"/>
      <c r="J499" s="188"/>
      <c r="K499" s="188"/>
      <c r="L499" s="188"/>
      <c r="M499" s="188"/>
      <c r="N499" s="188"/>
      <c r="O499" s="188"/>
      <c r="P499" s="188"/>
      <c r="Q499" s="188"/>
      <c r="R499" s="188"/>
      <c r="S499" s="188"/>
      <c r="T499" s="188"/>
      <c r="U499" s="190"/>
      <c r="V499" s="190"/>
      <c r="W499" s="190"/>
      <c r="X499" s="188"/>
      <c r="Y499" s="188"/>
      <c r="Z499" s="190"/>
      <c r="AA499" s="188"/>
      <c r="AB499" s="188"/>
      <c r="AC499" s="188"/>
      <c r="AD499" s="188"/>
      <c r="AE499" s="188"/>
    </row>
    <row r="500" ht="14.25" customHeight="1">
      <c r="A500" s="186" t="s">
        <v>2159</v>
      </c>
      <c r="B500" s="187" t="s">
        <v>2160</v>
      </c>
      <c r="C500" s="186" t="s">
        <v>2161</v>
      </c>
      <c r="D500" s="188"/>
      <c r="E500" s="188"/>
      <c r="F500" s="189" t="s">
        <v>2162</v>
      </c>
      <c r="G500" s="188"/>
      <c r="H500" s="188"/>
      <c r="I500" s="188"/>
      <c r="J500" s="188"/>
      <c r="K500" s="188"/>
      <c r="L500" s="188"/>
      <c r="M500" s="188"/>
      <c r="N500" s="188"/>
      <c r="O500" s="188"/>
      <c r="P500" s="188"/>
      <c r="Q500" s="188"/>
      <c r="R500" s="188"/>
      <c r="S500" s="188"/>
      <c r="T500" s="188"/>
      <c r="U500" s="190"/>
      <c r="V500" s="190"/>
      <c r="W500" s="190"/>
      <c r="X500" s="188"/>
      <c r="Y500" s="188"/>
      <c r="Z500" s="190"/>
      <c r="AA500" s="188"/>
      <c r="AB500" s="188"/>
      <c r="AC500" s="188"/>
      <c r="AD500" s="188"/>
      <c r="AE500" s="188"/>
    </row>
    <row r="501" ht="14.25" customHeight="1">
      <c r="A501" s="186" t="s">
        <v>2163</v>
      </c>
      <c r="B501" s="187" t="s">
        <v>2164</v>
      </c>
      <c r="C501" s="186" t="s">
        <v>2165</v>
      </c>
      <c r="D501" s="188"/>
      <c r="E501" s="188"/>
      <c r="F501" s="189" t="s">
        <v>2166</v>
      </c>
      <c r="G501" s="188"/>
      <c r="H501" s="188"/>
      <c r="I501" s="188"/>
      <c r="J501" s="188"/>
      <c r="K501" s="188"/>
      <c r="L501" s="188"/>
      <c r="M501" s="188"/>
      <c r="N501" s="188"/>
      <c r="O501" s="188"/>
      <c r="P501" s="188"/>
      <c r="Q501" s="188"/>
      <c r="R501" s="188"/>
      <c r="S501" s="188"/>
      <c r="T501" s="188"/>
      <c r="U501" s="190"/>
      <c r="V501" s="190"/>
      <c r="W501" s="190"/>
      <c r="X501" s="188"/>
      <c r="Y501" s="188"/>
      <c r="Z501" s="190"/>
      <c r="AA501" s="188"/>
      <c r="AB501" s="188"/>
      <c r="AC501" s="188"/>
      <c r="AD501" s="188"/>
      <c r="AE501" s="188"/>
    </row>
    <row r="502" ht="14.25" customHeight="1">
      <c r="A502" s="186" t="s">
        <v>2167</v>
      </c>
      <c r="B502" s="187" t="s">
        <v>2168</v>
      </c>
      <c r="C502" s="186" t="s">
        <v>2169</v>
      </c>
      <c r="D502" s="188"/>
      <c r="E502" s="188"/>
      <c r="F502" s="189" t="s">
        <v>2170</v>
      </c>
      <c r="G502" s="188"/>
      <c r="H502" s="188"/>
      <c r="I502" s="188"/>
      <c r="J502" s="188"/>
      <c r="K502" s="188"/>
      <c r="L502" s="188"/>
      <c r="M502" s="188"/>
      <c r="N502" s="188"/>
      <c r="O502" s="188"/>
      <c r="P502" s="188"/>
      <c r="Q502" s="188"/>
      <c r="R502" s="188"/>
      <c r="S502" s="188"/>
      <c r="T502" s="188"/>
      <c r="U502" s="190"/>
      <c r="V502" s="190"/>
      <c r="W502" s="190"/>
      <c r="X502" s="188"/>
      <c r="Y502" s="188"/>
      <c r="Z502" s="190"/>
      <c r="AA502" s="188"/>
      <c r="AB502" s="188"/>
      <c r="AC502" s="188"/>
      <c r="AD502" s="188"/>
      <c r="AE502" s="188"/>
    </row>
    <row r="503" ht="14.25" customHeight="1">
      <c r="A503" s="186" t="s">
        <v>2171</v>
      </c>
      <c r="B503" s="187" t="s">
        <v>2172</v>
      </c>
      <c r="C503" s="186" t="s">
        <v>2173</v>
      </c>
      <c r="D503" s="188"/>
      <c r="E503" s="188"/>
      <c r="F503" s="189" t="s">
        <v>2174</v>
      </c>
      <c r="G503" s="188"/>
      <c r="H503" s="188"/>
      <c r="I503" s="188"/>
      <c r="J503" s="188"/>
      <c r="K503" s="188"/>
      <c r="L503" s="188"/>
      <c r="M503" s="188"/>
      <c r="N503" s="188"/>
      <c r="O503" s="188"/>
      <c r="P503" s="188"/>
      <c r="Q503" s="188"/>
      <c r="R503" s="188"/>
      <c r="S503" s="188"/>
      <c r="T503" s="188"/>
      <c r="U503" s="190"/>
      <c r="V503" s="190"/>
      <c r="W503" s="190"/>
      <c r="X503" s="188"/>
      <c r="Y503" s="188"/>
      <c r="Z503" s="190"/>
      <c r="AA503" s="188"/>
      <c r="AB503" s="188"/>
      <c r="AC503" s="188"/>
      <c r="AD503" s="188"/>
      <c r="AE503" s="188"/>
    </row>
    <row r="504" ht="14.25" customHeight="1">
      <c r="A504" s="186" t="s">
        <v>2175</v>
      </c>
      <c r="B504" s="187" t="s">
        <v>2176</v>
      </c>
      <c r="C504" s="186" t="s">
        <v>2177</v>
      </c>
      <c r="D504" s="188"/>
      <c r="E504" s="188"/>
      <c r="F504" s="189" t="s">
        <v>2178</v>
      </c>
      <c r="G504" s="188"/>
      <c r="H504" s="188"/>
      <c r="I504" s="188"/>
      <c r="J504" s="188"/>
      <c r="K504" s="188"/>
      <c r="L504" s="188"/>
      <c r="M504" s="188"/>
      <c r="N504" s="188"/>
      <c r="O504" s="188"/>
      <c r="P504" s="188"/>
      <c r="Q504" s="188"/>
      <c r="R504" s="188"/>
      <c r="S504" s="188"/>
      <c r="T504" s="188"/>
      <c r="U504" s="190"/>
      <c r="V504" s="190"/>
      <c r="W504" s="190"/>
      <c r="X504" s="188"/>
      <c r="Y504" s="188"/>
      <c r="Z504" s="190"/>
      <c r="AA504" s="188"/>
      <c r="AB504" s="188"/>
      <c r="AC504" s="188"/>
      <c r="AD504" s="188"/>
      <c r="AE504" s="188"/>
    </row>
    <row r="505" ht="14.25" customHeight="1">
      <c r="A505" s="186" t="s">
        <v>2179</v>
      </c>
      <c r="B505" s="187" t="s">
        <v>2180</v>
      </c>
      <c r="C505" s="186" t="s">
        <v>2181</v>
      </c>
      <c r="D505" s="188"/>
      <c r="E505" s="188"/>
      <c r="F505" s="189" t="s">
        <v>2182</v>
      </c>
      <c r="G505" s="188"/>
      <c r="H505" s="188"/>
      <c r="I505" s="188"/>
      <c r="J505" s="188"/>
      <c r="K505" s="188"/>
      <c r="L505" s="188"/>
      <c r="M505" s="188"/>
      <c r="N505" s="188"/>
      <c r="O505" s="188"/>
      <c r="P505" s="188"/>
      <c r="Q505" s="188"/>
      <c r="R505" s="188"/>
      <c r="S505" s="188"/>
      <c r="T505" s="188"/>
      <c r="U505" s="190"/>
      <c r="V505" s="190"/>
      <c r="W505" s="190"/>
      <c r="X505" s="188"/>
      <c r="Y505" s="188"/>
      <c r="Z505" s="190"/>
      <c r="AA505" s="188"/>
      <c r="AB505" s="188"/>
      <c r="AC505" s="188"/>
      <c r="AD505" s="188"/>
      <c r="AE505" s="188"/>
    </row>
    <row r="506" ht="14.25" customHeight="1">
      <c r="A506" s="186" t="s">
        <v>2183</v>
      </c>
      <c r="B506" s="187" t="s">
        <v>2184</v>
      </c>
      <c r="C506" s="186" t="s">
        <v>2185</v>
      </c>
      <c r="D506" s="188"/>
      <c r="E506" s="188"/>
      <c r="F506" s="189" t="s">
        <v>2186</v>
      </c>
      <c r="G506" s="188"/>
      <c r="H506" s="188"/>
      <c r="I506" s="188"/>
      <c r="J506" s="188"/>
      <c r="K506" s="188"/>
      <c r="L506" s="188"/>
      <c r="M506" s="188"/>
      <c r="N506" s="188"/>
      <c r="O506" s="188"/>
      <c r="P506" s="188"/>
      <c r="Q506" s="188"/>
      <c r="R506" s="188"/>
      <c r="S506" s="188"/>
      <c r="T506" s="188"/>
      <c r="U506" s="190"/>
      <c r="V506" s="190"/>
      <c r="W506" s="190"/>
      <c r="X506" s="188"/>
      <c r="Y506" s="188"/>
      <c r="Z506" s="190"/>
      <c r="AA506" s="188"/>
      <c r="AB506" s="188"/>
      <c r="AC506" s="188"/>
      <c r="AD506" s="188"/>
      <c r="AE506" s="188"/>
    </row>
    <row r="507" ht="14.25" customHeight="1">
      <c r="A507" s="186" t="s">
        <v>2187</v>
      </c>
      <c r="B507" s="187" t="s">
        <v>2188</v>
      </c>
      <c r="C507" s="186" t="s">
        <v>2189</v>
      </c>
      <c r="D507" s="188"/>
      <c r="E507" s="188"/>
      <c r="F507" s="189" t="s">
        <v>2190</v>
      </c>
      <c r="G507" s="188"/>
      <c r="H507" s="188"/>
      <c r="I507" s="188"/>
      <c r="J507" s="188"/>
      <c r="K507" s="188"/>
      <c r="L507" s="188"/>
      <c r="M507" s="188"/>
      <c r="N507" s="188"/>
      <c r="O507" s="188"/>
      <c r="P507" s="188"/>
      <c r="Q507" s="188"/>
      <c r="R507" s="188"/>
      <c r="S507" s="188"/>
      <c r="T507" s="188"/>
      <c r="U507" s="190"/>
      <c r="V507" s="190"/>
      <c r="W507" s="190"/>
      <c r="X507" s="188"/>
      <c r="Y507" s="188"/>
      <c r="Z507" s="190"/>
      <c r="AA507" s="188"/>
      <c r="AB507" s="188"/>
      <c r="AC507" s="188"/>
      <c r="AD507" s="188"/>
      <c r="AE507" s="188"/>
    </row>
    <row r="508" ht="14.25" customHeight="1">
      <c r="A508" s="186" t="s">
        <v>2191</v>
      </c>
      <c r="B508" s="187" t="s">
        <v>2192</v>
      </c>
      <c r="C508" s="186" t="s">
        <v>2193</v>
      </c>
      <c r="D508" s="188"/>
      <c r="E508" s="188"/>
      <c r="F508" s="189" t="s">
        <v>2194</v>
      </c>
      <c r="G508" s="188"/>
      <c r="H508" s="188"/>
      <c r="I508" s="188"/>
      <c r="J508" s="188"/>
      <c r="K508" s="188"/>
      <c r="L508" s="188"/>
      <c r="M508" s="188"/>
      <c r="N508" s="188"/>
      <c r="O508" s="188"/>
      <c r="P508" s="188"/>
      <c r="Q508" s="188"/>
      <c r="R508" s="188"/>
      <c r="S508" s="188"/>
      <c r="T508" s="188"/>
      <c r="U508" s="190"/>
      <c r="V508" s="190"/>
      <c r="W508" s="190"/>
      <c r="X508" s="188"/>
      <c r="Y508" s="188"/>
      <c r="Z508" s="190"/>
      <c r="AA508" s="188"/>
      <c r="AB508" s="188"/>
      <c r="AC508" s="188"/>
      <c r="AD508" s="188"/>
      <c r="AE508" s="188"/>
    </row>
    <row r="509" ht="14.25" customHeight="1">
      <c r="A509" s="186" t="s">
        <v>2195</v>
      </c>
      <c r="B509" s="187" t="s">
        <v>2196</v>
      </c>
      <c r="C509" s="186" t="s">
        <v>2197</v>
      </c>
      <c r="D509" s="188"/>
      <c r="E509" s="188"/>
      <c r="F509" s="189" t="s">
        <v>2198</v>
      </c>
      <c r="G509" s="188"/>
      <c r="H509" s="188"/>
      <c r="I509" s="188"/>
      <c r="J509" s="188"/>
      <c r="K509" s="188"/>
      <c r="L509" s="188"/>
      <c r="M509" s="188"/>
      <c r="N509" s="188"/>
      <c r="O509" s="188"/>
      <c r="P509" s="188"/>
      <c r="Q509" s="188"/>
      <c r="R509" s="188"/>
      <c r="S509" s="188"/>
      <c r="T509" s="188"/>
      <c r="U509" s="190"/>
      <c r="V509" s="190"/>
      <c r="W509" s="190"/>
      <c r="X509" s="188"/>
      <c r="Y509" s="188"/>
      <c r="Z509" s="190"/>
      <c r="AA509" s="188"/>
      <c r="AB509" s="188"/>
      <c r="AC509" s="188"/>
      <c r="AD509" s="188"/>
      <c r="AE509" s="188"/>
    </row>
    <row r="510" ht="14.25" customHeight="1">
      <c r="A510" s="186" t="s">
        <v>2199</v>
      </c>
      <c r="B510" s="187" t="s">
        <v>2200</v>
      </c>
      <c r="C510" s="186" t="s">
        <v>2201</v>
      </c>
      <c r="D510" s="188"/>
      <c r="E510" s="188"/>
      <c r="F510" s="189" t="s">
        <v>2202</v>
      </c>
      <c r="G510" s="188"/>
      <c r="H510" s="188"/>
      <c r="I510" s="188"/>
      <c r="J510" s="188"/>
      <c r="K510" s="188"/>
      <c r="L510" s="188"/>
      <c r="M510" s="188"/>
      <c r="N510" s="188"/>
      <c r="O510" s="188"/>
      <c r="P510" s="188"/>
      <c r="Q510" s="188"/>
      <c r="R510" s="188"/>
      <c r="S510" s="188"/>
      <c r="T510" s="188"/>
      <c r="U510" s="190"/>
      <c r="V510" s="190"/>
      <c r="W510" s="190"/>
      <c r="X510" s="188"/>
      <c r="Y510" s="188"/>
      <c r="Z510" s="190"/>
      <c r="AA510" s="188"/>
      <c r="AB510" s="188"/>
      <c r="AC510" s="188"/>
      <c r="AD510" s="188"/>
      <c r="AE510" s="188"/>
    </row>
    <row r="511" ht="14.25" customHeight="1">
      <c r="A511" s="186" t="s">
        <v>2203</v>
      </c>
      <c r="B511" s="187" t="s">
        <v>2204</v>
      </c>
      <c r="C511" s="186" t="s">
        <v>2205</v>
      </c>
      <c r="D511" s="188"/>
      <c r="E511" s="188"/>
      <c r="F511" s="189" t="s">
        <v>2206</v>
      </c>
      <c r="G511" s="188"/>
      <c r="H511" s="188"/>
      <c r="I511" s="188"/>
      <c r="J511" s="188"/>
      <c r="K511" s="188"/>
      <c r="L511" s="188"/>
      <c r="M511" s="188"/>
      <c r="N511" s="188"/>
      <c r="O511" s="188"/>
      <c r="P511" s="188"/>
      <c r="Q511" s="188"/>
      <c r="R511" s="188"/>
      <c r="S511" s="188"/>
      <c r="T511" s="188"/>
      <c r="U511" s="190"/>
      <c r="V511" s="190"/>
      <c r="W511" s="190"/>
      <c r="X511" s="188"/>
      <c r="Y511" s="188"/>
      <c r="Z511" s="190"/>
      <c r="AA511" s="188"/>
      <c r="AB511" s="188"/>
      <c r="AC511" s="188"/>
      <c r="AD511" s="188"/>
      <c r="AE511" s="188"/>
    </row>
    <row r="512" ht="14.25" customHeight="1">
      <c r="A512" s="186" t="s">
        <v>2207</v>
      </c>
      <c r="B512" s="187" t="s">
        <v>2208</v>
      </c>
      <c r="C512" s="186" t="s">
        <v>2209</v>
      </c>
      <c r="D512" s="188"/>
      <c r="E512" s="188"/>
      <c r="F512" s="189" t="s">
        <v>2210</v>
      </c>
      <c r="G512" s="188"/>
      <c r="H512" s="188"/>
      <c r="I512" s="188"/>
      <c r="J512" s="188"/>
      <c r="K512" s="188"/>
      <c r="L512" s="188"/>
      <c r="M512" s="188"/>
      <c r="N512" s="188"/>
      <c r="O512" s="188"/>
      <c r="P512" s="188"/>
      <c r="Q512" s="188"/>
      <c r="R512" s="188"/>
      <c r="S512" s="188"/>
      <c r="T512" s="188"/>
      <c r="U512" s="190"/>
      <c r="V512" s="190"/>
      <c r="W512" s="190"/>
      <c r="X512" s="188"/>
      <c r="Y512" s="188"/>
      <c r="Z512" s="190"/>
      <c r="AA512" s="188"/>
      <c r="AB512" s="188"/>
      <c r="AC512" s="188"/>
      <c r="AD512" s="188"/>
      <c r="AE512" s="188"/>
    </row>
    <row r="513" ht="14.25" customHeight="1">
      <c r="A513" s="186" t="s">
        <v>2211</v>
      </c>
      <c r="B513" s="187" t="s">
        <v>2212</v>
      </c>
      <c r="C513" s="186" t="s">
        <v>2213</v>
      </c>
      <c r="D513" s="188"/>
      <c r="E513" s="188"/>
      <c r="F513" s="189" t="s">
        <v>2214</v>
      </c>
      <c r="G513" s="188"/>
      <c r="H513" s="188"/>
      <c r="I513" s="188"/>
      <c r="J513" s="188"/>
      <c r="K513" s="188"/>
      <c r="L513" s="188"/>
      <c r="M513" s="188"/>
      <c r="N513" s="188"/>
      <c r="O513" s="188"/>
      <c r="P513" s="188"/>
      <c r="Q513" s="188"/>
      <c r="R513" s="188"/>
      <c r="S513" s="188"/>
      <c r="T513" s="188"/>
      <c r="U513" s="190"/>
      <c r="V513" s="190"/>
      <c r="W513" s="190"/>
      <c r="X513" s="188"/>
      <c r="Y513" s="188"/>
      <c r="Z513" s="190"/>
      <c r="AA513" s="188"/>
      <c r="AB513" s="188"/>
      <c r="AC513" s="188"/>
      <c r="AD513" s="188"/>
      <c r="AE513" s="188"/>
    </row>
    <row r="514" ht="14.25" customHeight="1">
      <c r="A514" s="186" t="s">
        <v>2215</v>
      </c>
      <c r="B514" s="187" t="s">
        <v>2216</v>
      </c>
      <c r="C514" s="186" t="s">
        <v>2217</v>
      </c>
      <c r="D514" s="188"/>
      <c r="E514" s="188"/>
      <c r="F514" s="189" t="s">
        <v>2218</v>
      </c>
      <c r="G514" s="188"/>
      <c r="H514" s="188"/>
      <c r="I514" s="188"/>
      <c r="J514" s="188"/>
      <c r="K514" s="188"/>
      <c r="L514" s="188"/>
      <c r="M514" s="188"/>
      <c r="N514" s="188"/>
      <c r="O514" s="188"/>
      <c r="P514" s="188"/>
      <c r="Q514" s="188"/>
      <c r="R514" s="188"/>
      <c r="S514" s="188"/>
      <c r="T514" s="188"/>
      <c r="U514" s="190"/>
      <c r="V514" s="190"/>
      <c r="W514" s="190"/>
      <c r="X514" s="188"/>
      <c r="Y514" s="188"/>
      <c r="Z514" s="190"/>
      <c r="AA514" s="188"/>
      <c r="AB514" s="188"/>
      <c r="AC514" s="188"/>
      <c r="AD514" s="188"/>
      <c r="AE514" s="188"/>
    </row>
    <row r="515" ht="14.25" customHeight="1">
      <c r="A515" s="186" t="s">
        <v>2219</v>
      </c>
      <c r="B515" s="187" t="s">
        <v>2220</v>
      </c>
      <c r="C515" s="186" t="s">
        <v>2221</v>
      </c>
      <c r="D515" s="188"/>
      <c r="E515" s="188"/>
      <c r="F515" s="189" t="s">
        <v>2222</v>
      </c>
      <c r="G515" s="188"/>
      <c r="H515" s="188"/>
      <c r="I515" s="188"/>
      <c r="J515" s="188"/>
      <c r="K515" s="188"/>
      <c r="L515" s="188"/>
      <c r="M515" s="188"/>
      <c r="N515" s="188"/>
      <c r="O515" s="188"/>
      <c r="P515" s="188"/>
      <c r="Q515" s="188"/>
      <c r="R515" s="188"/>
      <c r="S515" s="188"/>
      <c r="T515" s="188"/>
      <c r="U515" s="190"/>
      <c r="V515" s="190"/>
      <c r="W515" s="190"/>
      <c r="X515" s="188"/>
      <c r="Y515" s="188"/>
      <c r="Z515" s="190"/>
      <c r="AA515" s="188"/>
      <c r="AB515" s="188"/>
      <c r="AC515" s="188"/>
      <c r="AD515" s="188"/>
      <c r="AE515" s="188"/>
    </row>
    <row r="516" ht="14.25" customHeight="1">
      <c r="A516" s="186" t="s">
        <v>2223</v>
      </c>
      <c r="B516" s="187" t="s">
        <v>2224</v>
      </c>
      <c r="C516" s="186" t="s">
        <v>2225</v>
      </c>
      <c r="D516" s="188"/>
      <c r="E516" s="188"/>
      <c r="F516" s="189" t="s">
        <v>2226</v>
      </c>
      <c r="G516" s="188"/>
      <c r="H516" s="188"/>
      <c r="I516" s="188"/>
      <c r="J516" s="188"/>
      <c r="K516" s="188"/>
      <c r="L516" s="188"/>
      <c r="M516" s="188"/>
      <c r="N516" s="188"/>
      <c r="O516" s="188"/>
      <c r="P516" s="188"/>
      <c r="Q516" s="188"/>
      <c r="R516" s="188"/>
      <c r="S516" s="188"/>
      <c r="T516" s="188"/>
      <c r="U516" s="190"/>
      <c r="V516" s="190"/>
      <c r="W516" s="190"/>
      <c r="X516" s="188"/>
      <c r="Y516" s="188"/>
      <c r="Z516" s="190"/>
      <c r="AA516" s="188"/>
      <c r="AB516" s="188"/>
      <c r="AC516" s="188"/>
      <c r="AD516" s="188"/>
      <c r="AE516" s="188"/>
    </row>
    <row r="517" ht="14.25" customHeight="1">
      <c r="A517" s="186" t="s">
        <v>2227</v>
      </c>
      <c r="B517" s="187" t="s">
        <v>2228</v>
      </c>
      <c r="C517" s="186" t="s">
        <v>2229</v>
      </c>
      <c r="D517" s="188"/>
      <c r="E517" s="188"/>
      <c r="F517" s="189"/>
      <c r="G517" s="188"/>
      <c r="H517" s="188"/>
      <c r="I517" s="188"/>
      <c r="J517" s="188"/>
      <c r="K517" s="188"/>
      <c r="L517" s="188"/>
      <c r="M517" s="188"/>
      <c r="N517" s="188"/>
      <c r="O517" s="188"/>
      <c r="P517" s="188"/>
      <c r="Q517" s="188"/>
      <c r="R517" s="188"/>
      <c r="S517" s="188"/>
      <c r="T517" s="188"/>
      <c r="U517" s="190"/>
      <c r="V517" s="190"/>
      <c r="W517" s="190"/>
      <c r="X517" s="188"/>
      <c r="Y517" s="188"/>
      <c r="Z517" s="190"/>
      <c r="AA517" s="188"/>
      <c r="AB517" s="188"/>
      <c r="AC517" s="188"/>
      <c r="AD517" s="188"/>
      <c r="AE517" s="188"/>
    </row>
    <row r="518" ht="14.25" customHeight="1">
      <c r="A518" s="186" t="s">
        <v>2230</v>
      </c>
      <c r="B518" s="187" t="s">
        <v>2231</v>
      </c>
      <c r="C518" s="186" t="s">
        <v>2232</v>
      </c>
      <c r="D518" s="188"/>
      <c r="E518" s="188"/>
      <c r="F518" s="189" t="s">
        <v>2233</v>
      </c>
      <c r="G518" s="188"/>
      <c r="H518" s="188"/>
      <c r="I518" s="188"/>
      <c r="J518" s="188"/>
      <c r="K518" s="188"/>
      <c r="L518" s="188"/>
      <c r="M518" s="188"/>
      <c r="N518" s="188"/>
      <c r="O518" s="188"/>
      <c r="P518" s="188"/>
      <c r="Q518" s="188"/>
      <c r="R518" s="188"/>
      <c r="S518" s="188"/>
      <c r="T518" s="188"/>
      <c r="U518" s="190"/>
      <c r="V518" s="190"/>
      <c r="W518" s="190"/>
      <c r="X518" s="188"/>
      <c r="Y518" s="188"/>
      <c r="Z518" s="190"/>
      <c r="AA518" s="188"/>
      <c r="AB518" s="188"/>
      <c r="AC518" s="188"/>
      <c r="AD518" s="188"/>
      <c r="AE518" s="188"/>
    </row>
    <row r="519" ht="14.25" customHeight="1">
      <c r="A519" s="186" t="s">
        <v>2234</v>
      </c>
      <c r="B519" s="187" t="s">
        <v>2235</v>
      </c>
      <c r="C519" s="186" t="s">
        <v>2236</v>
      </c>
      <c r="D519" s="188"/>
      <c r="E519" s="188"/>
      <c r="F519" s="189" t="s">
        <v>2237</v>
      </c>
      <c r="G519" s="188"/>
      <c r="H519" s="188"/>
      <c r="I519" s="188"/>
      <c r="J519" s="188"/>
      <c r="K519" s="188"/>
      <c r="L519" s="188"/>
      <c r="M519" s="188"/>
      <c r="N519" s="188"/>
      <c r="O519" s="188"/>
      <c r="P519" s="188"/>
      <c r="Q519" s="188"/>
      <c r="R519" s="188"/>
      <c r="S519" s="188"/>
      <c r="T519" s="188"/>
      <c r="U519" s="190"/>
      <c r="V519" s="190"/>
      <c r="W519" s="190"/>
      <c r="X519" s="188"/>
      <c r="Y519" s="188"/>
      <c r="Z519" s="190"/>
      <c r="AA519" s="188"/>
      <c r="AB519" s="188"/>
      <c r="AC519" s="188"/>
      <c r="AD519" s="188"/>
      <c r="AE519" s="188"/>
    </row>
    <row r="520" ht="14.25" customHeight="1">
      <c r="A520" s="186" t="s">
        <v>2238</v>
      </c>
      <c r="B520" s="187" t="s">
        <v>2239</v>
      </c>
      <c r="C520" s="186" t="s">
        <v>2240</v>
      </c>
      <c r="D520" s="188"/>
      <c r="E520" s="188"/>
      <c r="F520" s="189" t="s">
        <v>2241</v>
      </c>
      <c r="G520" s="188"/>
      <c r="H520" s="188"/>
      <c r="I520" s="188"/>
      <c r="J520" s="188"/>
      <c r="K520" s="188"/>
      <c r="L520" s="188"/>
      <c r="M520" s="188"/>
      <c r="N520" s="188"/>
      <c r="O520" s="188"/>
      <c r="P520" s="188"/>
      <c r="Q520" s="188"/>
      <c r="R520" s="188"/>
      <c r="S520" s="188"/>
      <c r="T520" s="188"/>
      <c r="U520" s="190"/>
      <c r="V520" s="190"/>
      <c r="W520" s="190"/>
      <c r="X520" s="188"/>
      <c r="Y520" s="188"/>
      <c r="Z520" s="190"/>
      <c r="AA520" s="188"/>
      <c r="AB520" s="188"/>
      <c r="AC520" s="188"/>
      <c r="AD520" s="188"/>
      <c r="AE520" s="188"/>
    </row>
    <row r="521" ht="14.25" customHeight="1">
      <c r="A521" s="186" t="s">
        <v>2242</v>
      </c>
      <c r="B521" s="187" t="s">
        <v>2243</v>
      </c>
      <c r="C521" s="186" t="s">
        <v>2244</v>
      </c>
      <c r="D521" s="188"/>
      <c r="E521" s="188"/>
      <c r="F521" s="189" t="s">
        <v>2245</v>
      </c>
      <c r="G521" s="188"/>
      <c r="H521" s="188"/>
      <c r="I521" s="188"/>
      <c r="J521" s="188"/>
      <c r="K521" s="188"/>
      <c r="L521" s="188"/>
      <c r="M521" s="188"/>
      <c r="N521" s="188"/>
      <c r="O521" s="188"/>
      <c r="P521" s="188"/>
      <c r="Q521" s="188"/>
      <c r="R521" s="188"/>
      <c r="S521" s="188"/>
      <c r="T521" s="188"/>
      <c r="U521" s="190"/>
      <c r="V521" s="190"/>
      <c r="W521" s="190"/>
      <c r="X521" s="188"/>
      <c r="Y521" s="188"/>
      <c r="Z521" s="190"/>
      <c r="AA521" s="188"/>
      <c r="AB521" s="188"/>
      <c r="AC521" s="188"/>
      <c r="AD521" s="188"/>
      <c r="AE521" s="188"/>
    </row>
    <row r="522" ht="14.25" customHeight="1">
      <c r="A522" s="186" t="s">
        <v>2246</v>
      </c>
      <c r="B522" s="187" t="s">
        <v>2247</v>
      </c>
      <c r="C522" s="186" t="s">
        <v>2248</v>
      </c>
      <c r="D522" s="188"/>
      <c r="E522" s="188"/>
      <c r="F522" s="189" t="s">
        <v>2249</v>
      </c>
      <c r="G522" s="188"/>
      <c r="H522" s="188"/>
      <c r="I522" s="188"/>
      <c r="J522" s="188"/>
      <c r="K522" s="188"/>
      <c r="L522" s="188"/>
      <c r="M522" s="188"/>
      <c r="N522" s="188"/>
      <c r="O522" s="188"/>
      <c r="P522" s="188"/>
      <c r="Q522" s="188"/>
      <c r="R522" s="188"/>
      <c r="S522" s="188"/>
      <c r="T522" s="188"/>
      <c r="U522" s="190"/>
      <c r="V522" s="190"/>
      <c r="W522" s="190"/>
      <c r="X522" s="188"/>
      <c r="Y522" s="188"/>
      <c r="Z522" s="190"/>
      <c r="AA522" s="188"/>
      <c r="AB522" s="188"/>
      <c r="AC522" s="188"/>
      <c r="AD522" s="188"/>
      <c r="AE522" s="188"/>
    </row>
    <row r="523" ht="14.25" customHeight="1">
      <c r="A523" s="186" t="s">
        <v>2250</v>
      </c>
      <c r="B523" s="187" t="s">
        <v>2251</v>
      </c>
      <c r="C523" s="186" t="s">
        <v>2252</v>
      </c>
      <c r="D523" s="188"/>
      <c r="E523" s="188"/>
      <c r="F523" s="189" t="s">
        <v>2253</v>
      </c>
      <c r="G523" s="188"/>
      <c r="H523" s="188"/>
      <c r="I523" s="188"/>
      <c r="J523" s="188"/>
      <c r="K523" s="188"/>
      <c r="L523" s="188"/>
      <c r="M523" s="188"/>
      <c r="N523" s="188"/>
      <c r="O523" s="188"/>
      <c r="P523" s="188"/>
      <c r="Q523" s="188"/>
      <c r="R523" s="188"/>
      <c r="S523" s="188"/>
      <c r="T523" s="188"/>
      <c r="U523" s="190"/>
      <c r="V523" s="190"/>
      <c r="W523" s="190"/>
      <c r="X523" s="188"/>
      <c r="Y523" s="188"/>
      <c r="Z523" s="190"/>
      <c r="AA523" s="188"/>
      <c r="AB523" s="188"/>
      <c r="AC523" s="188"/>
      <c r="AD523" s="188"/>
      <c r="AE523" s="188"/>
    </row>
    <row r="524" ht="14.25" customHeight="1">
      <c r="A524" s="186" t="s">
        <v>2254</v>
      </c>
      <c r="B524" s="187" t="s">
        <v>2255</v>
      </c>
      <c r="C524" s="186" t="s">
        <v>33</v>
      </c>
      <c r="D524" s="188"/>
      <c r="E524" s="188"/>
      <c r="F524" s="189" t="s">
        <v>34</v>
      </c>
      <c r="G524" s="188"/>
      <c r="H524" s="188"/>
      <c r="I524" s="188"/>
      <c r="J524" s="188"/>
      <c r="K524" s="188"/>
      <c r="L524" s="188"/>
      <c r="M524" s="188"/>
      <c r="N524" s="188"/>
      <c r="O524" s="188"/>
      <c r="P524" s="188"/>
      <c r="Q524" s="188"/>
      <c r="R524" s="188"/>
      <c r="S524" s="188"/>
      <c r="T524" s="188"/>
      <c r="U524" s="190"/>
      <c r="V524" s="190"/>
      <c r="W524" s="190"/>
      <c r="X524" s="188"/>
      <c r="Y524" s="188"/>
      <c r="Z524" s="190"/>
      <c r="AA524" s="188"/>
      <c r="AB524" s="188"/>
      <c r="AC524" s="188"/>
      <c r="AD524" s="188"/>
      <c r="AE524" s="188"/>
    </row>
    <row r="525" ht="14.25" customHeight="1">
      <c r="A525" s="186" t="s">
        <v>2256</v>
      </c>
      <c r="B525" s="187" t="s">
        <v>2257</v>
      </c>
      <c r="C525" s="186" t="s">
        <v>2258</v>
      </c>
      <c r="D525" s="188"/>
      <c r="E525" s="188"/>
      <c r="F525" s="189" t="s">
        <v>2259</v>
      </c>
      <c r="G525" s="188"/>
      <c r="H525" s="188"/>
      <c r="I525" s="188"/>
      <c r="J525" s="188"/>
      <c r="K525" s="188"/>
      <c r="L525" s="188"/>
      <c r="M525" s="188"/>
      <c r="N525" s="188"/>
      <c r="O525" s="188"/>
      <c r="P525" s="188"/>
      <c r="Q525" s="188"/>
      <c r="R525" s="188"/>
      <c r="S525" s="188"/>
      <c r="T525" s="188"/>
      <c r="U525" s="190"/>
      <c r="V525" s="190"/>
      <c r="W525" s="190"/>
      <c r="X525" s="188"/>
      <c r="Y525" s="188"/>
      <c r="Z525" s="190"/>
      <c r="AA525" s="188"/>
      <c r="AB525" s="188"/>
      <c r="AC525" s="188"/>
      <c r="AD525" s="188"/>
      <c r="AE525" s="188"/>
    </row>
    <row r="526" ht="14.25" customHeight="1">
      <c r="A526" s="186" t="s">
        <v>2260</v>
      </c>
      <c r="B526" s="187" t="s">
        <v>2261</v>
      </c>
      <c r="C526" s="186" t="s">
        <v>2262</v>
      </c>
      <c r="D526" s="188"/>
      <c r="E526" s="188"/>
      <c r="F526" s="189" t="s">
        <v>2263</v>
      </c>
      <c r="G526" s="188"/>
      <c r="H526" s="188"/>
      <c r="I526" s="188"/>
      <c r="J526" s="188"/>
      <c r="K526" s="188"/>
      <c r="L526" s="188"/>
      <c r="M526" s="188"/>
      <c r="N526" s="188"/>
      <c r="O526" s="188"/>
      <c r="P526" s="188"/>
      <c r="Q526" s="188"/>
      <c r="R526" s="188"/>
      <c r="S526" s="188"/>
      <c r="T526" s="188"/>
      <c r="U526" s="190"/>
      <c r="V526" s="190"/>
      <c r="W526" s="190"/>
      <c r="X526" s="188"/>
      <c r="Y526" s="188"/>
      <c r="Z526" s="190"/>
      <c r="AA526" s="188"/>
      <c r="AB526" s="188"/>
      <c r="AC526" s="188"/>
      <c r="AD526" s="188"/>
      <c r="AE526" s="188"/>
    </row>
    <row r="527" ht="14.25" customHeight="1">
      <c r="A527" s="186" t="s">
        <v>2264</v>
      </c>
      <c r="B527" s="187" t="s">
        <v>2265</v>
      </c>
      <c r="C527" s="186" t="s">
        <v>2266</v>
      </c>
      <c r="D527" s="188"/>
      <c r="E527" s="188"/>
      <c r="F527" s="189" t="s">
        <v>2267</v>
      </c>
      <c r="G527" s="188"/>
      <c r="H527" s="188"/>
      <c r="I527" s="188"/>
      <c r="J527" s="188"/>
      <c r="K527" s="188"/>
      <c r="L527" s="188"/>
      <c r="M527" s="188"/>
      <c r="N527" s="188"/>
      <c r="O527" s="188"/>
      <c r="P527" s="188"/>
      <c r="Q527" s="188"/>
      <c r="R527" s="188"/>
      <c r="S527" s="188"/>
      <c r="T527" s="188"/>
      <c r="U527" s="190"/>
      <c r="V527" s="190"/>
      <c r="W527" s="190"/>
      <c r="X527" s="188"/>
      <c r="Y527" s="188"/>
      <c r="Z527" s="190"/>
      <c r="AA527" s="188"/>
      <c r="AB527" s="188"/>
      <c r="AC527" s="188"/>
      <c r="AD527" s="188"/>
      <c r="AE527" s="188"/>
    </row>
    <row r="528" ht="14.25" customHeight="1">
      <c r="A528" s="186" t="s">
        <v>2268</v>
      </c>
      <c r="B528" s="187" t="s">
        <v>2269</v>
      </c>
      <c r="C528" s="186" t="s">
        <v>2270</v>
      </c>
      <c r="D528" s="188"/>
      <c r="E528" s="188"/>
      <c r="F528" s="189" t="s">
        <v>2271</v>
      </c>
      <c r="G528" s="188"/>
      <c r="H528" s="188"/>
      <c r="I528" s="188"/>
      <c r="J528" s="188"/>
      <c r="K528" s="188"/>
      <c r="L528" s="188"/>
      <c r="M528" s="188"/>
      <c r="N528" s="188"/>
      <c r="O528" s="188"/>
      <c r="P528" s="188"/>
      <c r="Q528" s="188"/>
      <c r="R528" s="188"/>
      <c r="S528" s="188"/>
      <c r="T528" s="188"/>
      <c r="U528" s="190"/>
      <c r="V528" s="190"/>
      <c r="W528" s="190"/>
      <c r="X528" s="188"/>
      <c r="Y528" s="188"/>
      <c r="Z528" s="190"/>
      <c r="AA528" s="188"/>
      <c r="AB528" s="188"/>
      <c r="AC528" s="188"/>
      <c r="AD528" s="188"/>
      <c r="AE528" s="188"/>
    </row>
    <row r="529" ht="14.25" customHeight="1">
      <c r="A529" s="186" t="s">
        <v>2272</v>
      </c>
      <c r="B529" s="187" t="s">
        <v>2273</v>
      </c>
      <c r="C529" s="186" t="s">
        <v>2274</v>
      </c>
      <c r="D529" s="188"/>
      <c r="E529" s="188"/>
      <c r="F529" s="189" t="s">
        <v>2275</v>
      </c>
      <c r="G529" s="188"/>
      <c r="H529" s="188"/>
      <c r="I529" s="188"/>
      <c r="J529" s="188"/>
      <c r="K529" s="188"/>
      <c r="L529" s="188"/>
      <c r="M529" s="188"/>
      <c r="N529" s="188"/>
      <c r="O529" s="188"/>
      <c r="P529" s="188"/>
      <c r="Q529" s="188"/>
      <c r="R529" s="188"/>
      <c r="S529" s="188"/>
      <c r="T529" s="188"/>
      <c r="U529" s="190"/>
      <c r="V529" s="190"/>
      <c r="W529" s="190"/>
      <c r="X529" s="188"/>
      <c r="Y529" s="188"/>
      <c r="Z529" s="190"/>
      <c r="AA529" s="188"/>
      <c r="AB529" s="188"/>
      <c r="AC529" s="188"/>
      <c r="AD529" s="188"/>
      <c r="AE529" s="188"/>
    </row>
    <row r="530" ht="14.25" customHeight="1">
      <c r="A530" s="186" t="s">
        <v>2276</v>
      </c>
      <c r="B530" s="187" t="s">
        <v>2277</v>
      </c>
      <c r="C530" s="186" t="s">
        <v>2278</v>
      </c>
      <c r="D530" s="188"/>
      <c r="E530" s="188"/>
      <c r="F530" s="189" t="s">
        <v>2279</v>
      </c>
      <c r="G530" s="188"/>
      <c r="H530" s="188"/>
      <c r="I530" s="188"/>
      <c r="J530" s="188"/>
      <c r="K530" s="188"/>
      <c r="L530" s="188"/>
      <c r="M530" s="188"/>
      <c r="N530" s="188"/>
      <c r="O530" s="188"/>
      <c r="P530" s="188"/>
      <c r="Q530" s="188"/>
      <c r="R530" s="188"/>
      <c r="S530" s="188"/>
      <c r="T530" s="188"/>
      <c r="U530" s="190"/>
      <c r="V530" s="190"/>
      <c r="W530" s="190"/>
      <c r="X530" s="188"/>
      <c r="Y530" s="188"/>
      <c r="Z530" s="190"/>
      <c r="AA530" s="188"/>
      <c r="AB530" s="188"/>
      <c r="AC530" s="188"/>
      <c r="AD530" s="188"/>
      <c r="AE530" s="188"/>
    </row>
    <row r="531" ht="14.25" customHeight="1">
      <c r="A531" s="186" t="s">
        <v>2280</v>
      </c>
      <c r="B531" s="187" t="s">
        <v>2281</v>
      </c>
      <c r="C531" s="186" t="s">
        <v>2282</v>
      </c>
      <c r="D531" s="188"/>
      <c r="E531" s="188"/>
      <c r="F531" s="189" t="s">
        <v>2283</v>
      </c>
      <c r="G531" s="188"/>
      <c r="H531" s="188"/>
      <c r="I531" s="188"/>
      <c r="J531" s="188"/>
      <c r="K531" s="188"/>
      <c r="L531" s="188"/>
      <c r="M531" s="188"/>
      <c r="N531" s="188"/>
      <c r="O531" s="188"/>
      <c r="P531" s="188"/>
      <c r="Q531" s="188"/>
      <c r="R531" s="188"/>
      <c r="S531" s="188"/>
      <c r="T531" s="188"/>
      <c r="U531" s="190"/>
      <c r="V531" s="190"/>
      <c r="W531" s="190"/>
      <c r="X531" s="188"/>
      <c r="Y531" s="188"/>
      <c r="Z531" s="190"/>
      <c r="AA531" s="188"/>
      <c r="AB531" s="188"/>
      <c r="AC531" s="188"/>
      <c r="AD531" s="188"/>
      <c r="AE531" s="188"/>
    </row>
    <row r="532" ht="14.25" customHeight="1">
      <c r="A532" s="186" t="s">
        <v>2284</v>
      </c>
      <c r="B532" s="187" t="s">
        <v>2285</v>
      </c>
      <c r="C532" s="186" t="s">
        <v>2286</v>
      </c>
      <c r="D532" s="188"/>
      <c r="E532" s="188"/>
      <c r="F532" s="189" t="s">
        <v>2287</v>
      </c>
      <c r="G532" s="188"/>
      <c r="H532" s="188"/>
      <c r="I532" s="188"/>
      <c r="J532" s="188"/>
      <c r="K532" s="188"/>
      <c r="L532" s="188"/>
      <c r="M532" s="188"/>
      <c r="N532" s="188"/>
      <c r="O532" s="188"/>
      <c r="P532" s="188"/>
      <c r="Q532" s="188"/>
      <c r="R532" s="188"/>
      <c r="S532" s="188"/>
      <c r="T532" s="188"/>
      <c r="U532" s="190"/>
      <c r="V532" s="190"/>
      <c r="W532" s="190"/>
      <c r="X532" s="188"/>
      <c r="Y532" s="188"/>
      <c r="Z532" s="190"/>
      <c r="AA532" s="188"/>
      <c r="AB532" s="188"/>
      <c r="AC532" s="188"/>
      <c r="AD532" s="188"/>
      <c r="AE532" s="188"/>
    </row>
    <row r="533" ht="14.25" customHeight="1">
      <c r="A533" s="186" t="s">
        <v>2288</v>
      </c>
      <c r="B533" s="187" t="s">
        <v>2289</v>
      </c>
      <c r="C533" s="186" t="s">
        <v>2290</v>
      </c>
      <c r="D533" s="188"/>
      <c r="E533" s="188"/>
      <c r="F533" s="189" t="s">
        <v>2291</v>
      </c>
      <c r="G533" s="188"/>
      <c r="H533" s="188"/>
      <c r="I533" s="188"/>
      <c r="J533" s="188"/>
      <c r="K533" s="188"/>
      <c r="L533" s="188"/>
      <c r="M533" s="188"/>
      <c r="N533" s="188"/>
      <c r="O533" s="188"/>
      <c r="P533" s="188"/>
      <c r="Q533" s="188"/>
      <c r="R533" s="188"/>
      <c r="S533" s="188"/>
      <c r="T533" s="188"/>
      <c r="U533" s="190"/>
      <c r="V533" s="190"/>
      <c r="W533" s="190"/>
      <c r="X533" s="188"/>
      <c r="Y533" s="188"/>
      <c r="Z533" s="190"/>
      <c r="AA533" s="188"/>
      <c r="AB533" s="188"/>
      <c r="AC533" s="188"/>
      <c r="AD533" s="188"/>
      <c r="AE533" s="188"/>
    </row>
    <row r="534" ht="14.25" customHeight="1">
      <c r="A534" s="186" t="s">
        <v>2292</v>
      </c>
      <c r="B534" s="187" t="s">
        <v>2293</v>
      </c>
      <c r="C534" s="186" t="s">
        <v>2294</v>
      </c>
      <c r="D534" s="188"/>
      <c r="E534" s="188"/>
      <c r="F534" s="189" t="s">
        <v>2295</v>
      </c>
      <c r="G534" s="188"/>
      <c r="H534" s="188"/>
      <c r="I534" s="188"/>
      <c r="J534" s="188"/>
      <c r="K534" s="188"/>
      <c r="L534" s="188"/>
      <c r="M534" s="188"/>
      <c r="N534" s="188"/>
      <c r="O534" s="188"/>
      <c r="P534" s="188"/>
      <c r="Q534" s="188"/>
      <c r="R534" s="188"/>
      <c r="S534" s="188"/>
      <c r="T534" s="188"/>
      <c r="U534" s="190"/>
      <c r="V534" s="190"/>
      <c r="W534" s="190"/>
      <c r="X534" s="188"/>
      <c r="Y534" s="188"/>
      <c r="Z534" s="190"/>
      <c r="AA534" s="188"/>
      <c r="AB534" s="188"/>
      <c r="AC534" s="188"/>
      <c r="AD534" s="188"/>
      <c r="AE534" s="188"/>
    </row>
    <row r="535" ht="14.25" customHeight="1">
      <c r="A535" s="186" t="s">
        <v>2296</v>
      </c>
      <c r="B535" s="187" t="s">
        <v>2297</v>
      </c>
      <c r="C535" s="186" t="s">
        <v>2298</v>
      </c>
      <c r="D535" s="188"/>
      <c r="E535" s="188"/>
      <c r="F535" s="189" t="s">
        <v>2299</v>
      </c>
      <c r="G535" s="188"/>
      <c r="H535" s="188"/>
      <c r="I535" s="188"/>
      <c r="J535" s="188"/>
      <c r="K535" s="188"/>
      <c r="L535" s="188"/>
      <c r="M535" s="188"/>
      <c r="N535" s="188"/>
      <c r="O535" s="188"/>
      <c r="P535" s="188"/>
      <c r="Q535" s="188"/>
      <c r="R535" s="188"/>
      <c r="S535" s="188"/>
      <c r="T535" s="188"/>
      <c r="U535" s="190"/>
      <c r="V535" s="190"/>
      <c r="W535" s="190"/>
      <c r="X535" s="188"/>
      <c r="Y535" s="188"/>
      <c r="Z535" s="190"/>
      <c r="AA535" s="188"/>
      <c r="AB535" s="188"/>
      <c r="AC535" s="188"/>
      <c r="AD535" s="188"/>
      <c r="AE535" s="188"/>
    </row>
    <row r="536" ht="14.25" customHeight="1">
      <c r="A536" s="186" t="s">
        <v>2300</v>
      </c>
      <c r="B536" s="187" t="s">
        <v>2301</v>
      </c>
      <c r="C536" s="186" t="s">
        <v>2302</v>
      </c>
      <c r="D536" s="188"/>
      <c r="E536" s="188"/>
      <c r="F536" s="189" t="s">
        <v>2303</v>
      </c>
      <c r="G536" s="188"/>
      <c r="H536" s="188"/>
      <c r="I536" s="188"/>
      <c r="J536" s="188"/>
      <c r="K536" s="188"/>
      <c r="L536" s="188"/>
      <c r="M536" s="188"/>
      <c r="N536" s="188"/>
      <c r="O536" s="188"/>
      <c r="P536" s="188"/>
      <c r="Q536" s="188"/>
      <c r="R536" s="188"/>
      <c r="S536" s="188"/>
      <c r="T536" s="188"/>
      <c r="U536" s="190"/>
      <c r="V536" s="190"/>
      <c r="W536" s="190"/>
      <c r="X536" s="188"/>
      <c r="Y536" s="188"/>
      <c r="Z536" s="190"/>
      <c r="AA536" s="188"/>
      <c r="AB536" s="188"/>
      <c r="AC536" s="188"/>
      <c r="AD536" s="188"/>
      <c r="AE536" s="188"/>
    </row>
    <row r="537" ht="14.25" customHeight="1">
      <c r="A537" s="186" t="s">
        <v>2304</v>
      </c>
      <c r="B537" s="187" t="s">
        <v>2305</v>
      </c>
      <c r="C537" s="186" t="s">
        <v>2306</v>
      </c>
      <c r="D537" s="188"/>
      <c r="E537" s="188"/>
      <c r="F537" s="189" t="s">
        <v>2307</v>
      </c>
      <c r="G537" s="188"/>
      <c r="H537" s="188"/>
      <c r="I537" s="188"/>
      <c r="J537" s="188"/>
      <c r="K537" s="188"/>
      <c r="L537" s="188"/>
      <c r="M537" s="188"/>
      <c r="N537" s="188"/>
      <c r="O537" s="188"/>
      <c r="P537" s="188"/>
      <c r="Q537" s="188"/>
      <c r="R537" s="188"/>
      <c r="S537" s="188"/>
      <c r="T537" s="188"/>
      <c r="U537" s="190"/>
      <c r="V537" s="190"/>
      <c r="W537" s="190"/>
      <c r="X537" s="188"/>
      <c r="Y537" s="188"/>
      <c r="Z537" s="190"/>
      <c r="AA537" s="188"/>
      <c r="AB537" s="188"/>
      <c r="AC537" s="188"/>
      <c r="AD537" s="188"/>
      <c r="AE537" s="188"/>
    </row>
    <row r="538" ht="14.25" customHeight="1">
      <c r="A538" s="186" t="s">
        <v>2308</v>
      </c>
      <c r="B538" s="187" t="s">
        <v>2309</v>
      </c>
      <c r="C538" s="186" t="s">
        <v>2310</v>
      </c>
      <c r="D538" s="188"/>
      <c r="E538" s="188"/>
      <c r="F538" s="189" t="s">
        <v>2311</v>
      </c>
      <c r="G538" s="188"/>
      <c r="H538" s="188"/>
      <c r="I538" s="188"/>
      <c r="J538" s="188"/>
      <c r="K538" s="188"/>
      <c r="L538" s="188"/>
      <c r="M538" s="188"/>
      <c r="N538" s="188"/>
      <c r="O538" s="188"/>
      <c r="P538" s="188"/>
      <c r="Q538" s="188"/>
      <c r="R538" s="188"/>
      <c r="S538" s="188"/>
      <c r="T538" s="188"/>
      <c r="U538" s="190"/>
      <c r="V538" s="190"/>
      <c r="W538" s="190"/>
      <c r="X538" s="188"/>
      <c r="Y538" s="188"/>
      <c r="Z538" s="190"/>
      <c r="AA538" s="188"/>
      <c r="AB538" s="188"/>
      <c r="AC538" s="188"/>
      <c r="AD538" s="188"/>
      <c r="AE538" s="188"/>
    </row>
    <row r="539" ht="14.25" customHeight="1">
      <c r="A539" s="186" t="s">
        <v>2312</v>
      </c>
      <c r="B539" s="187" t="s">
        <v>2313</v>
      </c>
      <c r="C539" s="186" t="s">
        <v>2314</v>
      </c>
      <c r="D539" s="188"/>
      <c r="E539" s="188"/>
      <c r="F539" s="189" t="s">
        <v>2315</v>
      </c>
      <c r="G539" s="188"/>
      <c r="H539" s="188"/>
      <c r="I539" s="188"/>
      <c r="J539" s="188"/>
      <c r="K539" s="188"/>
      <c r="L539" s="188"/>
      <c r="M539" s="188"/>
      <c r="N539" s="188"/>
      <c r="O539" s="188"/>
      <c r="P539" s="188"/>
      <c r="Q539" s="188"/>
      <c r="R539" s="188"/>
      <c r="S539" s="188"/>
      <c r="T539" s="188"/>
      <c r="U539" s="190"/>
      <c r="V539" s="190"/>
      <c r="W539" s="190"/>
      <c r="X539" s="188"/>
      <c r="Y539" s="188"/>
      <c r="Z539" s="190"/>
      <c r="AA539" s="188"/>
      <c r="AB539" s="188"/>
      <c r="AC539" s="188"/>
      <c r="AD539" s="188"/>
      <c r="AE539" s="188"/>
    </row>
    <row r="540" ht="14.25" customHeight="1">
      <c r="A540" s="186" t="s">
        <v>2316</v>
      </c>
      <c r="B540" s="187" t="s">
        <v>2317</v>
      </c>
      <c r="C540" s="186" t="s">
        <v>2318</v>
      </c>
      <c r="D540" s="188"/>
      <c r="E540" s="188"/>
      <c r="F540" s="189" t="s">
        <v>2319</v>
      </c>
      <c r="G540" s="188"/>
      <c r="H540" s="188"/>
      <c r="I540" s="188"/>
      <c r="J540" s="188"/>
      <c r="K540" s="188"/>
      <c r="L540" s="188"/>
      <c r="M540" s="188"/>
      <c r="N540" s="188"/>
      <c r="O540" s="188"/>
      <c r="P540" s="188"/>
      <c r="Q540" s="188"/>
      <c r="R540" s="188"/>
      <c r="S540" s="188"/>
      <c r="T540" s="188"/>
      <c r="U540" s="190"/>
      <c r="V540" s="190"/>
      <c r="W540" s="190"/>
      <c r="X540" s="188"/>
      <c r="Y540" s="188"/>
      <c r="Z540" s="190"/>
      <c r="AA540" s="188"/>
      <c r="AB540" s="188"/>
      <c r="AC540" s="188"/>
      <c r="AD540" s="188"/>
      <c r="AE540" s="188"/>
    </row>
    <row r="541" ht="14.25" customHeight="1">
      <c r="A541" s="186" t="s">
        <v>2320</v>
      </c>
      <c r="B541" s="187" t="s">
        <v>2321</v>
      </c>
      <c r="C541" s="186" t="s">
        <v>2322</v>
      </c>
      <c r="D541" s="188"/>
      <c r="E541" s="188"/>
      <c r="F541" s="189" t="s">
        <v>2323</v>
      </c>
      <c r="G541" s="188"/>
      <c r="H541" s="188"/>
      <c r="I541" s="188"/>
      <c r="J541" s="188"/>
      <c r="K541" s="188"/>
      <c r="L541" s="188"/>
      <c r="M541" s="188"/>
      <c r="N541" s="188"/>
      <c r="O541" s="188"/>
      <c r="P541" s="188"/>
      <c r="Q541" s="188"/>
      <c r="R541" s="188"/>
      <c r="S541" s="188"/>
      <c r="T541" s="188"/>
      <c r="U541" s="190"/>
      <c r="V541" s="190"/>
      <c r="W541" s="190"/>
      <c r="X541" s="188"/>
      <c r="Y541" s="188"/>
      <c r="Z541" s="190"/>
      <c r="AA541" s="188"/>
      <c r="AB541" s="188"/>
      <c r="AC541" s="188"/>
      <c r="AD541" s="188"/>
      <c r="AE541" s="188"/>
    </row>
    <row r="542" ht="14.25" customHeight="1">
      <c r="A542" s="186" t="s">
        <v>2324</v>
      </c>
      <c r="B542" s="187" t="s">
        <v>2325</v>
      </c>
      <c r="C542" s="186" t="s">
        <v>2326</v>
      </c>
      <c r="D542" s="188"/>
      <c r="E542" s="188"/>
      <c r="F542" s="189" t="s">
        <v>2327</v>
      </c>
      <c r="G542" s="188"/>
      <c r="H542" s="188"/>
      <c r="I542" s="188"/>
      <c r="J542" s="188"/>
      <c r="K542" s="188"/>
      <c r="L542" s="188"/>
      <c r="M542" s="188"/>
      <c r="N542" s="188"/>
      <c r="O542" s="188"/>
      <c r="P542" s="188"/>
      <c r="Q542" s="188"/>
      <c r="R542" s="188"/>
      <c r="S542" s="188"/>
      <c r="T542" s="188"/>
      <c r="U542" s="190"/>
      <c r="V542" s="190"/>
      <c r="W542" s="190"/>
      <c r="X542" s="188"/>
      <c r="Y542" s="188"/>
      <c r="Z542" s="190"/>
      <c r="AA542" s="188"/>
      <c r="AB542" s="188"/>
      <c r="AC542" s="188"/>
      <c r="AD542" s="188"/>
      <c r="AE542" s="188"/>
    </row>
    <row r="543" ht="14.25" customHeight="1">
      <c r="A543" s="186" t="s">
        <v>2328</v>
      </c>
      <c r="B543" s="187" t="s">
        <v>2329</v>
      </c>
      <c r="C543" s="186" t="s">
        <v>2330</v>
      </c>
      <c r="D543" s="188"/>
      <c r="E543" s="188"/>
      <c r="F543" s="189" t="s">
        <v>2331</v>
      </c>
      <c r="G543" s="188"/>
      <c r="H543" s="188"/>
      <c r="I543" s="188"/>
      <c r="J543" s="188"/>
      <c r="K543" s="188"/>
      <c r="L543" s="188"/>
      <c r="M543" s="188"/>
      <c r="N543" s="188"/>
      <c r="O543" s="188"/>
      <c r="P543" s="188"/>
      <c r="Q543" s="188"/>
      <c r="R543" s="188"/>
      <c r="S543" s="188"/>
      <c r="T543" s="188"/>
      <c r="U543" s="190"/>
      <c r="V543" s="190"/>
      <c r="W543" s="190"/>
      <c r="X543" s="188"/>
      <c r="Y543" s="188"/>
      <c r="Z543" s="190"/>
      <c r="AA543" s="188"/>
      <c r="AB543" s="188"/>
      <c r="AC543" s="188"/>
      <c r="AD543" s="188"/>
      <c r="AE543" s="188"/>
    </row>
    <row r="544" ht="14.25" customHeight="1">
      <c r="A544" s="186" t="s">
        <v>2332</v>
      </c>
      <c r="B544" s="187" t="s">
        <v>2333</v>
      </c>
      <c r="C544" s="186" t="s">
        <v>2334</v>
      </c>
      <c r="D544" s="188"/>
      <c r="E544" s="188"/>
      <c r="F544" s="189" t="s">
        <v>2335</v>
      </c>
      <c r="G544" s="188"/>
      <c r="H544" s="188"/>
      <c r="I544" s="188"/>
      <c r="J544" s="188"/>
      <c r="K544" s="188"/>
      <c r="L544" s="188"/>
      <c r="M544" s="188"/>
      <c r="N544" s="188"/>
      <c r="O544" s="188"/>
      <c r="P544" s="188"/>
      <c r="Q544" s="188"/>
      <c r="R544" s="188"/>
      <c r="S544" s="188"/>
      <c r="T544" s="188"/>
      <c r="U544" s="190"/>
      <c r="V544" s="190"/>
      <c r="W544" s="190"/>
      <c r="X544" s="188"/>
      <c r="Y544" s="188"/>
      <c r="Z544" s="190"/>
      <c r="AA544" s="188"/>
      <c r="AB544" s="188"/>
      <c r="AC544" s="188"/>
      <c r="AD544" s="188"/>
      <c r="AE544" s="188"/>
    </row>
    <row r="545" ht="14.25" customHeight="1">
      <c r="A545" s="186" t="s">
        <v>2336</v>
      </c>
      <c r="B545" s="187" t="s">
        <v>2337</v>
      </c>
      <c r="C545" s="186" t="s">
        <v>2338</v>
      </c>
      <c r="D545" s="188"/>
      <c r="E545" s="188"/>
      <c r="F545" s="189" t="s">
        <v>2339</v>
      </c>
      <c r="G545" s="188"/>
      <c r="H545" s="188"/>
      <c r="I545" s="188"/>
      <c r="J545" s="188"/>
      <c r="K545" s="188"/>
      <c r="L545" s="188"/>
      <c r="M545" s="188"/>
      <c r="N545" s="188"/>
      <c r="O545" s="188"/>
      <c r="P545" s="188"/>
      <c r="Q545" s="188"/>
      <c r="R545" s="188"/>
      <c r="S545" s="188"/>
      <c r="T545" s="188"/>
      <c r="U545" s="190"/>
      <c r="V545" s="190"/>
      <c r="W545" s="190"/>
      <c r="X545" s="188"/>
      <c r="Y545" s="188"/>
      <c r="Z545" s="190"/>
      <c r="AA545" s="188"/>
      <c r="AB545" s="188"/>
      <c r="AC545" s="188"/>
      <c r="AD545" s="188"/>
      <c r="AE545" s="188"/>
    </row>
    <row r="546" ht="14.25" customHeight="1">
      <c r="A546" s="186" t="s">
        <v>2340</v>
      </c>
      <c r="B546" s="187" t="s">
        <v>2341</v>
      </c>
      <c r="C546" s="186" t="s">
        <v>2342</v>
      </c>
      <c r="D546" s="188"/>
      <c r="E546" s="188"/>
      <c r="F546" s="189" t="s">
        <v>2343</v>
      </c>
      <c r="G546" s="188"/>
      <c r="H546" s="188"/>
      <c r="I546" s="188"/>
      <c r="J546" s="188"/>
      <c r="K546" s="188"/>
      <c r="L546" s="188"/>
      <c r="M546" s="188"/>
      <c r="N546" s="188"/>
      <c r="O546" s="188"/>
      <c r="P546" s="188"/>
      <c r="Q546" s="188"/>
      <c r="R546" s="188"/>
      <c r="S546" s="188"/>
      <c r="T546" s="188"/>
      <c r="U546" s="190"/>
      <c r="V546" s="190"/>
      <c r="W546" s="190"/>
      <c r="X546" s="188"/>
      <c r="Y546" s="188"/>
      <c r="Z546" s="190"/>
      <c r="AA546" s="188"/>
      <c r="AB546" s="188"/>
      <c r="AC546" s="188"/>
      <c r="AD546" s="188"/>
      <c r="AE546" s="188"/>
    </row>
    <row r="547" ht="14.25" customHeight="1">
      <c r="A547" s="186" t="s">
        <v>2344</v>
      </c>
      <c r="B547" s="187" t="s">
        <v>2345</v>
      </c>
      <c r="C547" s="186" t="s">
        <v>2346</v>
      </c>
      <c r="D547" s="188"/>
      <c r="E547" s="188"/>
      <c r="F547" s="189" t="s">
        <v>2347</v>
      </c>
      <c r="G547" s="188"/>
      <c r="H547" s="188"/>
      <c r="I547" s="188"/>
      <c r="J547" s="188"/>
      <c r="K547" s="188"/>
      <c r="L547" s="188"/>
      <c r="M547" s="188"/>
      <c r="N547" s="188"/>
      <c r="O547" s="188"/>
      <c r="P547" s="188"/>
      <c r="Q547" s="188"/>
      <c r="R547" s="188"/>
      <c r="S547" s="188"/>
      <c r="T547" s="188"/>
      <c r="U547" s="190"/>
      <c r="V547" s="190"/>
      <c r="W547" s="190"/>
      <c r="X547" s="188"/>
      <c r="Y547" s="188"/>
      <c r="Z547" s="190"/>
      <c r="AA547" s="188"/>
      <c r="AB547" s="188"/>
      <c r="AC547" s="188"/>
      <c r="AD547" s="188"/>
      <c r="AE547" s="188"/>
    </row>
    <row r="548" ht="14.25" customHeight="1">
      <c r="A548" s="186" t="s">
        <v>2348</v>
      </c>
      <c r="B548" s="187" t="s">
        <v>2349</v>
      </c>
      <c r="C548" s="186" t="s">
        <v>2350</v>
      </c>
      <c r="D548" s="188"/>
      <c r="E548" s="188"/>
      <c r="F548" s="189"/>
      <c r="G548" s="188"/>
      <c r="H548" s="188"/>
      <c r="I548" s="188"/>
      <c r="J548" s="188"/>
      <c r="K548" s="188"/>
      <c r="L548" s="188"/>
      <c r="M548" s="188"/>
      <c r="N548" s="188"/>
      <c r="O548" s="188"/>
      <c r="P548" s="188"/>
      <c r="Q548" s="188"/>
      <c r="R548" s="188"/>
      <c r="S548" s="188"/>
      <c r="T548" s="188"/>
      <c r="U548" s="190"/>
      <c r="V548" s="190"/>
      <c r="W548" s="190"/>
      <c r="X548" s="188"/>
      <c r="Y548" s="188"/>
      <c r="Z548" s="190"/>
      <c r="AA548" s="188"/>
      <c r="AB548" s="188"/>
      <c r="AC548" s="188"/>
      <c r="AD548" s="188"/>
      <c r="AE548" s="188"/>
    </row>
    <row r="549" ht="14.25" customHeight="1">
      <c r="A549" s="186" t="s">
        <v>2351</v>
      </c>
      <c r="B549" s="187" t="s">
        <v>2352</v>
      </c>
      <c r="C549" s="186" t="s">
        <v>2353</v>
      </c>
      <c r="D549" s="188"/>
      <c r="E549" s="188"/>
      <c r="F549" s="189" t="s">
        <v>2354</v>
      </c>
      <c r="G549" s="188"/>
      <c r="H549" s="188"/>
      <c r="I549" s="188"/>
      <c r="J549" s="188"/>
      <c r="K549" s="188"/>
      <c r="L549" s="188"/>
      <c r="M549" s="188"/>
      <c r="N549" s="188"/>
      <c r="O549" s="188"/>
      <c r="P549" s="188"/>
      <c r="Q549" s="188"/>
      <c r="R549" s="188"/>
      <c r="S549" s="188"/>
      <c r="T549" s="188"/>
      <c r="U549" s="190"/>
      <c r="V549" s="190"/>
      <c r="W549" s="190"/>
      <c r="X549" s="188"/>
      <c r="Y549" s="188"/>
      <c r="Z549" s="190"/>
      <c r="AA549" s="188"/>
      <c r="AB549" s="188"/>
      <c r="AC549" s="188"/>
      <c r="AD549" s="188"/>
      <c r="AE549" s="188"/>
    </row>
    <row r="550" ht="14.25" customHeight="1">
      <c r="A550" s="186" t="s">
        <v>2355</v>
      </c>
      <c r="B550" s="187" t="s">
        <v>2356</v>
      </c>
      <c r="C550" s="186" t="s">
        <v>2357</v>
      </c>
      <c r="D550" s="188"/>
      <c r="E550" s="188"/>
      <c r="F550" s="189" t="s">
        <v>2358</v>
      </c>
      <c r="G550" s="188"/>
      <c r="H550" s="188"/>
      <c r="I550" s="188"/>
      <c r="J550" s="188"/>
      <c r="K550" s="188"/>
      <c r="L550" s="188"/>
      <c r="M550" s="188"/>
      <c r="N550" s="188"/>
      <c r="O550" s="188"/>
      <c r="P550" s="188"/>
      <c r="Q550" s="188"/>
      <c r="R550" s="188"/>
      <c r="S550" s="188"/>
      <c r="T550" s="188"/>
      <c r="U550" s="190"/>
      <c r="V550" s="190"/>
      <c r="W550" s="190"/>
      <c r="X550" s="188"/>
      <c r="Y550" s="188"/>
      <c r="Z550" s="190"/>
      <c r="AA550" s="188"/>
      <c r="AB550" s="188"/>
      <c r="AC550" s="188"/>
      <c r="AD550" s="188"/>
      <c r="AE550" s="188"/>
    </row>
    <row r="551" ht="14.25" customHeight="1">
      <c r="A551" s="186" t="s">
        <v>2359</v>
      </c>
      <c r="B551" s="187" t="s">
        <v>2360</v>
      </c>
      <c r="C551" s="186" t="s">
        <v>2361</v>
      </c>
      <c r="D551" s="188"/>
      <c r="E551" s="188"/>
      <c r="F551" s="189" t="s">
        <v>2362</v>
      </c>
      <c r="G551" s="188"/>
      <c r="H551" s="188"/>
      <c r="I551" s="188"/>
      <c r="J551" s="188"/>
      <c r="K551" s="188"/>
      <c r="L551" s="188"/>
      <c r="M551" s="188"/>
      <c r="N551" s="188"/>
      <c r="O551" s="188"/>
      <c r="P551" s="188"/>
      <c r="Q551" s="188"/>
      <c r="R551" s="188"/>
      <c r="S551" s="188"/>
      <c r="T551" s="188"/>
      <c r="U551" s="190"/>
      <c r="V551" s="190"/>
      <c r="W551" s="190"/>
      <c r="X551" s="188"/>
      <c r="Y551" s="188"/>
      <c r="Z551" s="190"/>
      <c r="AA551" s="188"/>
      <c r="AB551" s="188"/>
      <c r="AC551" s="188"/>
      <c r="AD551" s="188"/>
      <c r="AE551" s="188"/>
    </row>
    <row r="552" ht="14.25" customHeight="1">
      <c r="A552" s="186" t="s">
        <v>2363</v>
      </c>
      <c r="B552" s="187" t="s">
        <v>2364</v>
      </c>
      <c r="C552" s="186" t="s">
        <v>2365</v>
      </c>
      <c r="D552" s="188"/>
      <c r="E552" s="188"/>
      <c r="F552" s="189" t="s">
        <v>2366</v>
      </c>
      <c r="G552" s="188"/>
      <c r="H552" s="188"/>
      <c r="I552" s="188"/>
      <c r="J552" s="188"/>
      <c r="K552" s="188"/>
      <c r="L552" s="188"/>
      <c r="M552" s="188"/>
      <c r="N552" s="188"/>
      <c r="O552" s="188"/>
      <c r="P552" s="188"/>
      <c r="Q552" s="188"/>
      <c r="R552" s="188"/>
      <c r="S552" s="188"/>
      <c r="T552" s="188"/>
      <c r="U552" s="190"/>
      <c r="V552" s="190"/>
      <c r="W552" s="190"/>
      <c r="X552" s="188"/>
      <c r="Y552" s="188"/>
      <c r="Z552" s="190"/>
      <c r="AA552" s="188"/>
      <c r="AB552" s="188"/>
      <c r="AC552" s="188"/>
      <c r="AD552" s="188"/>
      <c r="AE552" s="188"/>
    </row>
    <row r="553" ht="14.25" customHeight="1">
      <c r="A553" s="186" t="s">
        <v>2367</v>
      </c>
      <c r="B553" s="187" t="s">
        <v>2368</v>
      </c>
      <c r="C553" s="186" t="s">
        <v>2369</v>
      </c>
      <c r="D553" s="188"/>
      <c r="E553" s="188"/>
      <c r="F553" s="189" t="s">
        <v>2370</v>
      </c>
      <c r="G553" s="188"/>
      <c r="H553" s="188"/>
      <c r="I553" s="188"/>
      <c r="J553" s="188"/>
      <c r="K553" s="188"/>
      <c r="L553" s="188"/>
      <c r="M553" s="188"/>
      <c r="N553" s="188"/>
      <c r="O553" s="188"/>
      <c r="P553" s="188"/>
      <c r="Q553" s="188"/>
      <c r="R553" s="188"/>
      <c r="S553" s="188"/>
      <c r="T553" s="188"/>
      <c r="U553" s="190"/>
      <c r="V553" s="190"/>
      <c r="W553" s="190"/>
      <c r="X553" s="188"/>
      <c r="Y553" s="188"/>
      <c r="Z553" s="190"/>
      <c r="AA553" s="188"/>
      <c r="AB553" s="188"/>
      <c r="AC553" s="188"/>
      <c r="AD553" s="188"/>
      <c r="AE553" s="188"/>
    </row>
    <row r="554" ht="14.25" customHeight="1">
      <c r="A554" s="186" t="s">
        <v>2371</v>
      </c>
      <c r="B554" s="187" t="s">
        <v>2372</v>
      </c>
      <c r="C554" s="186" t="s">
        <v>2373</v>
      </c>
      <c r="D554" s="188"/>
      <c r="E554" s="188"/>
      <c r="F554" s="189" t="s">
        <v>2374</v>
      </c>
      <c r="G554" s="188"/>
      <c r="H554" s="188"/>
      <c r="I554" s="188"/>
      <c r="J554" s="188"/>
      <c r="K554" s="188"/>
      <c r="L554" s="188"/>
      <c r="M554" s="188"/>
      <c r="N554" s="188"/>
      <c r="O554" s="188"/>
      <c r="P554" s="188"/>
      <c r="Q554" s="188"/>
      <c r="R554" s="188"/>
      <c r="S554" s="188"/>
      <c r="T554" s="188"/>
      <c r="U554" s="190"/>
      <c r="V554" s="190"/>
      <c r="W554" s="190"/>
      <c r="X554" s="188"/>
      <c r="Y554" s="188"/>
      <c r="Z554" s="190"/>
      <c r="AA554" s="188"/>
      <c r="AB554" s="188"/>
      <c r="AC554" s="188"/>
      <c r="AD554" s="188"/>
      <c r="AE554" s="188"/>
    </row>
    <row r="555" ht="14.25" customHeight="1">
      <c r="A555" s="186" t="s">
        <v>2375</v>
      </c>
      <c r="B555" s="187" t="s">
        <v>2376</v>
      </c>
      <c r="C555" s="186" t="s">
        <v>2377</v>
      </c>
      <c r="D555" s="188"/>
      <c r="E555" s="188"/>
      <c r="F555" s="189" t="s">
        <v>2378</v>
      </c>
      <c r="G555" s="188"/>
      <c r="H555" s="188"/>
      <c r="I555" s="188"/>
      <c r="J555" s="188"/>
      <c r="K555" s="188"/>
      <c r="L555" s="188"/>
      <c r="M555" s="188"/>
      <c r="N555" s="188"/>
      <c r="O555" s="188"/>
      <c r="P555" s="188"/>
      <c r="Q555" s="188"/>
      <c r="R555" s="188"/>
      <c r="S555" s="188"/>
      <c r="T555" s="188"/>
      <c r="U555" s="190"/>
      <c r="V555" s="190"/>
      <c r="W555" s="190"/>
      <c r="X555" s="188"/>
      <c r="Y555" s="188"/>
      <c r="Z555" s="190"/>
      <c r="AA555" s="188"/>
      <c r="AB555" s="188"/>
      <c r="AC555" s="188"/>
      <c r="AD555" s="188"/>
      <c r="AE555" s="188"/>
    </row>
    <row r="556" ht="14.25" customHeight="1">
      <c r="A556" s="186" t="s">
        <v>2379</v>
      </c>
      <c r="B556" s="187" t="s">
        <v>2380</v>
      </c>
      <c r="C556" s="186" t="s">
        <v>2381</v>
      </c>
      <c r="D556" s="188"/>
      <c r="E556" s="188"/>
      <c r="F556" s="189" t="s">
        <v>2382</v>
      </c>
      <c r="G556" s="188"/>
      <c r="H556" s="188"/>
      <c r="I556" s="188"/>
      <c r="J556" s="188"/>
      <c r="K556" s="188"/>
      <c r="L556" s="188"/>
      <c r="M556" s="188"/>
      <c r="N556" s="188"/>
      <c r="O556" s="188"/>
      <c r="P556" s="188"/>
      <c r="Q556" s="188"/>
      <c r="R556" s="188"/>
      <c r="S556" s="188"/>
      <c r="T556" s="188"/>
      <c r="U556" s="190"/>
      <c r="V556" s="190"/>
      <c r="W556" s="190"/>
      <c r="X556" s="188"/>
      <c r="Y556" s="188"/>
      <c r="Z556" s="190"/>
      <c r="AA556" s="188"/>
      <c r="AB556" s="188"/>
      <c r="AC556" s="188"/>
      <c r="AD556" s="188"/>
      <c r="AE556" s="188"/>
    </row>
    <row r="557" ht="14.25" customHeight="1">
      <c r="A557" s="186" t="s">
        <v>2383</v>
      </c>
      <c r="B557" s="187" t="s">
        <v>2384</v>
      </c>
      <c r="C557" s="186" t="s">
        <v>2385</v>
      </c>
      <c r="D557" s="188"/>
      <c r="E557" s="188"/>
      <c r="F557" s="189" t="s">
        <v>2386</v>
      </c>
      <c r="G557" s="188"/>
      <c r="H557" s="188"/>
      <c r="I557" s="188"/>
      <c r="J557" s="188"/>
      <c r="K557" s="188"/>
      <c r="L557" s="188"/>
      <c r="M557" s="188"/>
      <c r="N557" s="188"/>
      <c r="O557" s="188"/>
      <c r="P557" s="188"/>
      <c r="Q557" s="188"/>
      <c r="R557" s="188"/>
      <c r="S557" s="188"/>
      <c r="T557" s="188"/>
      <c r="U557" s="190"/>
      <c r="V557" s="190"/>
      <c r="W557" s="190"/>
      <c r="X557" s="188"/>
      <c r="Y557" s="188"/>
      <c r="Z557" s="190"/>
      <c r="AA557" s="188"/>
      <c r="AB557" s="188"/>
      <c r="AC557" s="188"/>
      <c r="AD557" s="188"/>
      <c r="AE557" s="188"/>
    </row>
    <row r="558" ht="14.25" customHeight="1">
      <c r="A558" s="186" t="s">
        <v>2387</v>
      </c>
      <c r="B558" s="187" t="s">
        <v>2388</v>
      </c>
      <c r="C558" s="186" t="s">
        <v>2389</v>
      </c>
      <c r="D558" s="188"/>
      <c r="E558" s="188"/>
      <c r="F558" s="189"/>
      <c r="G558" s="188"/>
      <c r="H558" s="188"/>
      <c r="I558" s="188"/>
      <c r="J558" s="188"/>
      <c r="K558" s="188"/>
      <c r="L558" s="188"/>
      <c r="M558" s="188"/>
      <c r="N558" s="188"/>
      <c r="O558" s="188"/>
      <c r="P558" s="188"/>
      <c r="Q558" s="188"/>
      <c r="R558" s="188"/>
      <c r="S558" s="188"/>
      <c r="T558" s="188"/>
      <c r="U558" s="190"/>
      <c r="V558" s="190"/>
      <c r="W558" s="190"/>
      <c r="X558" s="188"/>
      <c r="Y558" s="188"/>
      <c r="Z558" s="190"/>
      <c r="AA558" s="188"/>
      <c r="AB558" s="188"/>
      <c r="AC558" s="188"/>
      <c r="AD558" s="188"/>
      <c r="AE558" s="188"/>
    </row>
    <row r="559" ht="14.25" customHeight="1">
      <c r="A559" s="186" t="s">
        <v>2390</v>
      </c>
      <c r="B559" s="187" t="s">
        <v>2391</v>
      </c>
      <c r="C559" s="186" t="s">
        <v>2392</v>
      </c>
      <c r="D559" s="188"/>
      <c r="E559" s="188"/>
      <c r="F559" s="189" t="s">
        <v>2393</v>
      </c>
      <c r="G559" s="188"/>
      <c r="H559" s="188"/>
      <c r="I559" s="188"/>
      <c r="J559" s="188"/>
      <c r="K559" s="188"/>
      <c r="L559" s="188"/>
      <c r="M559" s="188"/>
      <c r="N559" s="188"/>
      <c r="O559" s="188"/>
      <c r="P559" s="188"/>
      <c r="Q559" s="188"/>
      <c r="R559" s="188"/>
      <c r="S559" s="188"/>
      <c r="T559" s="188"/>
      <c r="U559" s="190"/>
      <c r="V559" s="190"/>
      <c r="W559" s="190"/>
      <c r="X559" s="188"/>
      <c r="Y559" s="188"/>
      <c r="Z559" s="190"/>
      <c r="AA559" s="188"/>
      <c r="AB559" s="188"/>
      <c r="AC559" s="188"/>
      <c r="AD559" s="188"/>
      <c r="AE559" s="188"/>
    </row>
    <row r="560" ht="14.25" customHeight="1">
      <c r="A560" s="186" t="s">
        <v>2394</v>
      </c>
      <c r="B560" s="187" t="s">
        <v>2395</v>
      </c>
      <c r="C560" s="186" t="s">
        <v>2396</v>
      </c>
      <c r="D560" s="188"/>
      <c r="E560" s="188"/>
      <c r="F560" s="189" t="s">
        <v>2397</v>
      </c>
      <c r="G560" s="188"/>
      <c r="H560" s="188"/>
      <c r="I560" s="188"/>
      <c r="J560" s="188"/>
      <c r="K560" s="188"/>
      <c r="L560" s="188"/>
      <c r="M560" s="188"/>
      <c r="N560" s="188"/>
      <c r="O560" s="188"/>
      <c r="P560" s="188"/>
      <c r="Q560" s="188"/>
      <c r="R560" s="188"/>
      <c r="S560" s="188"/>
      <c r="T560" s="188"/>
      <c r="U560" s="190"/>
      <c r="V560" s="190"/>
      <c r="W560" s="190"/>
      <c r="X560" s="188"/>
      <c r="Y560" s="188"/>
      <c r="Z560" s="190"/>
      <c r="AA560" s="188"/>
      <c r="AB560" s="188"/>
      <c r="AC560" s="188"/>
      <c r="AD560" s="188"/>
      <c r="AE560" s="188"/>
    </row>
    <row r="561" ht="14.25" customHeight="1">
      <c r="A561" s="186" t="s">
        <v>2398</v>
      </c>
      <c r="B561" s="187" t="s">
        <v>2399</v>
      </c>
      <c r="C561" s="186" t="s">
        <v>2400</v>
      </c>
      <c r="D561" s="188"/>
      <c r="E561" s="188"/>
      <c r="F561" s="189" t="s">
        <v>2401</v>
      </c>
      <c r="G561" s="188"/>
      <c r="H561" s="188"/>
      <c r="I561" s="188"/>
      <c r="J561" s="188"/>
      <c r="K561" s="188"/>
      <c r="L561" s="188"/>
      <c r="M561" s="188"/>
      <c r="N561" s="188"/>
      <c r="O561" s="188"/>
      <c r="P561" s="188"/>
      <c r="Q561" s="188"/>
      <c r="R561" s="188"/>
      <c r="S561" s="188"/>
      <c r="T561" s="188"/>
      <c r="U561" s="190"/>
      <c r="V561" s="190"/>
      <c r="W561" s="190"/>
      <c r="X561" s="188"/>
      <c r="Y561" s="188"/>
      <c r="Z561" s="190"/>
      <c r="AA561" s="188"/>
      <c r="AB561" s="188"/>
      <c r="AC561" s="188"/>
      <c r="AD561" s="188"/>
      <c r="AE561" s="188"/>
    </row>
    <row r="562" ht="14.25" customHeight="1">
      <c r="A562" s="186" t="s">
        <v>2402</v>
      </c>
      <c r="B562" s="187" t="s">
        <v>2403</v>
      </c>
      <c r="C562" s="186" t="s">
        <v>2404</v>
      </c>
      <c r="D562" s="188"/>
      <c r="E562" s="188"/>
      <c r="F562" s="189" t="s">
        <v>2405</v>
      </c>
      <c r="G562" s="188"/>
      <c r="H562" s="188"/>
      <c r="I562" s="188"/>
      <c r="J562" s="188"/>
      <c r="K562" s="188"/>
      <c r="L562" s="188"/>
      <c r="M562" s="188"/>
      <c r="N562" s="188"/>
      <c r="O562" s="188"/>
      <c r="P562" s="188"/>
      <c r="Q562" s="188"/>
      <c r="R562" s="188"/>
      <c r="S562" s="188"/>
      <c r="T562" s="188"/>
      <c r="U562" s="190"/>
      <c r="V562" s="190"/>
      <c r="W562" s="190"/>
      <c r="X562" s="188"/>
      <c r="Y562" s="188"/>
      <c r="Z562" s="190"/>
      <c r="AA562" s="188"/>
      <c r="AB562" s="188"/>
      <c r="AC562" s="188"/>
      <c r="AD562" s="188"/>
      <c r="AE562" s="188"/>
    </row>
    <row r="563" ht="14.25" customHeight="1">
      <c r="A563" s="186" t="s">
        <v>2406</v>
      </c>
      <c r="B563" s="187" t="s">
        <v>2407</v>
      </c>
      <c r="C563" s="186" t="s">
        <v>2408</v>
      </c>
      <c r="D563" s="188"/>
      <c r="E563" s="188"/>
      <c r="F563" s="189" t="s">
        <v>2409</v>
      </c>
      <c r="G563" s="188"/>
      <c r="H563" s="188"/>
      <c r="I563" s="188"/>
      <c r="J563" s="188"/>
      <c r="K563" s="188"/>
      <c r="L563" s="188"/>
      <c r="M563" s="188"/>
      <c r="N563" s="188"/>
      <c r="O563" s="188"/>
      <c r="P563" s="188"/>
      <c r="Q563" s="188"/>
      <c r="R563" s="188"/>
      <c r="S563" s="188"/>
      <c r="T563" s="188"/>
      <c r="U563" s="190"/>
      <c r="V563" s="190"/>
      <c r="W563" s="190"/>
      <c r="X563" s="188"/>
      <c r="Y563" s="188"/>
      <c r="Z563" s="190"/>
      <c r="AA563" s="188"/>
      <c r="AB563" s="188"/>
      <c r="AC563" s="190"/>
      <c r="AD563" s="190"/>
      <c r="AE563" s="188"/>
    </row>
    <row r="564" ht="14.25" customHeight="1">
      <c r="A564" s="186" t="s">
        <v>2410</v>
      </c>
      <c r="B564" s="187" t="s">
        <v>2411</v>
      </c>
      <c r="C564" s="186" t="s">
        <v>2412</v>
      </c>
      <c r="D564" s="188"/>
      <c r="E564" s="188"/>
      <c r="F564" s="189" t="s">
        <v>2413</v>
      </c>
      <c r="G564" s="188"/>
      <c r="H564" s="188"/>
      <c r="I564" s="188"/>
      <c r="J564" s="188"/>
      <c r="K564" s="188"/>
      <c r="L564" s="188"/>
      <c r="M564" s="188"/>
      <c r="N564" s="188"/>
      <c r="O564" s="188"/>
      <c r="P564" s="188"/>
      <c r="Q564" s="188"/>
      <c r="R564" s="188"/>
      <c r="S564" s="188"/>
      <c r="T564" s="188"/>
      <c r="U564" s="190"/>
      <c r="V564" s="190"/>
      <c r="W564" s="190"/>
      <c r="X564" s="188"/>
      <c r="Y564" s="188"/>
      <c r="Z564" s="190"/>
      <c r="AA564" s="188"/>
      <c r="AB564" s="188"/>
      <c r="AC564" s="188"/>
      <c r="AD564" s="188"/>
      <c r="AE564" s="188"/>
    </row>
    <row r="565" ht="14.25" customHeight="1">
      <c r="A565" s="186" t="s">
        <v>2414</v>
      </c>
      <c r="B565" s="187" t="s">
        <v>2415</v>
      </c>
      <c r="C565" s="186" t="s">
        <v>150</v>
      </c>
      <c r="D565" s="188"/>
      <c r="E565" s="188"/>
      <c r="F565" s="189" t="s">
        <v>151</v>
      </c>
      <c r="G565" s="188"/>
      <c r="H565" s="188"/>
      <c r="I565" s="188"/>
      <c r="J565" s="188"/>
      <c r="K565" s="188"/>
      <c r="L565" s="188"/>
      <c r="M565" s="188"/>
      <c r="N565" s="188"/>
      <c r="O565" s="188"/>
      <c r="P565" s="188"/>
      <c r="Q565" s="188"/>
      <c r="R565" s="188"/>
      <c r="S565" s="188"/>
      <c r="T565" s="188"/>
      <c r="U565" s="190"/>
      <c r="V565" s="190"/>
      <c r="W565" s="190"/>
      <c r="X565" s="188"/>
      <c r="Y565" s="188"/>
      <c r="Z565" s="190"/>
      <c r="AA565" s="188"/>
      <c r="AB565" s="188"/>
      <c r="AC565" s="188"/>
      <c r="AD565" s="188"/>
      <c r="AE565" s="188"/>
    </row>
    <row r="566" ht="14.25" customHeight="1">
      <c r="A566" s="186" t="s">
        <v>2416</v>
      </c>
      <c r="B566" s="187" t="s">
        <v>2417</v>
      </c>
      <c r="C566" s="186" t="s">
        <v>2418</v>
      </c>
      <c r="D566" s="188"/>
      <c r="E566" s="188"/>
      <c r="F566" s="189" t="s">
        <v>2419</v>
      </c>
      <c r="G566" s="188"/>
      <c r="H566" s="188"/>
      <c r="I566" s="188"/>
      <c r="J566" s="188"/>
      <c r="K566" s="188"/>
      <c r="L566" s="188"/>
      <c r="M566" s="188"/>
      <c r="N566" s="188"/>
      <c r="O566" s="188"/>
      <c r="P566" s="188"/>
      <c r="Q566" s="188"/>
      <c r="R566" s="188"/>
      <c r="S566" s="188"/>
      <c r="T566" s="188"/>
      <c r="U566" s="190"/>
      <c r="V566" s="190"/>
      <c r="W566" s="190"/>
      <c r="X566" s="188"/>
      <c r="Y566" s="188"/>
      <c r="Z566" s="190"/>
      <c r="AA566" s="188"/>
      <c r="AB566" s="188"/>
      <c r="AC566" s="188"/>
      <c r="AD566" s="188"/>
      <c r="AE566" s="188"/>
    </row>
    <row r="567" ht="14.25" customHeight="1">
      <c r="A567" s="186" t="s">
        <v>2420</v>
      </c>
      <c r="B567" s="187" t="s">
        <v>2421</v>
      </c>
      <c r="C567" s="186" t="s">
        <v>132</v>
      </c>
      <c r="D567" s="188"/>
      <c r="E567" s="188"/>
      <c r="F567" s="189" t="s">
        <v>133</v>
      </c>
      <c r="G567" s="188"/>
      <c r="H567" s="188"/>
      <c r="I567" s="188"/>
      <c r="J567" s="188"/>
      <c r="K567" s="188"/>
      <c r="L567" s="188"/>
      <c r="M567" s="188"/>
      <c r="N567" s="188"/>
      <c r="O567" s="188"/>
      <c r="P567" s="188"/>
      <c r="Q567" s="188"/>
      <c r="R567" s="188"/>
      <c r="S567" s="188"/>
      <c r="T567" s="188"/>
      <c r="U567" s="190"/>
      <c r="V567" s="190"/>
      <c r="W567" s="190"/>
      <c r="X567" s="188"/>
      <c r="Y567" s="188"/>
      <c r="Z567" s="190"/>
      <c r="AA567" s="188"/>
      <c r="AB567" s="188"/>
      <c r="AC567" s="188"/>
      <c r="AD567" s="188"/>
      <c r="AE567" s="188"/>
    </row>
    <row r="568" ht="14.25" customHeight="1">
      <c r="A568" s="186" t="s">
        <v>2422</v>
      </c>
      <c r="B568" s="187" t="s">
        <v>2423</v>
      </c>
      <c r="C568" s="186" t="s">
        <v>2424</v>
      </c>
      <c r="D568" s="188"/>
      <c r="E568" s="188"/>
      <c r="F568" s="189" t="s">
        <v>2425</v>
      </c>
      <c r="G568" s="188"/>
      <c r="H568" s="188"/>
      <c r="I568" s="188"/>
      <c r="J568" s="188"/>
      <c r="K568" s="188"/>
      <c r="L568" s="188"/>
      <c r="M568" s="188"/>
      <c r="N568" s="188"/>
      <c r="O568" s="188"/>
      <c r="P568" s="188"/>
      <c r="Q568" s="188"/>
      <c r="R568" s="188"/>
      <c r="S568" s="188"/>
      <c r="T568" s="188"/>
      <c r="U568" s="190"/>
      <c r="V568" s="190"/>
      <c r="W568" s="190"/>
      <c r="X568" s="188"/>
      <c r="Y568" s="188"/>
      <c r="Z568" s="190"/>
      <c r="AA568" s="188"/>
      <c r="AB568" s="188"/>
      <c r="AC568" s="190"/>
      <c r="AD568" s="190"/>
      <c r="AE568" s="188"/>
    </row>
    <row r="569" ht="14.25" customHeight="1">
      <c r="A569" s="186" t="s">
        <v>2426</v>
      </c>
      <c r="B569" s="187" t="s">
        <v>2427</v>
      </c>
      <c r="C569" s="186" t="s">
        <v>2428</v>
      </c>
      <c r="D569" s="188"/>
      <c r="E569" s="188"/>
      <c r="F569" s="189" t="s">
        <v>2429</v>
      </c>
      <c r="G569" s="188"/>
      <c r="H569" s="188"/>
      <c r="I569" s="188"/>
      <c r="J569" s="188"/>
      <c r="K569" s="188"/>
      <c r="L569" s="188"/>
      <c r="M569" s="188"/>
      <c r="N569" s="188"/>
      <c r="O569" s="188"/>
      <c r="P569" s="188"/>
      <c r="Q569" s="188"/>
      <c r="R569" s="188"/>
      <c r="S569" s="188"/>
      <c r="T569" s="188"/>
      <c r="U569" s="190"/>
      <c r="V569" s="190"/>
      <c r="W569" s="190"/>
      <c r="X569" s="188"/>
      <c r="Y569" s="188"/>
      <c r="Z569" s="190"/>
      <c r="AA569" s="188"/>
      <c r="AB569" s="188"/>
      <c r="AC569" s="188"/>
      <c r="AD569" s="188"/>
      <c r="AE569" s="188"/>
    </row>
    <row r="570" ht="14.25" customHeight="1">
      <c r="A570" s="186" t="s">
        <v>2430</v>
      </c>
      <c r="B570" s="187" t="s">
        <v>2431</v>
      </c>
      <c r="C570" s="186" t="s">
        <v>2432</v>
      </c>
      <c r="D570" s="188"/>
      <c r="E570" s="188"/>
      <c r="F570" s="189"/>
      <c r="G570" s="188"/>
      <c r="H570" s="188"/>
      <c r="I570" s="188"/>
      <c r="J570" s="188"/>
      <c r="K570" s="188"/>
      <c r="L570" s="188"/>
      <c r="M570" s="188"/>
      <c r="N570" s="188"/>
      <c r="O570" s="188"/>
      <c r="P570" s="188"/>
      <c r="Q570" s="188"/>
      <c r="R570" s="188"/>
      <c r="S570" s="188"/>
      <c r="T570" s="188"/>
      <c r="U570" s="190"/>
      <c r="V570" s="190"/>
      <c r="W570" s="190"/>
      <c r="X570" s="188"/>
      <c r="Y570" s="188"/>
      <c r="Z570" s="190"/>
      <c r="AA570" s="188"/>
      <c r="AB570" s="188"/>
      <c r="AC570" s="190"/>
      <c r="AD570" s="190"/>
      <c r="AE570" s="188"/>
    </row>
    <row r="571" ht="14.25" customHeight="1">
      <c r="A571" s="186" t="s">
        <v>2433</v>
      </c>
      <c r="B571" s="187" t="s">
        <v>2434</v>
      </c>
      <c r="C571" s="186" t="s">
        <v>2435</v>
      </c>
      <c r="D571" s="188"/>
      <c r="E571" s="188"/>
      <c r="F571" s="189" t="s">
        <v>2436</v>
      </c>
      <c r="G571" s="188"/>
      <c r="H571" s="188"/>
      <c r="I571" s="188"/>
      <c r="J571" s="188"/>
      <c r="K571" s="188"/>
      <c r="L571" s="188"/>
      <c r="M571" s="188"/>
      <c r="N571" s="188"/>
      <c r="O571" s="188"/>
      <c r="P571" s="188"/>
      <c r="Q571" s="188"/>
      <c r="R571" s="188"/>
      <c r="S571" s="188"/>
      <c r="T571" s="188"/>
      <c r="U571" s="190"/>
      <c r="V571" s="190"/>
      <c r="W571" s="190"/>
      <c r="X571" s="188"/>
      <c r="Y571" s="188"/>
      <c r="Z571" s="190"/>
      <c r="AA571" s="188"/>
      <c r="AB571" s="188"/>
      <c r="AC571" s="188"/>
      <c r="AD571" s="188"/>
      <c r="AE571" s="188"/>
    </row>
    <row r="572" ht="14.25" customHeight="1">
      <c r="A572" s="186" t="s">
        <v>2437</v>
      </c>
      <c r="B572" s="187" t="s">
        <v>2438</v>
      </c>
      <c r="C572" s="186" t="s">
        <v>2439</v>
      </c>
      <c r="D572" s="188"/>
      <c r="E572" s="188"/>
      <c r="F572" s="189" t="s">
        <v>2440</v>
      </c>
      <c r="G572" s="188"/>
      <c r="H572" s="188"/>
      <c r="I572" s="188"/>
      <c r="J572" s="188"/>
      <c r="K572" s="188"/>
      <c r="L572" s="188"/>
      <c r="M572" s="188"/>
      <c r="N572" s="188"/>
      <c r="O572" s="188"/>
      <c r="P572" s="188"/>
      <c r="Q572" s="188"/>
      <c r="R572" s="188"/>
      <c r="S572" s="188"/>
      <c r="T572" s="188"/>
      <c r="U572" s="190"/>
      <c r="V572" s="190"/>
      <c r="W572" s="190"/>
      <c r="X572" s="188"/>
      <c r="Y572" s="188"/>
      <c r="Z572" s="190"/>
      <c r="AA572" s="188"/>
      <c r="AB572" s="188"/>
      <c r="AC572" s="188"/>
      <c r="AD572" s="188"/>
      <c r="AE572" s="188"/>
    </row>
    <row r="573" ht="14.25" customHeight="1">
      <c r="A573" s="186" t="s">
        <v>2441</v>
      </c>
      <c r="B573" s="187" t="s">
        <v>2442</v>
      </c>
      <c r="C573" s="186" t="s">
        <v>2443</v>
      </c>
      <c r="D573" s="188"/>
      <c r="E573" s="188"/>
      <c r="F573" s="189" t="s">
        <v>2444</v>
      </c>
      <c r="G573" s="188"/>
      <c r="H573" s="188"/>
      <c r="I573" s="188"/>
      <c r="J573" s="188"/>
      <c r="K573" s="188"/>
      <c r="L573" s="188"/>
      <c r="M573" s="188"/>
      <c r="N573" s="188"/>
      <c r="O573" s="188"/>
      <c r="P573" s="188"/>
      <c r="Q573" s="188"/>
      <c r="R573" s="188"/>
      <c r="S573" s="188"/>
      <c r="T573" s="188"/>
      <c r="U573" s="190"/>
      <c r="V573" s="190"/>
      <c r="W573" s="190"/>
      <c r="X573" s="188"/>
      <c r="Y573" s="188"/>
      <c r="Z573" s="190"/>
      <c r="AA573" s="188"/>
      <c r="AB573" s="188"/>
      <c r="AC573" s="188"/>
      <c r="AD573" s="188"/>
      <c r="AE573" s="188"/>
    </row>
    <row r="574" ht="14.25" customHeight="1">
      <c r="A574" s="186" t="s">
        <v>2445</v>
      </c>
      <c r="B574" s="187" t="s">
        <v>2446</v>
      </c>
      <c r="C574" s="186" t="s">
        <v>2447</v>
      </c>
      <c r="D574" s="188"/>
      <c r="E574" s="188"/>
      <c r="F574" s="189" t="s">
        <v>2448</v>
      </c>
      <c r="G574" s="188"/>
      <c r="H574" s="188"/>
      <c r="I574" s="188"/>
      <c r="J574" s="188"/>
      <c r="K574" s="188"/>
      <c r="L574" s="188"/>
      <c r="M574" s="188"/>
      <c r="N574" s="188"/>
      <c r="O574" s="188"/>
      <c r="P574" s="188"/>
      <c r="Q574" s="188"/>
      <c r="R574" s="188"/>
      <c r="S574" s="188"/>
      <c r="T574" s="188"/>
      <c r="U574" s="190"/>
      <c r="V574" s="190"/>
      <c r="W574" s="190"/>
      <c r="X574" s="188"/>
      <c r="Y574" s="188"/>
      <c r="Z574" s="190"/>
      <c r="AA574" s="188"/>
      <c r="AB574" s="188"/>
      <c r="AC574" s="188"/>
      <c r="AD574" s="188"/>
      <c r="AE574" s="188"/>
    </row>
    <row r="575" ht="14.25" customHeight="1">
      <c r="A575" s="186" t="s">
        <v>2449</v>
      </c>
      <c r="B575" s="187" t="s">
        <v>2450</v>
      </c>
      <c r="C575" s="186" t="s">
        <v>2451</v>
      </c>
      <c r="D575" s="188"/>
      <c r="E575" s="188"/>
      <c r="F575" s="189" t="s">
        <v>2452</v>
      </c>
      <c r="G575" s="188"/>
      <c r="H575" s="188"/>
      <c r="I575" s="188"/>
      <c r="J575" s="188"/>
      <c r="K575" s="188"/>
      <c r="L575" s="188"/>
      <c r="M575" s="188"/>
      <c r="N575" s="188"/>
      <c r="O575" s="188"/>
      <c r="P575" s="188"/>
      <c r="Q575" s="188"/>
      <c r="R575" s="188"/>
      <c r="S575" s="188"/>
      <c r="T575" s="188"/>
      <c r="U575" s="190"/>
      <c r="V575" s="190"/>
      <c r="W575" s="190"/>
      <c r="X575" s="188"/>
      <c r="Y575" s="188"/>
      <c r="Z575" s="190"/>
      <c r="AA575" s="188"/>
      <c r="AB575" s="188"/>
      <c r="AC575" s="188"/>
      <c r="AD575" s="188"/>
      <c r="AE575" s="188"/>
    </row>
    <row r="576" ht="14.25" customHeight="1">
      <c r="A576" s="186" t="s">
        <v>2453</v>
      </c>
      <c r="B576" s="187" t="s">
        <v>2454</v>
      </c>
      <c r="C576" s="186" t="s">
        <v>2455</v>
      </c>
      <c r="D576" s="188"/>
      <c r="E576" s="188"/>
      <c r="F576" s="189" t="s">
        <v>2456</v>
      </c>
      <c r="G576" s="188"/>
      <c r="H576" s="188"/>
      <c r="I576" s="188"/>
      <c r="J576" s="188"/>
      <c r="K576" s="188"/>
      <c r="L576" s="188"/>
      <c r="M576" s="188"/>
      <c r="N576" s="188"/>
      <c r="O576" s="188"/>
      <c r="P576" s="188"/>
      <c r="Q576" s="188"/>
      <c r="R576" s="188"/>
      <c r="S576" s="188"/>
      <c r="T576" s="188"/>
      <c r="U576" s="190"/>
      <c r="V576" s="190"/>
      <c r="W576" s="190"/>
      <c r="X576" s="188"/>
      <c r="Y576" s="188"/>
      <c r="Z576" s="190"/>
      <c r="AA576" s="188"/>
      <c r="AB576" s="188"/>
      <c r="AC576" s="188"/>
      <c r="AD576" s="188"/>
      <c r="AE576" s="188"/>
    </row>
    <row r="577" ht="14.25" customHeight="1">
      <c r="A577" s="186" t="s">
        <v>2457</v>
      </c>
      <c r="B577" s="187" t="s">
        <v>2458</v>
      </c>
      <c r="C577" s="186" t="s">
        <v>2459</v>
      </c>
      <c r="D577" s="188"/>
      <c r="E577" s="188"/>
      <c r="F577" s="189" t="s">
        <v>2460</v>
      </c>
      <c r="G577" s="188"/>
      <c r="H577" s="188"/>
      <c r="I577" s="188"/>
      <c r="J577" s="188"/>
      <c r="K577" s="188"/>
      <c r="L577" s="188"/>
      <c r="M577" s="188"/>
      <c r="N577" s="188"/>
      <c r="O577" s="188"/>
      <c r="P577" s="188"/>
      <c r="Q577" s="188"/>
      <c r="R577" s="188"/>
      <c r="S577" s="188"/>
      <c r="T577" s="188"/>
      <c r="U577" s="190"/>
      <c r="V577" s="190"/>
      <c r="W577" s="190"/>
      <c r="X577" s="188"/>
      <c r="Y577" s="188"/>
      <c r="Z577" s="190"/>
      <c r="AA577" s="188"/>
      <c r="AB577" s="188"/>
      <c r="AC577" s="188"/>
      <c r="AD577" s="188"/>
      <c r="AE577" s="188"/>
    </row>
    <row r="578" ht="14.25" customHeight="1">
      <c r="A578" s="186" t="s">
        <v>2461</v>
      </c>
      <c r="B578" s="187" t="s">
        <v>2462</v>
      </c>
      <c r="C578" s="186" t="s">
        <v>2463</v>
      </c>
      <c r="D578" s="188"/>
      <c r="E578" s="188"/>
      <c r="F578" s="189" t="s">
        <v>2464</v>
      </c>
      <c r="G578" s="188"/>
      <c r="H578" s="188"/>
      <c r="I578" s="188"/>
      <c r="J578" s="188"/>
      <c r="K578" s="188"/>
      <c r="L578" s="188"/>
      <c r="M578" s="188"/>
      <c r="N578" s="188"/>
      <c r="O578" s="188"/>
      <c r="P578" s="188"/>
      <c r="Q578" s="188"/>
      <c r="R578" s="188"/>
      <c r="S578" s="188"/>
      <c r="T578" s="188"/>
      <c r="U578" s="190"/>
      <c r="V578" s="190"/>
      <c r="W578" s="190"/>
      <c r="X578" s="188"/>
      <c r="Y578" s="188"/>
      <c r="Z578" s="190"/>
      <c r="AA578" s="188"/>
      <c r="AB578" s="188"/>
      <c r="AC578" s="188"/>
      <c r="AD578" s="188"/>
      <c r="AE578" s="188"/>
    </row>
    <row r="579" ht="14.25" customHeight="1">
      <c r="A579" s="186" t="s">
        <v>2465</v>
      </c>
      <c r="B579" s="187" t="s">
        <v>2466</v>
      </c>
      <c r="C579" s="186" t="s">
        <v>2467</v>
      </c>
      <c r="D579" s="188"/>
      <c r="E579" s="188"/>
      <c r="F579" s="189" t="s">
        <v>2468</v>
      </c>
      <c r="G579" s="188"/>
      <c r="H579" s="188"/>
      <c r="I579" s="188"/>
      <c r="J579" s="188"/>
      <c r="K579" s="188"/>
      <c r="L579" s="188"/>
      <c r="M579" s="188"/>
      <c r="N579" s="188"/>
      <c r="O579" s="188"/>
      <c r="P579" s="188"/>
      <c r="Q579" s="188"/>
      <c r="R579" s="188"/>
      <c r="S579" s="188"/>
      <c r="T579" s="188"/>
      <c r="U579" s="190"/>
      <c r="V579" s="190"/>
      <c r="W579" s="190"/>
      <c r="X579" s="188"/>
      <c r="Y579" s="188"/>
      <c r="Z579" s="190"/>
      <c r="AA579" s="188"/>
      <c r="AB579" s="188"/>
      <c r="AC579" s="188"/>
      <c r="AD579" s="188"/>
      <c r="AE579" s="188"/>
    </row>
    <row r="580" ht="14.25" customHeight="1">
      <c r="A580" s="186" t="s">
        <v>2469</v>
      </c>
      <c r="B580" s="187" t="s">
        <v>2470</v>
      </c>
      <c r="C580" s="186" t="s">
        <v>2471</v>
      </c>
      <c r="D580" s="188"/>
      <c r="E580" s="188"/>
      <c r="F580" s="189" t="s">
        <v>2472</v>
      </c>
      <c r="G580" s="188"/>
      <c r="H580" s="188"/>
      <c r="I580" s="188"/>
      <c r="J580" s="188"/>
      <c r="K580" s="188"/>
      <c r="L580" s="188"/>
      <c r="M580" s="188"/>
      <c r="N580" s="188"/>
      <c r="O580" s="188"/>
      <c r="P580" s="188"/>
      <c r="Q580" s="188"/>
      <c r="R580" s="188"/>
      <c r="S580" s="188"/>
      <c r="T580" s="188"/>
      <c r="U580" s="190"/>
      <c r="V580" s="190"/>
      <c r="W580" s="190"/>
      <c r="X580" s="188"/>
      <c r="Y580" s="188"/>
      <c r="Z580" s="190"/>
      <c r="AA580" s="188"/>
      <c r="AB580" s="188"/>
      <c r="AC580" s="188"/>
      <c r="AD580" s="188"/>
      <c r="AE580" s="188"/>
    </row>
    <row r="581" ht="14.25" customHeight="1">
      <c r="A581" s="186" t="s">
        <v>2473</v>
      </c>
      <c r="B581" s="187" t="s">
        <v>2474</v>
      </c>
      <c r="C581" s="186" t="s">
        <v>2475</v>
      </c>
      <c r="D581" s="188"/>
      <c r="E581" s="188"/>
      <c r="F581" s="189" t="s">
        <v>2476</v>
      </c>
      <c r="G581" s="188"/>
      <c r="H581" s="188"/>
      <c r="I581" s="188"/>
      <c r="J581" s="188"/>
      <c r="K581" s="188"/>
      <c r="L581" s="188"/>
      <c r="M581" s="188"/>
      <c r="N581" s="188"/>
      <c r="O581" s="188"/>
      <c r="P581" s="188"/>
      <c r="Q581" s="188"/>
      <c r="R581" s="188"/>
      <c r="S581" s="188"/>
      <c r="T581" s="188"/>
      <c r="U581" s="190"/>
      <c r="V581" s="190"/>
      <c r="W581" s="190"/>
      <c r="X581" s="188"/>
      <c r="Y581" s="188"/>
      <c r="Z581" s="190"/>
      <c r="AA581" s="188"/>
      <c r="AB581" s="188"/>
      <c r="AC581" s="188"/>
      <c r="AD581" s="188"/>
      <c r="AE581" s="188"/>
    </row>
    <row r="582" ht="14.25" customHeight="1">
      <c r="A582" s="186" t="s">
        <v>2477</v>
      </c>
      <c r="B582" s="187" t="s">
        <v>2478</v>
      </c>
      <c r="C582" s="186" t="s">
        <v>2479</v>
      </c>
      <c r="D582" s="188"/>
      <c r="E582" s="188"/>
      <c r="F582" s="189" t="s">
        <v>2480</v>
      </c>
      <c r="G582" s="188"/>
      <c r="H582" s="188"/>
      <c r="I582" s="188"/>
      <c r="J582" s="188"/>
      <c r="K582" s="188"/>
      <c r="L582" s="188"/>
      <c r="M582" s="188"/>
      <c r="N582" s="188"/>
      <c r="O582" s="188"/>
      <c r="P582" s="188"/>
      <c r="Q582" s="188"/>
      <c r="R582" s="188"/>
      <c r="S582" s="188"/>
      <c r="T582" s="188"/>
      <c r="U582" s="190"/>
      <c r="V582" s="190"/>
      <c r="W582" s="190"/>
      <c r="X582" s="188"/>
      <c r="Y582" s="188"/>
      <c r="Z582" s="190"/>
      <c r="AA582" s="188"/>
      <c r="AB582" s="188"/>
      <c r="AC582" s="188"/>
      <c r="AD582" s="188"/>
      <c r="AE582" s="188"/>
    </row>
    <row r="583" ht="14.25" customHeight="1">
      <c r="A583" s="186" t="s">
        <v>2481</v>
      </c>
      <c r="B583" s="187" t="s">
        <v>2482</v>
      </c>
      <c r="C583" s="186" t="s">
        <v>2483</v>
      </c>
      <c r="D583" s="188"/>
      <c r="E583" s="188"/>
      <c r="F583" s="189" t="s">
        <v>2484</v>
      </c>
      <c r="G583" s="188"/>
      <c r="H583" s="188"/>
      <c r="I583" s="188"/>
      <c r="J583" s="188"/>
      <c r="K583" s="188"/>
      <c r="L583" s="188"/>
      <c r="M583" s="188"/>
      <c r="N583" s="188"/>
      <c r="O583" s="188"/>
      <c r="P583" s="188"/>
      <c r="Q583" s="188"/>
      <c r="R583" s="188"/>
      <c r="S583" s="188"/>
      <c r="T583" s="188"/>
      <c r="U583" s="190"/>
      <c r="V583" s="190"/>
      <c r="W583" s="190"/>
      <c r="X583" s="188"/>
      <c r="Y583" s="188"/>
      <c r="Z583" s="190"/>
      <c r="AA583" s="188"/>
      <c r="AB583" s="188"/>
      <c r="AC583" s="188"/>
      <c r="AD583" s="188"/>
      <c r="AE583" s="188"/>
    </row>
    <row r="584" ht="14.25" customHeight="1">
      <c r="A584" s="186" t="s">
        <v>2485</v>
      </c>
      <c r="B584" s="187" t="s">
        <v>2486</v>
      </c>
      <c r="C584" s="186" t="s">
        <v>2487</v>
      </c>
      <c r="D584" s="188"/>
      <c r="E584" s="188"/>
      <c r="F584" s="189" t="s">
        <v>2488</v>
      </c>
      <c r="G584" s="188"/>
      <c r="H584" s="188"/>
      <c r="I584" s="188"/>
      <c r="J584" s="188"/>
      <c r="K584" s="188"/>
      <c r="L584" s="188"/>
      <c r="M584" s="188"/>
      <c r="N584" s="188"/>
      <c r="O584" s="188"/>
      <c r="P584" s="188"/>
      <c r="Q584" s="188"/>
      <c r="R584" s="188"/>
      <c r="S584" s="188"/>
      <c r="T584" s="188"/>
      <c r="U584" s="190"/>
      <c r="V584" s="190"/>
      <c r="W584" s="190"/>
      <c r="X584" s="188"/>
      <c r="Y584" s="188"/>
      <c r="Z584" s="190"/>
      <c r="AA584" s="188"/>
      <c r="AB584" s="188"/>
      <c r="AC584" s="188"/>
      <c r="AD584" s="188"/>
      <c r="AE584" s="188"/>
    </row>
    <row r="585" ht="14.25" customHeight="1">
      <c r="A585" s="186" t="s">
        <v>2489</v>
      </c>
      <c r="B585" s="187" t="s">
        <v>2490</v>
      </c>
      <c r="C585" s="186" t="s">
        <v>2491</v>
      </c>
      <c r="D585" s="188"/>
      <c r="E585" s="188"/>
      <c r="F585" s="189" t="s">
        <v>2492</v>
      </c>
      <c r="G585" s="188"/>
      <c r="H585" s="188"/>
      <c r="I585" s="188"/>
      <c r="J585" s="188"/>
      <c r="K585" s="188"/>
      <c r="L585" s="188"/>
      <c r="M585" s="188"/>
      <c r="N585" s="188"/>
      <c r="O585" s="188"/>
      <c r="P585" s="188"/>
      <c r="Q585" s="188"/>
      <c r="R585" s="188"/>
      <c r="S585" s="188"/>
      <c r="T585" s="188"/>
      <c r="U585" s="190"/>
      <c r="V585" s="190"/>
      <c r="W585" s="190"/>
      <c r="X585" s="188"/>
      <c r="Y585" s="188"/>
      <c r="Z585" s="190"/>
      <c r="AA585" s="188"/>
      <c r="AB585" s="188"/>
      <c r="AC585" s="188"/>
      <c r="AD585" s="188"/>
      <c r="AE585" s="188"/>
    </row>
    <row r="586" ht="14.25" customHeight="1">
      <c r="A586" s="186" t="s">
        <v>2493</v>
      </c>
      <c r="B586" s="187" t="s">
        <v>2494</v>
      </c>
      <c r="C586" s="186" t="s">
        <v>2495</v>
      </c>
      <c r="D586" s="188"/>
      <c r="E586" s="188"/>
      <c r="F586" s="189" t="s">
        <v>2496</v>
      </c>
      <c r="G586" s="188"/>
      <c r="H586" s="188"/>
      <c r="I586" s="188"/>
      <c r="J586" s="188"/>
      <c r="K586" s="188"/>
      <c r="L586" s="188"/>
      <c r="M586" s="188"/>
      <c r="N586" s="188"/>
      <c r="O586" s="188"/>
      <c r="P586" s="188"/>
      <c r="Q586" s="188"/>
      <c r="R586" s="188"/>
      <c r="S586" s="188"/>
      <c r="T586" s="188"/>
      <c r="U586" s="190"/>
      <c r="V586" s="190"/>
      <c r="W586" s="190"/>
      <c r="X586" s="188"/>
      <c r="Y586" s="188"/>
      <c r="Z586" s="190"/>
      <c r="AA586" s="188"/>
      <c r="AB586" s="188"/>
      <c r="AC586" s="188"/>
      <c r="AD586" s="188"/>
      <c r="AE586" s="188"/>
    </row>
    <row r="587" ht="14.25" customHeight="1">
      <c r="A587" s="186" t="s">
        <v>2497</v>
      </c>
      <c r="B587" s="187" t="s">
        <v>2498</v>
      </c>
      <c r="C587" s="186" t="s">
        <v>2499</v>
      </c>
      <c r="D587" s="188"/>
      <c r="E587" s="188"/>
      <c r="F587" s="189" t="s">
        <v>2500</v>
      </c>
      <c r="G587" s="188"/>
      <c r="H587" s="188"/>
      <c r="I587" s="188"/>
      <c r="J587" s="188"/>
      <c r="K587" s="188"/>
      <c r="L587" s="188"/>
      <c r="M587" s="188"/>
      <c r="N587" s="188"/>
      <c r="O587" s="188"/>
      <c r="P587" s="188"/>
      <c r="Q587" s="188"/>
      <c r="R587" s="188"/>
      <c r="S587" s="188"/>
      <c r="T587" s="188"/>
      <c r="U587" s="190"/>
      <c r="V587" s="190"/>
      <c r="W587" s="190"/>
      <c r="X587" s="188"/>
      <c r="Y587" s="188"/>
      <c r="Z587" s="190"/>
      <c r="AA587" s="188"/>
      <c r="AB587" s="188"/>
      <c r="AC587" s="188"/>
      <c r="AD587" s="188"/>
      <c r="AE587" s="188"/>
    </row>
    <row r="588" ht="14.25" customHeight="1">
      <c r="A588" s="186" t="s">
        <v>2501</v>
      </c>
      <c r="B588" s="187" t="s">
        <v>2502</v>
      </c>
      <c r="C588" s="186" t="s">
        <v>2503</v>
      </c>
      <c r="D588" s="188"/>
      <c r="E588" s="188"/>
      <c r="F588" s="189" t="s">
        <v>2504</v>
      </c>
      <c r="G588" s="188"/>
      <c r="H588" s="188"/>
      <c r="I588" s="188"/>
      <c r="J588" s="188"/>
      <c r="K588" s="188"/>
      <c r="L588" s="188"/>
      <c r="M588" s="188"/>
      <c r="N588" s="188"/>
      <c r="O588" s="188"/>
      <c r="P588" s="188"/>
      <c r="Q588" s="188"/>
      <c r="R588" s="188"/>
      <c r="S588" s="188"/>
      <c r="T588" s="188"/>
      <c r="U588" s="190"/>
      <c r="V588" s="190"/>
      <c r="W588" s="190"/>
      <c r="X588" s="188"/>
      <c r="Y588" s="188"/>
      <c r="Z588" s="190"/>
      <c r="AA588" s="188"/>
      <c r="AB588" s="188"/>
      <c r="AC588" s="188"/>
      <c r="AD588" s="188"/>
      <c r="AE588" s="188"/>
    </row>
    <row r="589" ht="14.25" customHeight="1">
      <c r="A589" s="186" t="s">
        <v>2505</v>
      </c>
      <c r="B589" s="187" t="s">
        <v>2506</v>
      </c>
      <c r="C589" s="186" t="s">
        <v>2507</v>
      </c>
      <c r="D589" s="188"/>
      <c r="E589" s="188"/>
      <c r="F589" s="189" t="s">
        <v>2508</v>
      </c>
      <c r="G589" s="188"/>
      <c r="H589" s="188"/>
      <c r="I589" s="188"/>
      <c r="J589" s="188"/>
      <c r="K589" s="188"/>
      <c r="L589" s="188"/>
      <c r="M589" s="188"/>
      <c r="N589" s="188"/>
      <c r="O589" s="188"/>
      <c r="P589" s="188"/>
      <c r="Q589" s="188"/>
      <c r="R589" s="188"/>
      <c r="S589" s="188"/>
      <c r="T589" s="188"/>
      <c r="U589" s="190"/>
      <c r="V589" s="190"/>
      <c r="W589" s="190"/>
      <c r="X589" s="188"/>
      <c r="Y589" s="188"/>
      <c r="Z589" s="190"/>
      <c r="AA589" s="188"/>
      <c r="AB589" s="188"/>
      <c r="AC589" s="188"/>
      <c r="AD589" s="188"/>
      <c r="AE589" s="188"/>
    </row>
    <row r="590" ht="14.25" customHeight="1">
      <c r="A590" s="186" t="s">
        <v>2509</v>
      </c>
      <c r="B590" s="187" t="s">
        <v>2510</v>
      </c>
      <c r="C590" s="186" t="s">
        <v>2511</v>
      </c>
      <c r="D590" s="188"/>
      <c r="E590" s="188"/>
      <c r="F590" s="189"/>
      <c r="G590" s="188"/>
      <c r="H590" s="188"/>
      <c r="I590" s="188"/>
      <c r="J590" s="188"/>
      <c r="K590" s="188"/>
      <c r="L590" s="188"/>
      <c r="M590" s="188"/>
      <c r="N590" s="188"/>
      <c r="O590" s="188"/>
      <c r="P590" s="188"/>
      <c r="Q590" s="188"/>
      <c r="R590" s="188"/>
      <c r="S590" s="188"/>
      <c r="T590" s="188"/>
      <c r="U590" s="190"/>
      <c r="V590" s="190"/>
      <c r="W590" s="190"/>
      <c r="X590" s="188"/>
      <c r="Y590" s="188"/>
      <c r="Z590" s="190"/>
      <c r="AA590" s="188"/>
      <c r="AB590" s="188"/>
      <c r="AC590" s="188"/>
      <c r="AD590" s="188"/>
      <c r="AE590" s="188"/>
    </row>
    <row r="591" ht="14.25" customHeight="1">
      <c r="A591" s="191" t="s">
        <v>2512</v>
      </c>
      <c r="B591" s="192" t="s">
        <v>2513</v>
      </c>
      <c r="C591" s="191" t="s">
        <v>2514</v>
      </c>
      <c r="D591" s="193"/>
      <c r="E591" s="193"/>
      <c r="F591" s="194"/>
      <c r="G591" s="193"/>
      <c r="H591" s="193"/>
      <c r="I591" s="193"/>
      <c r="J591" s="193"/>
      <c r="K591" s="193"/>
      <c r="L591" s="193"/>
      <c r="M591" s="193"/>
      <c r="N591" s="193"/>
      <c r="O591" s="193"/>
      <c r="P591" s="193"/>
      <c r="Q591" s="193"/>
      <c r="R591" s="193"/>
      <c r="S591" s="193"/>
      <c r="T591" s="193"/>
      <c r="U591" s="193"/>
      <c r="V591" s="193"/>
      <c r="W591" s="193"/>
      <c r="X591" s="193"/>
      <c r="Y591" s="193"/>
      <c r="Z591" s="193"/>
      <c r="AA591" s="193"/>
      <c r="AB591" s="193"/>
      <c r="AC591" s="193"/>
      <c r="AD591" s="193"/>
      <c r="AE591" s="193"/>
    </row>
    <row r="592" ht="14.25" customHeight="1">
      <c r="A592" s="191" t="s">
        <v>2515</v>
      </c>
      <c r="B592" s="192" t="s">
        <v>2516</v>
      </c>
      <c r="C592" s="191" t="s">
        <v>2517</v>
      </c>
      <c r="D592" s="193"/>
      <c r="E592" s="193"/>
      <c r="F592" s="194" t="s">
        <v>2518</v>
      </c>
      <c r="G592" s="193"/>
      <c r="H592" s="193"/>
      <c r="I592" s="193"/>
      <c r="J592" s="193"/>
      <c r="K592" s="193"/>
      <c r="L592" s="193"/>
      <c r="M592" s="193"/>
      <c r="N592" s="193"/>
      <c r="O592" s="193"/>
      <c r="P592" s="193"/>
      <c r="Q592" s="193"/>
      <c r="R592" s="193"/>
      <c r="S592" s="193"/>
      <c r="T592" s="193"/>
      <c r="U592" s="193"/>
      <c r="V592" s="193"/>
      <c r="W592" s="193"/>
      <c r="X592" s="193"/>
      <c r="Y592" s="193"/>
      <c r="Z592" s="193"/>
      <c r="AA592" s="193"/>
      <c r="AB592" s="193"/>
      <c r="AC592" s="193"/>
      <c r="AD592" s="193"/>
      <c r="AE592" s="193"/>
    </row>
    <row r="593" ht="14.25" customHeight="1">
      <c r="A593" s="191" t="s">
        <v>2519</v>
      </c>
      <c r="B593" s="192" t="s">
        <v>2520</v>
      </c>
      <c r="C593" s="191" t="s">
        <v>2521</v>
      </c>
      <c r="D593" s="193"/>
      <c r="E593" s="193"/>
      <c r="F593" s="194"/>
      <c r="G593" s="193"/>
      <c r="H593" s="193"/>
      <c r="I593" s="193"/>
      <c r="J593" s="193"/>
      <c r="K593" s="193"/>
      <c r="L593" s="193"/>
      <c r="M593" s="193"/>
      <c r="N593" s="193"/>
      <c r="O593" s="193"/>
      <c r="P593" s="193"/>
      <c r="Q593" s="193"/>
      <c r="R593" s="193"/>
      <c r="S593" s="193"/>
      <c r="T593" s="193"/>
      <c r="U593" s="193"/>
      <c r="V593" s="193"/>
      <c r="W593" s="193"/>
      <c r="X593" s="193"/>
      <c r="Y593" s="193"/>
      <c r="Z593" s="193"/>
      <c r="AA593" s="193"/>
      <c r="AB593" s="193"/>
      <c r="AC593" s="193"/>
      <c r="AD593" s="193"/>
      <c r="AE593" s="193"/>
    </row>
    <row r="594" ht="14.25" customHeight="1">
      <c r="A594" s="191" t="s">
        <v>2522</v>
      </c>
      <c r="B594" s="192" t="s">
        <v>2523</v>
      </c>
      <c r="C594" s="191" t="s">
        <v>2524</v>
      </c>
      <c r="D594" s="193"/>
      <c r="E594" s="193"/>
      <c r="F594" s="194" t="s">
        <v>2525</v>
      </c>
      <c r="G594" s="193"/>
      <c r="H594" s="193"/>
      <c r="I594" s="193"/>
      <c r="J594" s="193"/>
      <c r="K594" s="193"/>
      <c r="L594" s="193"/>
      <c r="M594" s="193"/>
      <c r="N594" s="193"/>
      <c r="O594" s="193"/>
      <c r="P594" s="193"/>
      <c r="Q594" s="193"/>
      <c r="R594" s="193"/>
      <c r="S594" s="193"/>
      <c r="T594" s="193"/>
      <c r="U594" s="193"/>
      <c r="V594" s="193"/>
      <c r="W594" s="193"/>
      <c r="X594" s="193"/>
      <c r="Y594" s="193"/>
      <c r="Z594" s="193"/>
      <c r="AA594" s="193"/>
      <c r="AB594" s="193"/>
      <c r="AC594" s="193"/>
      <c r="AD594" s="193"/>
      <c r="AE594" s="193"/>
    </row>
    <row r="595" ht="14.25" customHeight="1">
      <c r="A595" s="191" t="s">
        <v>2526</v>
      </c>
      <c r="B595" s="192" t="s">
        <v>2527</v>
      </c>
      <c r="C595" s="191" t="s">
        <v>2528</v>
      </c>
      <c r="D595" s="193"/>
      <c r="E595" s="193"/>
      <c r="F595" s="194" t="s">
        <v>2529</v>
      </c>
      <c r="G595" s="193"/>
      <c r="H595" s="193"/>
      <c r="I595" s="193"/>
      <c r="J595" s="193"/>
      <c r="K595" s="193"/>
      <c r="L595" s="193"/>
      <c r="M595" s="193"/>
      <c r="N595" s="193"/>
      <c r="O595" s="193"/>
      <c r="P595" s="193"/>
      <c r="Q595" s="193"/>
      <c r="R595" s="193"/>
      <c r="S595" s="193"/>
      <c r="T595" s="193"/>
      <c r="U595" s="193"/>
      <c r="V595" s="193"/>
      <c r="W595" s="193"/>
      <c r="X595" s="193"/>
      <c r="Y595" s="193"/>
      <c r="Z595" s="193"/>
      <c r="AA595" s="193"/>
      <c r="AB595" s="193"/>
      <c r="AC595" s="193"/>
      <c r="AD595" s="193"/>
      <c r="AE595" s="193"/>
    </row>
    <row r="596" ht="14.25" customHeight="1">
      <c r="A596" s="191" t="s">
        <v>2530</v>
      </c>
      <c r="B596" s="192" t="s">
        <v>2531</v>
      </c>
      <c r="C596" s="191" t="s">
        <v>2532</v>
      </c>
      <c r="D596" s="193"/>
      <c r="E596" s="193"/>
      <c r="F596" s="194" t="s">
        <v>2533</v>
      </c>
      <c r="G596" s="193"/>
      <c r="H596" s="193"/>
      <c r="I596" s="193"/>
      <c r="J596" s="193"/>
      <c r="K596" s="193"/>
      <c r="L596" s="193"/>
      <c r="M596" s="193"/>
      <c r="N596" s="193"/>
      <c r="O596" s="193"/>
      <c r="P596" s="193"/>
      <c r="Q596" s="193"/>
      <c r="R596" s="193"/>
      <c r="S596" s="193"/>
      <c r="T596" s="193"/>
      <c r="U596" s="193"/>
      <c r="V596" s="193"/>
      <c r="W596" s="193"/>
      <c r="X596" s="193"/>
      <c r="Y596" s="193"/>
      <c r="Z596" s="193"/>
      <c r="AA596" s="193"/>
      <c r="AB596" s="193"/>
      <c r="AC596" s="193"/>
      <c r="AD596" s="193"/>
      <c r="AE596" s="193"/>
    </row>
    <row r="597" ht="14.25" customHeight="1">
      <c r="A597" s="191" t="s">
        <v>2534</v>
      </c>
      <c r="B597" s="192" t="s">
        <v>2535</v>
      </c>
      <c r="C597" s="191" t="s">
        <v>2536</v>
      </c>
      <c r="D597" s="193"/>
      <c r="E597" s="193"/>
      <c r="F597" s="194" t="s">
        <v>2537</v>
      </c>
      <c r="G597" s="193"/>
      <c r="H597" s="193"/>
      <c r="I597" s="193"/>
      <c r="J597" s="193"/>
      <c r="K597" s="193"/>
      <c r="L597" s="193"/>
      <c r="M597" s="193"/>
      <c r="N597" s="193"/>
      <c r="O597" s="193"/>
      <c r="P597" s="193"/>
      <c r="Q597" s="193"/>
      <c r="R597" s="193"/>
      <c r="S597" s="193"/>
      <c r="T597" s="193"/>
      <c r="U597" s="193"/>
      <c r="V597" s="193"/>
      <c r="W597" s="193"/>
      <c r="X597" s="193"/>
      <c r="Y597" s="193"/>
      <c r="Z597" s="193"/>
      <c r="AA597" s="193"/>
      <c r="AB597" s="193"/>
      <c r="AC597" s="193"/>
      <c r="AD597" s="193"/>
      <c r="AE597" s="193"/>
    </row>
    <row r="598" ht="14.25" customHeight="1">
      <c r="A598" s="191" t="s">
        <v>2538</v>
      </c>
      <c r="B598" s="192" t="s">
        <v>2539</v>
      </c>
      <c r="C598" s="191" t="s">
        <v>2540</v>
      </c>
      <c r="D598" s="193"/>
      <c r="E598" s="193"/>
      <c r="F598" s="194" t="s">
        <v>2541</v>
      </c>
      <c r="G598" s="193"/>
      <c r="H598" s="193"/>
      <c r="I598" s="193"/>
      <c r="J598" s="193"/>
      <c r="K598" s="193"/>
      <c r="L598" s="193"/>
      <c r="M598" s="193"/>
      <c r="N598" s="193"/>
      <c r="O598" s="193"/>
      <c r="P598" s="193"/>
      <c r="Q598" s="193"/>
      <c r="R598" s="193"/>
      <c r="S598" s="193"/>
      <c r="T598" s="193"/>
      <c r="U598" s="193"/>
      <c r="V598" s="193"/>
      <c r="W598" s="193"/>
      <c r="X598" s="193"/>
      <c r="Y598" s="193"/>
      <c r="Z598" s="193"/>
      <c r="AA598" s="193"/>
      <c r="AB598" s="193"/>
      <c r="AC598" s="193"/>
      <c r="AD598" s="193"/>
      <c r="AE598" s="193"/>
    </row>
    <row r="599" ht="14.25" customHeight="1">
      <c r="A599" s="191" t="s">
        <v>2542</v>
      </c>
      <c r="B599" s="192" t="s">
        <v>2543</v>
      </c>
      <c r="C599" s="191" t="s">
        <v>2544</v>
      </c>
      <c r="D599" s="193"/>
      <c r="E599" s="193"/>
      <c r="F599" s="194" t="s">
        <v>2545</v>
      </c>
      <c r="G599" s="193"/>
      <c r="H599" s="193"/>
      <c r="I599" s="193"/>
      <c r="J599" s="193"/>
      <c r="K599" s="193"/>
      <c r="L599" s="193"/>
      <c r="M599" s="193"/>
      <c r="N599" s="193"/>
      <c r="O599" s="193"/>
      <c r="P599" s="193"/>
      <c r="Q599" s="193"/>
      <c r="R599" s="193"/>
      <c r="S599" s="193"/>
      <c r="T599" s="193"/>
      <c r="U599" s="193"/>
      <c r="V599" s="193"/>
      <c r="W599" s="193"/>
      <c r="X599" s="193"/>
      <c r="Y599" s="193"/>
      <c r="Z599" s="193"/>
      <c r="AA599" s="193"/>
      <c r="AB599" s="193"/>
      <c r="AC599" s="193"/>
      <c r="AD599" s="193"/>
      <c r="AE599" s="193"/>
    </row>
    <row r="600" ht="14.25" customHeight="1">
      <c r="A600" s="191" t="s">
        <v>2546</v>
      </c>
      <c r="B600" s="192" t="s">
        <v>2547</v>
      </c>
      <c r="C600" s="191" t="s">
        <v>166</v>
      </c>
      <c r="D600" s="193"/>
      <c r="E600" s="193"/>
      <c r="F600" s="194" t="s">
        <v>167</v>
      </c>
      <c r="G600" s="193"/>
      <c r="H600" s="193"/>
      <c r="I600" s="193"/>
      <c r="J600" s="193"/>
      <c r="K600" s="193"/>
      <c r="L600" s="193"/>
      <c r="M600" s="193"/>
      <c r="N600" s="193"/>
      <c r="O600" s="193"/>
      <c r="P600" s="193"/>
      <c r="Q600" s="193"/>
      <c r="R600" s="193"/>
      <c r="S600" s="193"/>
      <c r="T600" s="193"/>
      <c r="U600" s="193"/>
      <c r="V600" s="193"/>
      <c r="W600" s="193"/>
      <c r="X600" s="193"/>
      <c r="Y600" s="193"/>
      <c r="Z600" s="193"/>
      <c r="AA600" s="193"/>
      <c r="AB600" s="193"/>
      <c r="AC600" s="193"/>
      <c r="AD600" s="193"/>
      <c r="AE600" s="193"/>
    </row>
    <row r="601" ht="14.25" customHeight="1">
      <c r="A601" s="191" t="s">
        <v>2548</v>
      </c>
      <c r="B601" s="192" t="s">
        <v>2549</v>
      </c>
      <c r="C601" s="191" t="s">
        <v>2550</v>
      </c>
      <c r="D601" s="193"/>
      <c r="E601" s="193"/>
      <c r="F601" s="194" t="s">
        <v>2551</v>
      </c>
      <c r="G601" s="193"/>
      <c r="H601" s="193"/>
      <c r="I601" s="193"/>
      <c r="J601" s="193"/>
      <c r="K601" s="193"/>
      <c r="L601" s="193"/>
      <c r="M601" s="193"/>
      <c r="N601" s="193"/>
      <c r="O601" s="193"/>
      <c r="P601" s="193"/>
      <c r="Q601" s="193"/>
      <c r="R601" s="193"/>
      <c r="S601" s="193"/>
      <c r="T601" s="193"/>
      <c r="U601" s="193"/>
      <c r="V601" s="193"/>
      <c r="W601" s="193"/>
      <c r="X601" s="193"/>
      <c r="Y601" s="193"/>
      <c r="Z601" s="193"/>
      <c r="AA601" s="193"/>
      <c r="AB601" s="193"/>
      <c r="AC601" s="193"/>
      <c r="AD601" s="193"/>
      <c r="AE601" s="193"/>
    </row>
    <row r="602" ht="14.25" customHeight="1">
      <c r="A602" s="191" t="s">
        <v>2552</v>
      </c>
      <c r="B602" s="192" t="s">
        <v>2553</v>
      </c>
      <c r="C602" s="191" t="s">
        <v>2554</v>
      </c>
      <c r="D602" s="193"/>
      <c r="E602" s="193"/>
      <c r="F602" s="194" t="s">
        <v>2555</v>
      </c>
      <c r="G602" s="193"/>
      <c r="H602" s="193"/>
      <c r="I602" s="193"/>
      <c r="J602" s="193"/>
      <c r="K602" s="193"/>
      <c r="L602" s="193"/>
      <c r="M602" s="193"/>
      <c r="N602" s="193"/>
      <c r="O602" s="193"/>
      <c r="P602" s="193"/>
      <c r="Q602" s="193"/>
      <c r="R602" s="193"/>
      <c r="S602" s="193"/>
      <c r="T602" s="193"/>
      <c r="U602" s="193"/>
      <c r="V602" s="193"/>
      <c r="W602" s="193"/>
      <c r="X602" s="193"/>
      <c r="Y602" s="193"/>
      <c r="Z602" s="193"/>
      <c r="AA602" s="193"/>
      <c r="AB602" s="193"/>
      <c r="AC602" s="193"/>
      <c r="AD602" s="193"/>
      <c r="AE602" s="193"/>
    </row>
    <row r="603" ht="14.25" customHeight="1">
      <c r="A603" s="191" t="s">
        <v>2556</v>
      </c>
      <c r="B603" s="192" t="s">
        <v>2557</v>
      </c>
      <c r="C603" s="191" t="s">
        <v>2558</v>
      </c>
      <c r="D603" s="193"/>
      <c r="E603" s="193"/>
      <c r="F603" s="194" t="s">
        <v>2559</v>
      </c>
      <c r="G603" s="193"/>
      <c r="H603" s="193"/>
      <c r="I603" s="193"/>
      <c r="J603" s="193"/>
      <c r="K603" s="193"/>
      <c r="L603" s="193"/>
      <c r="M603" s="193"/>
      <c r="N603" s="193"/>
      <c r="O603" s="193"/>
      <c r="P603" s="193"/>
      <c r="Q603" s="193"/>
      <c r="R603" s="193"/>
      <c r="S603" s="193"/>
      <c r="T603" s="193"/>
      <c r="U603" s="193"/>
      <c r="V603" s="193"/>
      <c r="W603" s="193"/>
      <c r="X603" s="193"/>
      <c r="Y603" s="193"/>
      <c r="Z603" s="193"/>
      <c r="AA603" s="193"/>
      <c r="AB603" s="193"/>
      <c r="AC603" s="193"/>
      <c r="AD603" s="193"/>
      <c r="AE603" s="193"/>
    </row>
    <row r="604" ht="14.25" customHeight="1">
      <c r="A604" s="191" t="s">
        <v>2560</v>
      </c>
      <c r="B604" s="192" t="s">
        <v>2561</v>
      </c>
      <c r="C604" s="191" t="s">
        <v>80</v>
      </c>
      <c r="D604" s="193"/>
      <c r="E604" s="193"/>
      <c r="F604" s="194" t="s">
        <v>81</v>
      </c>
      <c r="G604" s="193"/>
      <c r="H604" s="193"/>
      <c r="I604" s="193"/>
      <c r="J604" s="193"/>
      <c r="K604" s="193"/>
      <c r="L604" s="193"/>
      <c r="M604" s="193"/>
      <c r="N604" s="193"/>
      <c r="O604" s="193"/>
      <c r="P604" s="193"/>
      <c r="Q604" s="193"/>
      <c r="R604" s="193"/>
      <c r="S604" s="193"/>
      <c r="T604" s="193"/>
      <c r="U604" s="193"/>
      <c r="V604" s="193"/>
      <c r="W604" s="193"/>
      <c r="X604" s="193"/>
      <c r="Y604" s="193"/>
      <c r="Z604" s="193"/>
      <c r="AA604" s="193"/>
      <c r="AB604" s="193"/>
      <c r="AC604" s="193"/>
      <c r="AD604" s="193"/>
      <c r="AE604" s="193"/>
    </row>
    <row r="605" ht="14.25" customHeight="1">
      <c r="A605" s="191" t="s">
        <v>2562</v>
      </c>
      <c r="B605" s="192" t="s">
        <v>2563</v>
      </c>
      <c r="C605" s="191" t="s">
        <v>2564</v>
      </c>
      <c r="D605" s="193"/>
      <c r="E605" s="193"/>
      <c r="F605" s="194" t="s">
        <v>2565</v>
      </c>
      <c r="G605" s="193"/>
      <c r="H605" s="193"/>
      <c r="I605" s="193"/>
      <c r="J605" s="193"/>
      <c r="K605" s="193"/>
      <c r="L605" s="193"/>
      <c r="M605" s="193"/>
      <c r="N605" s="193"/>
      <c r="O605" s="193"/>
      <c r="P605" s="193"/>
      <c r="Q605" s="193"/>
      <c r="R605" s="193"/>
      <c r="S605" s="193"/>
      <c r="T605" s="193"/>
      <c r="U605" s="193"/>
      <c r="V605" s="193"/>
      <c r="W605" s="193"/>
      <c r="X605" s="193"/>
      <c r="Y605" s="193"/>
      <c r="Z605" s="193"/>
      <c r="AA605" s="193"/>
      <c r="AB605" s="193"/>
      <c r="AC605" s="193"/>
      <c r="AD605" s="193"/>
      <c r="AE605" s="193"/>
    </row>
    <row r="606" ht="14.25" customHeight="1">
      <c r="A606" s="191" t="s">
        <v>2566</v>
      </c>
      <c r="B606" s="192" t="s">
        <v>2567</v>
      </c>
      <c r="C606" s="191" t="s">
        <v>2568</v>
      </c>
      <c r="D606" s="193"/>
      <c r="E606" s="193"/>
      <c r="F606" s="194" t="s">
        <v>2569</v>
      </c>
      <c r="G606" s="193"/>
      <c r="H606" s="193"/>
      <c r="I606" s="193"/>
      <c r="J606" s="193"/>
      <c r="K606" s="193"/>
      <c r="L606" s="193"/>
      <c r="M606" s="193"/>
      <c r="N606" s="193"/>
      <c r="O606" s="193"/>
      <c r="P606" s="193"/>
      <c r="Q606" s="193"/>
      <c r="R606" s="193"/>
      <c r="S606" s="193"/>
      <c r="T606" s="193"/>
      <c r="U606" s="193"/>
      <c r="V606" s="193"/>
      <c r="W606" s="193"/>
      <c r="X606" s="193"/>
      <c r="Y606" s="193"/>
      <c r="Z606" s="193"/>
      <c r="AA606" s="193"/>
      <c r="AB606" s="193"/>
      <c r="AC606" s="193"/>
      <c r="AD606" s="193"/>
      <c r="AE606" s="193"/>
    </row>
    <row r="607" ht="14.25" customHeight="1">
      <c r="A607" s="191" t="s">
        <v>2570</v>
      </c>
      <c r="B607" s="192" t="s">
        <v>2571</v>
      </c>
      <c r="C607" s="191" t="s">
        <v>2572</v>
      </c>
      <c r="D607" s="193"/>
      <c r="E607" s="193"/>
      <c r="F607" s="194" t="s">
        <v>2573</v>
      </c>
      <c r="G607" s="193"/>
      <c r="H607" s="193"/>
      <c r="I607" s="193"/>
      <c r="J607" s="193"/>
      <c r="K607" s="193"/>
      <c r="L607" s="193"/>
      <c r="M607" s="193"/>
      <c r="N607" s="193"/>
      <c r="O607" s="193"/>
      <c r="P607" s="193"/>
      <c r="Q607" s="193"/>
      <c r="R607" s="193"/>
      <c r="S607" s="193"/>
      <c r="T607" s="193"/>
      <c r="U607" s="193"/>
      <c r="V607" s="193"/>
      <c r="W607" s="193"/>
      <c r="X607" s="193"/>
      <c r="Y607" s="193"/>
      <c r="Z607" s="193"/>
      <c r="AA607" s="193"/>
      <c r="AB607" s="193"/>
      <c r="AC607" s="193"/>
      <c r="AD607" s="193"/>
      <c r="AE607" s="193"/>
    </row>
    <row r="608" ht="14.25" customHeight="1">
      <c r="A608" s="191" t="s">
        <v>2574</v>
      </c>
      <c r="B608" s="192" t="s">
        <v>2575</v>
      </c>
      <c r="C608" s="191" t="s">
        <v>2576</v>
      </c>
      <c r="D608" s="193"/>
      <c r="E608" s="193"/>
      <c r="F608" s="194" t="s">
        <v>2577</v>
      </c>
      <c r="G608" s="193"/>
      <c r="H608" s="193"/>
      <c r="I608" s="193"/>
      <c r="J608" s="193"/>
      <c r="K608" s="193"/>
      <c r="L608" s="193"/>
      <c r="M608" s="193"/>
      <c r="N608" s="193"/>
      <c r="O608" s="193"/>
      <c r="P608" s="193"/>
      <c r="Q608" s="193"/>
      <c r="R608" s="193"/>
      <c r="S608" s="193"/>
      <c r="T608" s="193"/>
      <c r="U608" s="193"/>
      <c r="V608" s="193"/>
      <c r="W608" s="193"/>
      <c r="X608" s="193"/>
      <c r="Y608" s="193"/>
      <c r="Z608" s="193"/>
      <c r="AA608" s="193"/>
      <c r="AB608" s="193"/>
      <c r="AC608" s="193"/>
      <c r="AD608" s="193"/>
      <c r="AE608" s="193"/>
    </row>
    <row r="609" ht="14.25" customHeight="1">
      <c r="A609" s="191" t="s">
        <v>2578</v>
      </c>
      <c r="B609" s="192" t="s">
        <v>2579</v>
      </c>
      <c r="C609" s="191" t="s">
        <v>2580</v>
      </c>
      <c r="D609" s="193"/>
      <c r="E609" s="193"/>
      <c r="F609" s="194" t="s">
        <v>2581</v>
      </c>
      <c r="G609" s="193"/>
      <c r="H609" s="193"/>
      <c r="I609" s="193"/>
      <c r="J609" s="193"/>
      <c r="K609" s="193"/>
      <c r="L609" s="193"/>
      <c r="M609" s="193"/>
      <c r="N609" s="193"/>
      <c r="O609" s="193"/>
      <c r="P609" s="193"/>
      <c r="Q609" s="193"/>
      <c r="R609" s="193"/>
      <c r="S609" s="193"/>
      <c r="T609" s="193"/>
      <c r="U609" s="193"/>
      <c r="V609" s="193"/>
      <c r="W609" s="193"/>
      <c r="X609" s="193"/>
      <c r="Y609" s="193"/>
      <c r="Z609" s="193"/>
      <c r="AA609" s="193"/>
      <c r="AB609" s="193"/>
      <c r="AC609" s="193"/>
      <c r="AD609" s="193"/>
      <c r="AE609" s="193"/>
    </row>
    <row r="610" ht="14.25" customHeight="1">
      <c r="A610" s="191" t="s">
        <v>2582</v>
      </c>
      <c r="B610" s="192" t="s">
        <v>2583</v>
      </c>
      <c r="C610" s="191" t="s">
        <v>2584</v>
      </c>
      <c r="D610" s="193"/>
      <c r="E610" s="193"/>
      <c r="F610" s="194" t="s">
        <v>2585</v>
      </c>
      <c r="G610" s="193"/>
      <c r="H610" s="193"/>
      <c r="I610" s="193"/>
      <c r="J610" s="193"/>
      <c r="K610" s="193"/>
      <c r="L610" s="193"/>
      <c r="M610" s="193"/>
      <c r="N610" s="193"/>
      <c r="O610" s="193"/>
      <c r="P610" s="193"/>
      <c r="Q610" s="193"/>
      <c r="R610" s="193"/>
      <c r="S610" s="193"/>
      <c r="T610" s="193"/>
      <c r="U610" s="193"/>
      <c r="V610" s="193"/>
      <c r="W610" s="193"/>
      <c r="X610" s="193"/>
      <c r="Y610" s="193"/>
      <c r="Z610" s="193"/>
      <c r="AA610" s="193"/>
      <c r="AB610" s="193"/>
      <c r="AC610" s="193"/>
      <c r="AD610" s="193"/>
      <c r="AE610" s="193"/>
    </row>
    <row r="611" ht="14.25" customHeight="1">
      <c r="A611" s="191" t="s">
        <v>2586</v>
      </c>
      <c r="B611" s="192" t="s">
        <v>2587</v>
      </c>
      <c r="C611" s="191" t="s">
        <v>2588</v>
      </c>
      <c r="D611" s="193"/>
      <c r="E611" s="193"/>
      <c r="F611" s="194" t="s">
        <v>2589</v>
      </c>
      <c r="G611" s="193"/>
      <c r="H611" s="193"/>
      <c r="I611" s="193"/>
      <c r="J611" s="193"/>
      <c r="K611" s="193"/>
      <c r="L611" s="193"/>
      <c r="M611" s="193"/>
      <c r="N611" s="193"/>
      <c r="O611" s="193"/>
      <c r="P611" s="193"/>
      <c r="Q611" s="193"/>
      <c r="R611" s="193"/>
      <c r="S611" s="193"/>
      <c r="T611" s="193"/>
      <c r="U611" s="193"/>
      <c r="V611" s="193"/>
      <c r="W611" s="193"/>
      <c r="X611" s="193"/>
      <c r="Y611" s="193"/>
      <c r="Z611" s="193"/>
      <c r="AA611" s="193"/>
      <c r="AB611" s="193"/>
      <c r="AC611" s="193"/>
      <c r="AD611" s="193"/>
      <c r="AE611" s="193"/>
    </row>
    <row r="612" ht="14.25" customHeight="1">
      <c r="A612" s="191" t="s">
        <v>2590</v>
      </c>
      <c r="B612" s="192" t="s">
        <v>2591</v>
      </c>
      <c r="C612" s="191" t="s">
        <v>2592</v>
      </c>
      <c r="D612" s="193"/>
      <c r="E612" s="193"/>
      <c r="F612" s="194" t="s">
        <v>2593</v>
      </c>
      <c r="G612" s="193"/>
      <c r="H612" s="193"/>
      <c r="I612" s="193"/>
      <c r="J612" s="193"/>
      <c r="K612" s="193"/>
      <c r="L612" s="193"/>
      <c r="M612" s="193"/>
      <c r="N612" s="193"/>
      <c r="O612" s="193"/>
      <c r="P612" s="193"/>
      <c r="Q612" s="193"/>
      <c r="R612" s="193"/>
      <c r="S612" s="193"/>
      <c r="T612" s="193"/>
      <c r="U612" s="193"/>
      <c r="V612" s="193"/>
      <c r="W612" s="193"/>
      <c r="X612" s="193"/>
      <c r="Y612" s="193"/>
      <c r="Z612" s="193"/>
      <c r="AA612" s="193"/>
      <c r="AB612" s="193"/>
      <c r="AC612" s="193"/>
      <c r="AD612" s="193"/>
      <c r="AE612" s="193"/>
    </row>
    <row r="613" ht="14.25" customHeight="1">
      <c r="A613" s="191" t="s">
        <v>2594</v>
      </c>
      <c r="B613" s="192" t="s">
        <v>2595</v>
      </c>
      <c r="C613" s="191" t="s">
        <v>2596</v>
      </c>
      <c r="D613" s="193"/>
      <c r="E613" s="193"/>
      <c r="F613" s="194" t="s">
        <v>2597</v>
      </c>
      <c r="G613" s="193"/>
      <c r="H613" s="193"/>
      <c r="I613" s="193"/>
      <c r="J613" s="193"/>
      <c r="K613" s="193"/>
      <c r="L613" s="193"/>
      <c r="M613" s="193"/>
      <c r="N613" s="193"/>
      <c r="O613" s="193"/>
      <c r="P613" s="193"/>
      <c r="Q613" s="193"/>
      <c r="R613" s="193"/>
      <c r="S613" s="193"/>
      <c r="T613" s="193"/>
      <c r="U613" s="193"/>
      <c r="V613" s="193"/>
      <c r="W613" s="193"/>
      <c r="X613" s="193"/>
      <c r="Y613" s="193"/>
      <c r="Z613" s="193"/>
      <c r="AA613" s="193"/>
      <c r="AB613" s="193"/>
      <c r="AC613" s="193"/>
      <c r="AD613" s="193"/>
      <c r="AE613" s="193"/>
    </row>
    <row r="614" ht="14.25" customHeight="1">
      <c r="A614" s="191" t="s">
        <v>2598</v>
      </c>
      <c r="B614" s="192" t="s">
        <v>2599</v>
      </c>
      <c r="C614" s="191" t="s">
        <v>2600</v>
      </c>
      <c r="D614" s="193"/>
      <c r="E614" s="193"/>
      <c r="F614" s="194" t="s">
        <v>2601</v>
      </c>
      <c r="G614" s="193"/>
      <c r="H614" s="193"/>
      <c r="I614" s="193"/>
      <c r="J614" s="193"/>
      <c r="K614" s="193"/>
      <c r="L614" s="193"/>
      <c r="M614" s="193"/>
      <c r="N614" s="193"/>
      <c r="O614" s="193"/>
      <c r="P614" s="193"/>
      <c r="Q614" s="193"/>
      <c r="R614" s="193"/>
      <c r="S614" s="193"/>
      <c r="T614" s="193"/>
      <c r="U614" s="193"/>
      <c r="V614" s="193"/>
      <c r="W614" s="193"/>
      <c r="X614" s="193"/>
      <c r="Y614" s="193"/>
      <c r="Z614" s="193"/>
      <c r="AA614" s="193"/>
      <c r="AB614" s="193"/>
      <c r="AC614" s="193"/>
      <c r="AD614" s="193"/>
      <c r="AE614" s="193"/>
    </row>
    <row r="615" ht="14.25" customHeight="1">
      <c r="A615" s="191" t="s">
        <v>2602</v>
      </c>
      <c r="B615" s="192" t="s">
        <v>2603</v>
      </c>
      <c r="C615" s="191" t="s">
        <v>2604</v>
      </c>
      <c r="D615" s="193"/>
      <c r="E615" s="193"/>
      <c r="F615" s="194" t="s">
        <v>2605</v>
      </c>
      <c r="G615" s="193"/>
      <c r="H615" s="193"/>
      <c r="I615" s="193"/>
      <c r="J615" s="193"/>
      <c r="K615" s="193"/>
      <c r="L615" s="193"/>
      <c r="M615" s="193"/>
      <c r="N615" s="193"/>
      <c r="O615" s="193"/>
      <c r="P615" s="193"/>
      <c r="Q615" s="193"/>
      <c r="R615" s="193"/>
      <c r="S615" s="193"/>
      <c r="T615" s="193"/>
      <c r="U615" s="193"/>
      <c r="V615" s="193"/>
      <c r="W615" s="193"/>
      <c r="X615" s="193"/>
      <c r="Y615" s="193"/>
      <c r="Z615" s="193"/>
      <c r="AA615" s="193"/>
      <c r="AB615" s="193"/>
      <c r="AC615" s="193"/>
      <c r="AD615" s="193"/>
      <c r="AE615" s="193"/>
    </row>
    <row r="616" ht="14.25" customHeight="1">
      <c r="A616" s="191" t="s">
        <v>2606</v>
      </c>
      <c r="B616" s="192" t="s">
        <v>2607</v>
      </c>
      <c r="C616" s="191" t="s">
        <v>2608</v>
      </c>
      <c r="D616" s="193"/>
      <c r="E616" s="193"/>
      <c r="F616" s="194" t="s">
        <v>2609</v>
      </c>
      <c r="G616" s="193"/>
      <c r="H616" s="193"/>
      <c r="I616" s="193"/>
      <c r="J616" s="193"/>
      <c r="K616" s="193"/>
      <c r="L616" s="193"/>
      <c r="M616" s="193"/>
      <c r="N616" s="193"/>
      <c r="O616" s="193"/>
      <c r="P616" s="193"/>
      <c r="Q616" s="193"/>
      <c r="R616" s="193"/>
      <c r="S616" s="193"/>
      <c r="T616" s="193"/>
      <c r="U616" s="193"/>
      <c r="V616" s="193"/>
      <c r="W616" s="193"/>
      <c r="X616" s="193"/>
      <c r="Y616" s="193"/>
      <c r="Z616" s="193"/>
      <c r="AA616" s="193"/>
      <c r="AB616" s="193"/>
      <c r="AC616" s="193"/>
      <c r="AD616" s="193"/>
      <c r="AE616" s="193"/>
    </row>
    <row r="617" ht="14.25" customHeight="1">
      <c r="A617" s="191" t="s">
        <v>2610</v>
      </c>
      <c r="B617" s="192" t="s">
        <v>2611</v>
      </c>
      <c r="C617" s="191" t="s">
        <v>2612</v>
      </c>
      <c r="D617" s="193"/>
      <c r="E617" s="193"/>
      <c r="F617" s="194" t="s">
        <v>2613</v>
      </c>
      <c r="G617" s="193"/>
      <c r="H617" s="193"/>
      <c r="I617" s="193"/>
      <c r="J617" s="193"/>
      <c r="K617" s="193"/>
      <c r="L617" s="193"/>
      <c r="M617" s="193"/>
      <c r="N617" s="193"/>
      <c r="O617" s="193"/>
      <c r="P617" s="193"/>
      <c r="Q617" s="193"/>
      <c r="R617" s="193"/>
      <c r="S617" s="193"/>
      <c r="T617" s="193"/>
      <c r="U617" s="193"/>
      <c r="V617" s="193"/>
      <c r="W617" s="193"/>
      <c r="X617" s="193"/>
      <c r="Y617" s="193"/>
      <c r="Z617" s="193"/>
      <c r="AA617" s="193"/>
      <c r="AB617" s="193"/>
      <c r="AC617" s="193"/>
      <c r="AD617" s="193"/>
      <c r="AE617" s="193"/>
    </row>
    <row r="618" ht="14.25" customHeight="1">
      <c r="A618" s="191" t="s">
        <v>2614</v>
      </c>
      <c r="B618" s="192" t="s">
        <v>2615</v>
      </c>
      <c r="C618" s="191" t="s">
        <v>2616</v>
      </c>
      <c r="D618" s="193"/>
      <c r="E618" s="193"/>
      <c r="F618" s="194" t="s">
        <v>2617</v>
      </c>
      <c r="G618" s="193"/>
      <c r="H618" s="193"/>
      <c r="I618" s="193"/>
      <c r="J618" s="193"/>
      <c r="K618" s="193"/>
      <c r="L618" s="193"/>
      <c r="M618" s="193"/>
      <c r="N618" s="193"/>
      <c r="O618" s="193"/>
      <c r="P618" s="193"/>
      <c r="Q618" s="193"/>
      <c r="R618" s="193"/>
      <c r="S618" s="193"/>
      <c r="T618" s="193"/>
      <c r="U618" s="193"/>
      <c r="V618" s="193"/>
      <c r="W618" s="193"/>
      <c r="X618" s="193"/>
      <c r="Y618" s="193"/>
      <c r="Z618" s="193"/>
      <c r="AA618" s="193"/>
      <c r="AB618" s="193"/>
      <c r="AC618" s="193"/>
      <c r="AD618" s="193"/>
      <c r="AE618" s="193"/>
    </row>
    <row r="619" ht="14.25" customHeight="1">
      <c r="A619" s="191" t="s">
        <v>2618</v>
      </c>
      <c r="B619" s="192" t="s">
        <v>2619</v>
      </c>
      <c r="C619" s="191" t="s">
        <v>2620</v>
      </c>
      <c r="D619" s="193"/>
      <c r="E619" s="193"/>
      <c r="F619" s="194" t="s">
        <v>2621</v>
      </c>
      <c r="G619" s="193"/>
      <c r="H619" s="193"/>
      <c r="I619" s="193"/>
      <c r="J619" s="193"/>
      <c r="K619" s="193"/>
      <c r="L619" s="193"/>
      <c r="M619" s="193"/>
      <c r="N619" s="193"/>
      <c r="O619" s="193"/>
      <c r="P619" s="193"/>
      <c r="Q619" s="193"/>
      <c r="R619" s="193"/>
      <c r="S619" s="193"/>
      <c r="T619" s="193"/>
      <c r="U619" s="193"/>
      <c r="V619" s="193"/>
      <c r="W619" s="193"/>
      <c r="X619" s="193"/>
      <c r="Y619" s="193"/>
      <c r="Z619" s="193"/>
      <c r="AA619" s="193"/>
      <c r="AB619" s="193"/>
      <c r="AC619" s="193"/>
      <c r="AD619" s="193"/>
      <c r="AE619" s="193"/>
    </row>
    <row r="620" ht="14.25" customHeight="1">
      <c r="A620" s="191" t="s">
        <v>2622</v>
      </c>
      <c r="B620" s="192" t="s">
        <v>2623</v>
      </c>
      <c r="C620" s="191" t="s">
        <v>2624</v>
      </c>
      <c r="D620" s="193"/>
      <c r="E620" s="193"/>
      <c r="F620" s="194" t="s">
        <v>2625</v>
      </c>
      <c r="G620" s="193"/>
      <c r="H620" s="193"/>
      <c r="I620" s="193"/>
      <c r="J620" s="193"/>
      <c r="K620" s="193"/>
      <c r="L620" s="193"/>
      <c r="M620" s="193"/>
      <c r="N620" s="193"/>
      <c r="O620" s="193"/>
      <c r="P620" s="193"/>
      <c r="Q620" s="193"/>
      <c r="R620" s="193"/>
      <c r="S620" s="193"/>
      <c r="T620" s="193"/>
      <c r="U620" s="193"/>
      <c r="V620" s="193"/>
      <c r="W620" s="193"/>
      <c r="X620" s="193"/>
      <c r="Y620" s="193"/>
      <c r="Z620" s="193"/>
      <c r="AA620" s="193"/>
      <c r="AB620" s="193"/>
      <c r="AC620" s="193"/>
      <c r="AD620" s="193"/>
      <c r="AE620" s="193"/>
    </row>
    <row r="621" ht="14.25" customHeight="1">
      <c r="A621" s="191" t="s">
        <v>2626</v>
      </c>
      <c r="B621" s="192" t="s">
        <v>2627</v>
      </c>
      <c r="C621" s="191" t="s">
        <v>2628</v>
      </c>
      <c r="D621" s="193"/>
      <c r="E621" s="193"/>
      <c r="F621" s="194" t="s">
        <v>2629</v>
      </c>
      <c r="G621" s="193"/>
      <c r="H621" s="193"/>
      <c r="I621" s="193"/>
      <c r="J621" s="193"/>
      <c r="K621" s="193"/>
      <c r="L621" s="193"/>
      <c r="M621" s="193"/>
      <c r="N621" s="193"/>
      <c r="O621" s="193"/>
      <c r="P621" s="193"/>
      <c r="Q621" s="193"/>
      <c r="R621" s="193"/>
      <c r="S621" s="193"/>
      <c r="T621" s="193"/>
      <c r="U621" s="193"/>
      <c r="V621" s="193"/>
      <c r="W621" s="193"/>
      <c r="X621" s="193"/>
      <c r="Y621" s="193"/>
      <c r="Z621" s="193"/>
      <c r="AA621" s="193"/>
      <c r="AB621" s="193"/>
      <c r="AC621" s="193"/>
      <c r="AD621" s="193"/>
      <c r="AE621" s="193"/>
    </row>
    <row r="622" ht="14.25" customHeight="1">
      <c r="A622" s="191" t="s">
        <v>2630</v>
      </c>
      <c r="B622" s="192" t="s">
        <v>2631</v>
      </c>
      <c r="C622" s="191" t="s">
        <v>2632</v>
      </c>
      <c r="D622" s="193"/>
      <c r="E622" s="193"/>
      <c r="F622" s="194" t="s">
        <v>2633</v>
      </c>
      <c r="G622" s="193"/>
      <c r="H622" s="193"/>
      <c r="I622" s="193"/>
      <c r="J622" s="193"/>
      <c r="K622" s="193"/>
      <c r="L622" s="193"/>
      <c r="M622" s="193"/>
      <c r="N622" s="193"/>
      <c r="O622" s="193"/>
      <c r="P622" s="193"/>
      <c r="Q622" s="193"/>
      <c r="R622" s="193"/>
      <c r="S622" s="193"/>
      <c r="T622" s="193"/>
      <c r="U622" s="193"/>
      <c r="V622" s="193"/>
      <c r="W622" s="193"/>
      <c r="X622" s="193"/>
      <c r="Y622" s="193"/>
      <c r="Z622" s="193"/>
      <c r="AA622" s="193"/>
      <c r="AB622" s="193"/>
      <c r="AC622" s="193"/>
      <c r="AD622" s="193"/>
      <c r="AE622" s="193"/>
    </row>
    <row r="623" ht="14.25" customHeight="1">
      <c r="A623" s="191" t="s">
        <v>2634</v>
      </c>
      <c r="B623" s="192" t="s">
        <v>2635</v>
      </c>
      <c r="C623" s="191" t="s">
        <v>2636</v>
      </c>
      <c r="D623" s="193"/>
      <c r="E623" s="193"/>
      <c r="F623" s="194" t="s">
        <v>2637</v>
      </c>
      <c r="G623" s="193"/>
      <c r="H623" s="193"/>
      <c r="I623" s="193"/>
      <c r="J623" s="193"/>
      <c r="K623" s="193"/>
      <c r="L623" s="193"/>
      <c r="M623" s="193"/>
      <c r="N623" s="193"/>
      <c r="O623" s="193"/>
      <c r="P623" s="193"/>
      <c r="Q623" s="193"/>
      <c r="R623" s="193"/>
      <c r="S623" s="193"/>
      <c r="T623" s="193"/>
      <c r="U623" s="193"/>
      <c r="V623" s="193"/>
      <c r="W623" s="193"/>
      <c r="X623" s="193"/>
      <c r="Y623" s="193"/>
      <c r="Z623" s="193"/>
      <c r="AA623" s="193"/>
      <c r="AB623" s="193"/>
      <c r="AC623" s="193"/>
      <c r="AD623" s="193"/>
      <c r="AE623" s="193"/>
    </row>
    <row r="624" ht="14.25" customHeight="1">
      <c r="A624" s="191" t="s">
        <v>2638</v>
      </c>
      <c r="B624" s="192" t="s">
        <v>2639</v>
      </c>
      <c r="C624" s="191" t="s">
        <v>2640</v>
      </c>
      <c r="D624" s="193"/>
      <c r="E624" s="193"/>
      <c r="F624" s="194" t="s">
        <v>2641</v>
      </c>
      <c r="G624" s="193"/>
      <c r="H624" s="193"/>
      <c r="I624" s="193"/>
      <c r="J624" s="193"/>
      <c r="K624" s="193"/>
      <c r="L624" s="193"/>
      <c r="M624" s="193"/>
      <c r="N624" s="193"/>
      <c r="O624" s="193"/>
      <c r="P624" s="193"/>
      <c r="Q624" s="193"/>
      <c r="R624" s="193"/>
      <c r="S624" s="193"/>
      <c r="T624" s="193"/>
      <c r="U624" s="193"/>
      <c r="V624" s="193"/>
      <c r="W624" s="193"/>
      <c r="X624" s="193"/>
      <c r="Y624" s="193"/>
      <c r="Z624" s="193"/>
      <c r="AA624" s="193"/>
      <c r="AB624" s="193"/>
      <c r="AC624" s="193"/>
      <c r="AD624" s="193"/>
      <c r="AE624" s="193"/>
    </row>
    <row r="625" ht="14.25" customHeight="1">
      <c r="A625" s="191" t="s">
        <v>2642</v>
      </c>
      <c r="B625" s="192" t="s">
        <v>2643</v>
      </c>
      <c r="C625" s="191" t="s">
        <v>2644</v>
      </c>
      <c r="D625" s="193"/>
      <c r="E625" s="193"/>
      <c r="F625" s="194" t="s">
        <v>2645</v>
      </c>
      <c r="G625" s="193"/>
      <c r="H625" s="193"/>
      <c r="I625" s="193"/>
      <c r="J625" s="193"/>
      <c r="K625" s="193"/>
      <c r="L625" s="193"/>
      <c r="M625" s="193"/>
      <c r="N625" s="193"/>
      <c r="O625" s="193"/>
      <c r="P625" s="193"/>
      <c r="Q625" s="193"/>
      <c r="R625" s="193"/>
      <c r="S625" s="193"/>
      <c r="T625" s="193"/>
      <c r="U625" s="193"/>
      <c r="V625" s="193"/>
      <c r="W625" s="193"/>
      <c r="X625" s="193"/>
      <c r="Y625" s="193"/>
      <c r="Z625" s="193"/>
      <c r="AA625" s="193"/>
      <c r="AB625" s="193"/>
      <c r="AC625" s="193"/>
      <c r="AD625" s="193"/>
      <c r="AE625" s="193"/>
    </row>
    <row r="626" ht="14.25" customHeight="1">
      <c r="A626" s="191" t="s">
        <v>2646</v>
      </c>
      <c r="B626" s="192" t="s">
        <v>2647</v>
      </c>
      <c r="C626" s="191" t="s">
        <v>2648</v>
      </c>
      <c r="D626" s="193"/>
      <c r="E626" s="193"/>
      <c r="F626" s="194" t="s">
        <v>2649</v>
      </c>
      <c r="G626" s="193"/>
      <c r="H626" s="193"/>
      <c r="I626" s="193"/>
      <c r="J626" s="193"/>
      <c r="K626" s="193"/>
      <c r="L626" s="193"/>
      <c r="M626" s="193"/>
      <c r="N626" s="193"/>
      <c r="O626" s="193"/>
      <c r="P626" s="193"/>
      <c r="Q626" s="193"/>
      <c r="R626" s="193"/>
      <c r="S626" s="193"/>
      <c r="T626" s="193"/>
      <c r="U626" s="193"/>
      <c r="V626" s="193"/>
      <c r="W626" s="193"/>
      <c r="X626" s="193"/>
      <c r="Y626" s="193"/>
      <c r="Z626" s="193"/>
      <c r="AA626" s="193"/>
      <c r="AB626" s="193"/>
      <c r="AC626" s="193"/>
      <c r="AD626" s="193"/>
      <c r="AE626" s="193"/>
    </row>
    <row r="627" ht="14.25" customHeight="1">
      <c r="A627" s="191" t="s">
        <v>2650</v>
      </c>
      <c r="B627" s="192" t="s">
        <v>2651</v>
      </c>
      <c r="C627" s="191" t="s">
        <v>2652</v>
      </c>
      <c r="D627" s="193"/>
      <c r="E627" s="193"/>
      <c r="F627" s="194"/>
      <c r="G627" s="193"/>
      <c r="H627" s="193"/>
      <c r="I627" s="193"/>
      <c r="J627" s="193"/>
      <c r="K627" s="193"/>
      <c r="L627" s="193"/>
      <c r="M627" s="193"/>
      <c r="N627" s="193"/>
      <c r="O627" s="193"/>
      <c r="P627" s="193"/>
      <c r="Q627" s="193"/>
      <c r="R627" s="193"/>
      <c r="S627" s="193"/>
      <c r="T627" s="193"/>
      <c r="U627" s="193"/>
      <c r="V627" s="193"/>
      <c r="W627" s="193"/>
      <c r="X627" s="193"/>
      <c r="Y627" s="193"/>
      <c r="Z627" s="193"/>
      <c r="AA627" s="193"/>
      <c r="AB627" s="193"/>
      <c r="AC627" s="193"/>
      <c r="AD627" s="193"/>
      <c r="AE627" s="193"/>
    </row>
    <row r="628" ht="14.25" customHeight="1">
      <c r="A628" s="191" t="s">
        <v>2653</v>
      </c>
      <c r="B628" s="192" t="s">
        <v>2654</v>
      </c>
      <c r="C628" s="191" t="s">
        <v>2655</v>
      </c>
      <c r="D628" s="193"/>
      <c r="E628" s="193"/>
      <c r="F628" s="194"/>
      <c r="G628" s="193"/>
      <c r="H628" s="193"/>
      <c r="I628" s="193"/>
      <c r="J628" s="193"/>
      <c r="K628" s="193"/>
      <c r="L628" s="193"/>
      <c r="M628" s="193"/>
      <c r="N628" s="193"/>
      <c r="O628" s="193"/>
      <c r="P628" s="193"/>
      <c r="Q628" s="193"/>
      <c r="R628" s="193"/>
      <c r="S628" s="193"/>
      <c r="T628" s="193"/>
      <c r="U628" s="193"/>
      <c r="V628" s="193"/>
      <c r="W628" s="193"/>
      <c r="X628" s="193"/>
      <c r="Y628" s="193"/>
      <c r="Z628" s="193"/>
      <c r="AA628" s="193"/>
      <c r="AB628" s="193"/>
      <c r="AC628" s="193"/>
      <c r="AD628" s="193"/>
      <c r="AE628" s="193"/>
    </row>
    <row r="629" ht="14.25" customHeight="1">
      <c r="A629" s="191" t="s">
        <v>2656</v>
      </c>
      <c r="B629" s="192" t="s">
        <v>2657</v>
      </c>
      <c r="C629" s="191" t="s">
        <v>2658</v>
      </c>
      <c r="D629" s="193"/>
      <c r="E629" s="193"/>
      <c r="F629" s="194"/>
      <c r="G629" s="193"/>
      <c r="H629" s="193"/>
      <c r="I629" s="193"/>
      <c r="J629" s="193"/>
      <c r="K629" s="193"/>
      <c r="L629" s="193"/>
      <c r="M629" s="193"/>
      <c r="N629" s="193"/>
      <c r="O629" s="193"/>
      <c r="P629" s="193"/>
      <c r="Q629" s="193"/>
      <c r="R629" s="193"/>
      <c r="S629" s="193"/>
      <c r="T629" s="193"/>
      <c r="U629" s="193"/>
      <c r="V629" s="193"/>
      <c r="W629" s="193"/>
      <c r="X629" s="193"/>
      <c r="Y629" s="193"/>
      <c r="Z629" s="193"/>
      <c r="AA629" s="193"/>
      <c r="AB629" s="193"/>
      <c r="AC629" s="193"/>
      <c r="AD629" s="193"/>
      <c r="AE629" s="193"/>
    </row>
    <row r="630" ht="14.25" customHeight="1">
      <c r="A630" s="191" t="s">
        <v>2659</v>
      </c>
      <c r="B630" s="192" t="s">
        <v>2660</v>
      </c>
      <c r="C630" s="191" t="s">
        <v>2661</v>
      </c>
      <c r="D630" s="193"/>
      <c r="E630" s="193"/>
      <c r="F630" s="194"/>
      <c r="G630" s="193"/>
      <c r="H630" s="193"/>
      <c r="I630" s="193"/>
      <c r="J630" s="193"/>
      <c r="K630" s="193"/>
      <c r="L630" s="193"/>
      <c r="M630" s="193"/>
      <c r="N630" s="193"/>
      <c r="O630" s="193"/>
      <c r="P630" s="193"/>
      <c r="Q630" s="193"/>
      <c r="R630" s="193"/>
      <c r="S630" s="193"/>
      <c r="T630" s="193"/>
      <c r="U630" s="193"/>
      <c r="V630" s="193"/>
      <c r="W630" s="193"/>
      <c r="X630" s="193"/>
      <c r="Y630" s="193"/>
      <c r="Z630" s="193"/>
      <c r="AA630" s="193"/>
      <c r="AB630" s="193"/>
      <c r="AC630" s="193"/>
      <c r="AD630" s="193"/>
      <c r="AE630" s="193"/>
    </row>
    <row r="631" ht="14.25" customHeight="1">
      <c r="A631" s="191" t="s">
        <v>2662</v>
      </c>
      <c r="B631" s="192" t="s">
        <v>2663</v>
      </c>
      <c r="C631" s="191" t="s">
        <v>2664</v>
      </c>
      <c r="D631" s="193"/>
      <c r="E631" s="193"/>
      <c r="F631" s="194"/>
      <c r="G631" s="193"/>
      <c r="H631" s="193"/>
      <c r="I631" s="193"/>
      <c r="J631" s="193"/>
      <c r="K631" s="193"/>
      <c r="L631" s="193"/>
      <c r="M631" s="193"/>
      <c r="N631" s="193"/>
      <c r="O631" s="193"/>
      <c r="P631" s="193"/>
      <c r="Q631" s="193"/>
      <c r="R631" s="193"/>
      <c r="S631" s="193"/>
      <c r="T631" s="193"/>
      <c r="U631" s="193"/>
      <c r="V631" s="193"/>
      <c r="W631" s="193"/>
      <c r="X631" s="193"/>
      <c r="Y631" s="193"/>
      <c r="Z631" s="193"/>
      <c r="AA631" s="193"/>
      <c r="AB631" s="193"/>
      <c r="AC631" s="193"/>
      <c r="AD631" s="193"/>
      <c r="AE631" s="193"/>
    </row>
    <row r="632" ht="14.25" customHeight="1">
      <c r="A632" s="191" t="s">
        <v>2665</v>
      </c>
      <c r="B632" s="192" t="s">
        <v>2666</v>
      </c>
      <c r="C632" s="191" t="s">
        <v>2667</v>
      </c>
      <c r="D632" s="193"/>
      <c r="E632" s="193"/>
      <c r="F632" s="194"/>
      <c r="G632" s="193"/>
      <c r="H632" s="193"/>
      <c r="I632" s="193"/>
      <c r="J632" s="193"/>
      <c r="K632" s="193"/>
      <c r="L632" s="193"/>
      <c r="M632" s="193"/>
      <c r="N632" s="193"/>
      <c r="O632" s="193"/>
      <c r="P632" s="193"/>
      <c r="Q632" s="193"/>
      <c r="R632" s="193"/>
      <c r="S632" s="193"/>
      <c r="T632" s="193"/>
      <c r="U632" s="193"/>
      <c r="V632" s="193"/>
      <c r="W632" s="193"/>
      <c r="X632" s="193"/>
      <c r="Y632" s="193"/>
      <c r="Z632" s="193"/>
      <c r="AA632" s="193"/>
      <c r="AB632" s="193"/>
      <c r="AC632" s="193"/>
      <c r="AD632" s="193"/>
      <c r="AE632" s="193"/>
    </row>
    <row r="633" ht="14.25" customHeight="1">
      <c r="A633" s="191" t="s">
        <v>2668</v>
      </c>
      <c r="B633" s="192" t="s">
        <v>2669</v>
      </c>
      <c r="C633" s="191" t="s">
        <v>2670</v>
      </c>
      <c r="D633" s="193"/>
      <c r="E633" s="193"/>
      <c r="F633" s="194"/>
      <c r="G633" s="193"/>
      <c r="H633" s="193"/>
      <c r="I633" s="193"/>
      <c r="J633" s="193"/>
      <c r="K633" s="193"/>
      <c r="L633" s="193"/>
      <c r="M633" s="193"/>
      <c r="N633" s="193"/>
      <c r="O633" s="193"/>
      <c r="P633" s="193"/>
      <c r="Q633" s="193"/>
      <c r="R633" s="193"/>
      <c r="S633" s="193"/>
      <c r="T633" s="193"/>
      <c r="U633" s="193"/>
      <c r="V633" s="193"/>
      <c r="W633" s="193"/>
      <c r="X633" s="193"/>
      <c r="Y633" s="193"/>
      <c r="Z633" s="193"/>
      <c r="AA633" s="193"/>
      <c r="AB633" s="193"/>
      <c r="AC633" s="193"/>
      <c r="AD633" s="193"/>
      <c r="AE633" s="193"/>
    </row>
    <row r="634" ht="14.25" customHeight="1">
      <c r="A634" s="191" t="s">
        <v>2671</v>
      </c>
      <c r="B634" s="192" t="s">
        <v>2672</v>
      </c>
      <c r="C634" s="191" t="s">
        <v>2673</v>
      </c>
      <c r="D634" s="193"/>
      <c r="E634" s="193"/>
      <c r="F634" s="194"/>
      <c r="G634" s="193"/>
      <c r="H634" s="193"/>
      <c r="I634" s="193"/>
      <c r="J634" s="193"/>
      <c r="K634" s="193"/>
      <c r="L634" s="193"/>
      <c r="M634" s="193"/>
      <c r="N634" s="193"/>
      <c r="O634" s="193"/>
      <c r="P634" s="193"/>
      <c r="Q634" s="193"/>
      <c r="R634" s="193"/>
      <c r="S634" s="193"/>
      <c r="T634" s="193"/>
      <c r="U634" s="193"/>
      <c r="V634" s="193"/>
      <c r="W634" s="193"/>
      <c r="X634" s="193"/>
      <c r="Y634" s="193"/>
      <c r="Z634" s="193"/>
      <c r="AA634" s="193"/>
      <c r="AB634" s="193"/>
      <c r="AC634" s="193"/>
      <c r="AD634" s="193"/>
      <c r="AE634" s="193"/>
    </row>
    <row r="635" ht="14.25" customHeight="1">
      <c r="A635" s="191" t="s">
        <v>2674</v>
      </c>
      <c r="B635" s="192" t="s">
        <v>2675</v>
      </c>
      <c r="C635" s="191" t="s">
        <v>2676</v>
      </c>
      <c r="D635" s="193"/>
      <c r="E635" s="193"/>
      <c r="F635" s="194"/>
      <c r="G635" s="193"/>
      <c r="H635" s="193"/>
      <c r="I635" s="193"/>
      <c r="J635" s="193"/>
      <c r="K635" s="193"/>
      <c r="L635" s="193"/>
      <c r="M635" s="193"/>
      <c r="N635" s="193"/>
      <c r="O635" s="193"/>
      <c r="P635" s="193"/>
      <c r="Q635" s="193"/>
      <c r="R635" s="193"/>
      <c r="S635" s="193"/>
      <c r="T635" s="193"/>
      <c r="U635" s="193"/>
      <c r="V635" s="193"/>
      <c r="W635" s="193"/>
      <c r="X635" s="193"/>
      <c r="Y635" s="193"/>
      <c r="Z635" s="193"/>
      <c r="AA635" s="193"/>
      <c r="AB635" s="193"/>
      <c r="AC635" s="193"/>
      <c r="AD635" s="193"/>
      <c r="AE635" s="193"/>
    </row>
    <row r="636" ht="14.25" customHeight="1">
      <c r="A636" s="191" t="s">
        <v>2677</v>
      </c>
      <c r="B636" s="192" t="s">
        <v>2678</v>
      </c>
      <c r="C636" s="191" t="s">
        <v>2679</v>
      </c>
      <c r="D636" s="193"/>
      <c r="E636" s="193"/>
      <c r="F636" s="194"/>
      <c r="G636" s="193"/>
      <c r="H636" s="193"/>
      <c r="I636" s="193"/>
      <c r="J636" s="193"/>
      <c r="K636" s="193"/>
      <c r="L636" s="193"/>
      <c r="M636" s="193"/>
      <c r="N636" s="193"/>
      <c r="O636" s="193"/>
      <c r="P636" s="193"/>
      <c r="Q636" s="193"/>
      <c r="R636" s="193"/>
      <c r="S636" s="193"/>
      <c r="T636" s="193"/>
      <c r="U636" s="193"/>
      <c r="V636" s="193"/>
      <c r="W636" s="193"/>
      <c r="X636" s="193"/>
      <c r="Y636" s="193"/>
      <c r="Z636" s="193"/>
      <c r="AA636" s="193"/>
      <c r="AB636" s="193"/>
      <c r="AC636" s="193"/>
      <c r="AD636" s="193"/>
      <c r="AE636" s="193"/>
    </row>
    <row r="637" ht="14.25" customHeight="1">
      <c r="A637" s="191" t="s">
        <v>2680</v>
      </c>
      <c r="B637" s="192" t="s">
        <v>2681</v>
      </c>
      <c r="C637" s="191" t="s">
        <v>2682</v>
      </c>
      <c r="D637" s="193"/>
      <c r="E637" s="193"/>
      <c r="F637" s="194"/>
      <c r="G637" s="193"/>
      <c r="H637" s="193"/>
      <c r="I637" s="193"/>
      <c r="J637" s="193"/>
      <c r="K637" s="193"/>
      <c r="L637" s="193"/>
      <c r="M637" s="193"/>
      <c r="N637" s="193"/>
      <c r="O637" s="193"/>
      <c r="P637" s="193"/>
      <c r="Q637" s="193"/>
      <c r="R637" s="193"/>
      <c r="S637" s="193"/>
      <c r="T637" s="193"/>
      <c r="U637" s="193"/>
      <c r="V637" s="193"/>
      <c r="W637" s="193"/>
      <c r="X637" s="193"/>
      <c r="Y637" s="193"/>
      <c r="Z637" s="193"/>
      <c r="AA637" s="193"/>
      <c r="AB637" s="193"/>
      <c r="AC637" s="193"/>
      <c r="AD637" s="193"/>
      <c r="AE637" s="193"/>
    </row>
    <row r="638" ht="14.25" customHeight="1">
      <c r="A638" s="191" t="s">
        <v>2683</v>
      </c>
      <c r="B638" s="192" t="s">
        <v>2684</v>
      </c>
      <c r="C638" s="191" t="s">
        <v>2685</v>
      </c>
      <c r="D638" s="193"/>
      <c r="E638" s="193"/>
      <c r="F638" s="194"/>
      <c r="G638" s="193"/>
      <c r="H638" s="193"/>
      <c r="I638" s="193"/>
      <c r="J638" s="193"/>
      <c r="K638" s="193"/>
      <c r="L638" s="193"/>
      <c r="M638" s="193"/>
      <c r="N638" s="193"/>
      <c r="O638" s="193"/>
      <c r="P638" s="193"/>
      <c r="Q638" s="193"/>
      <c r="R638" s="193"/>
      <c r="S638" s="193"/>
      <c r="T638" s="193"/>
      <c r="U638" s="193"/>
      <c r="V638" s="193"/>
      <c r="W638" s="193"/>
      <c r="X638" s="193"/>
      <c r="Y638" s="193"/>
      <c r="Z638" s="193"/>
      <c r="AA638" s="193"/>
      <c r="AB638" s="193"/>
      <c r="AC638" s="193"/>
      <c r="AD638" s="193"/>
      <c r="AE638" s="193"/>
    </row>
    <row r="639" ht="14.25" customHeight="1">
      <c r="A639" s="191" t="s">
        <v>2686</v>
      </c>
      <c r="B639" s="192" t="s">
        <v>2687</v>
      </c>
      <c r="C639" s="191" t="s">
        <v>2688</v>
      </c>
      <c r="D639" s="193"/>
      <c r="E639" s="193"/>
      <c r="F639" s="194" t="s">
        <v>2689</v>
      </c>
      <c r="G639" s="193"/>
      <c r="H639" s="193"/>
      <c r="I639" s="193"/>
      <c r="J639" s="193"/>
      <c r="K639" s="193"/>
      <c r="L639" s="193"/>
      <c r="M639" s="193"/>
      <c r="N639" s="193"/>
      <c r="O639" s="193"/>
      <c r="P639" s="193"/>
      <c r="Q639" s="193"/>
      <c r="R639" s="193"/>
      <c r="S639" s="193"/>
      <c r="T639" s="193"/>
      <c r="U639" s="193"/>
      <c r="V639" s="193"/>
      <c r="W639" s="193"/>
      <c r="X639" s="193"/>
      <c r="Y639" s="193"/>
      <c r="Z639" s="193"/>
      <c r="AA639" s="193"/>
      <c r="AB639" s="193"/>
      <c r="AC639" s="193"/>
      <c r="AD639" s="193"/>
      <c r="AE639" s="193"/>
    </row>
    <row r="640" ht="14.25" customHeight="1">
      <c r="A640" s="191" t="s">
        <v>2690</v>
      </c>
      <c r="B640" s="192" t="s">
        <v>2691</v>
      </c>
      <c r="C640" s="191" t="s">
        <v>2692</v>
      </c>
      <c r="D640" s="193"/>
      <c r="E640" s="193"/>
      <c r="F640" s="194" t="s">
        <v>2693</v>
      </c>
      <c r="G640" s="193"/>
      <c r="H640" s="193"/>
      <c r="I640" s="193"/>
      <c r="J640" s="193"/>
      <c r="K640" s="193"/>
      <c r="L640" s="193"/>
      <c r="M640" s="193"/>
      <c r="N640" s="193"/>
      <c r="O640" s="193"/>
      <c r="P640" s="193"/>
      <c r="Q640" s="193"/>
      <c r="R640" s="193"/>
      <c r="S640" s="193"/>
      <c r="T640" s="193"/>
      <c r="U640" s="193"/>
      <c r="V640" s="193"/>
      <c r="W640" s="193"/>
      <c r="X640" s="193"/>
      <c r="Y640" s="193"/>
      <c r="Z640" s="193"/>
      <c r="AA640" s="193"/>
      <c r="AB640" s="193"/>
      <c r="AC640" s="193"/>
      <c r="AD640" s="193"/>
      <c r="AE640" s="193"/>
    </row>
    <row r="641" ht="14.25" customHeight="1">
      <c r="A641" s="191" t="s">
        <v>2694</v>
      </c>
      <c r="B641" s="192" t="s">
        <v>2695</v>
      </c>
      <c r="C641" s="191" t="s">
        <v>2696</v>
      </c>
      <c r="D641" s="193"/>
      <c r="E641" s="193"/>
      <c r="F641" s="194" t="s">
        <v>2697</v>
      </c>
      <c r="G641" s="193"/>
      <c r="H641" s="193"/>
      <c r="I641" s="193"/>
      <c r="J641" s="193"/>
      <c r="K641" s="193"/>
      <c r="L641" s="193"/>
      <c r="M641" s="193"/>
      <c r="N641" s="193"/>
      <c r="O641" s="193"/>
      <c r="P641" s="193"/>
      <c r="Q641" s="193"/>
      <c r="R641" s="193"/>
      <c r="S641" s="193"/>
      <c r="T641" s="193"/>
      <c r="U641" s="193"/>
      <c r="V641" s="193"/>
      <c r="W641" s="193"/>
      <c r="X641" s="193"/>
      <c r="Y641" s="193"/>
      <c r="Z641" s="193"/>
      <c r="AA641" s="193"/>
      <c r="AB641" s="193"/>
      <c r="AC641" s="193"/>
      <c r="AD641" s="193"/>
      <c r="AE641" s="193"/>
    </row>
    <row r="642" ht="14.25" customHeight="1">
      <c r="A642" s="191" t="s">
        <v>2698</v>
      </c>
      <c r="B642" s="192" t="s">
        <v>2699</v>
      </c>
      <c r="C642" s="191" t="s">
        <v>2700</v>
      </c>
      <c r="D642" s="193"/>
      <c r="E642" s="193"/>
      <c r="F642" s="194" t="s">
        <v>2701</v>
      </c>
      <c r="G642" s="193"/>
      <c r="H642" s="193"/>
      <c r="I642" s="193"/>
      <c r="J642" s="193"/>
      <c r="K642" s="193"/>
      <c r="L642" s="193"/>
      <c r="M642" s="193"/>
      <c r="N642" s="193"/>
      <c r="O642" s="193"/>
      <c r="P642" s="193"/>
      <c r="Q642" s="193"/>
      <c r="R642" s="193"/>
      <c r="S642" s="193"/>
      <c r="T642" s="193"/>
      <c r="U642" s="193"/>
      <c r="V642" s="193"/>
      <c r="W642" s="193"/>
      <c r="X642" s="193"/>
      <c r="Y642" s="193"/>
      <c r="Z642" s="193"/>
      <c r="AA642" s="193"/>
      <c r="AB642" s="193"/>
      <c r="AC642" s="193"/>
      <c r="AD642" s="193"/>
      <c r="AE642" s="193"/>
    </row>
    <row r="643" ht="14.25" customHeight="1">
      <c r="A643" s="191" t="s">
        <v>2702</v>
      </c>
      <c r="B643" s="192" t="s">
        <v>2703</v>
      </c>
      <c r="C643" s="191" t="s">
        <v>2704</v>
      </c>
      <c r="D643" s="193"/>
      <c r="E643" s="193"/>
      <c r="F643" s="194" t="s">
        <v>2705</v>
      </c>
      <c r="G643" s="193"/>
      <c r="H643" s="193"/>
      <c r="I643" s="193"/>
      <c r="J643" s="193"/>
      <c r="K643" s="193"/>
      <c r="L643" s="193"/>
      <c r="M643" s="193"/>
      <c r="N643" s="193"/>
      <c r="O643" s="193"/>
      <c r="P643" s="193"/>
      <c r="Q643" s="193"/>
      <c r="R643" s="193"/>
      <c r="S643" s="193"/>
      <c r="T643" s="193"/>
      <c r="U643" s="193"/>
      <c r="V643" s="193"/>
      <c r="W643" s="193"/>
      <c r="X643" s="193"/>
      <c r="Y643" s="193"/>
      <c r="Z643" s="193"/>
      <c r="AA643" s="193"/>
      <c r="AB643" s="193"/>
      <c r="AC643" s="193"/>
      <c r="AD643" s="193"/>
      <c r="AE643" s="193"/>
    </row>
    <row r="644" ht="14.25" customHeight="1">
      <c r="A644" s="191" t="s">
        <v>2706</v>
      </c>
      <c r="B644" s="192" t="s">
        <v>2707</v>
      </c>
      <c r="C644" s="191" t="s">
        <v>2708</v>
      </c>
      <c r="D644" s="193"/>
      <c r="E644" s="193"/>
      <c r="F644" s="194" t="s">
        <v>2709</v>
      </c>
      <c r="G644" s="193"/>
      <c r="H644" s="193"/>
      <c r="I644" s="193"/>
      <c r="J644" s="193"/>
      <c r="K644" s="193"/>
      <c r="L644" s="193"/>
      <c r="M644" s="193"/>
      <c r="N644" s="193"/>
      <c r="O644" s="193"/>
      <c r="P644" s="193"/>
      <c r="Q644" s="193"/>
      <c r="R644" s="193"/>
      <c r="S644" s="193"/>
      <c r="T644" s="193"/>
      <c r="U644" s="193"/>
      <c r="V644" s="193"/>
      <c r="W644" s="193"/>
      <c r="X644" s="193"/>
      <c r="Y644" s="193"/>
      <c r="Z644" s="193"/>
      <c r="AA644" s="193"/>
      <c r="AB644" s="193"/>
      <c r="AC644" s="193"/>
      <c r="AD644" s="193"/>
      <c r="AE644" s="193"/>
    </row>
    <row r="645" ht="14.25" customHeight="1">
      <c r="A645" s="191" t="s">
        <v>2710</v>
      </c>
      <c r="B645" s="192" t="s">
        <v>2711</v>
      </c>
      <c r="C645" s="191" t="s">
        <v>2712</v>
      </c>
      <c r="D645" s="193"/>
      <c r="E645" s="193"/>
      <c r="F645" s="194" t="s">
        <v>2713</v>
      </c>
      <c r="G645" s="193"/>
      <c r="H645" s="193"/>
      <c r="I645" s="193"/>
      <c r="J645" s="193"/>
      <c r="K645" s="193"/>
      <c r="L645" s="193"/>
      <c r="M645" s="193"/>
      <c r="N645" s="193"/>
      <c r="O645" s="193"/>
      <c r="P645" s="193"/>
      <c r="Q645" s="193"/>
      <c r="R645" s="193"/>
      <c r="S645" s="193"/>
      <c r="T645" s="193"/>
      <c r="U645" s="193"/>
      <c r="V645" s="193"/>
      <c r="W645" s="193"/>
      <c r="X645" s="193"/>
      <c r="Y645" s="193"/>
      <c r="Z645" s="193"/>
      <c r="AA645" s="193"/>
      <c r="AB645" s="193"/>
      <c r="AC645" s="193"/>
      <c r="AD645" s="193"/>
      <c r="AE645" s="193"/>
    </row>
    <row r="646" ht="14.25" customHeight="1">
      <c r="A646" s="191" t="s">
        <v>2714</v>
      </c>
      <c r="B646" s="192" t="s">
        <v>2715</v>
      </c>
      <c r="C646" s="191" t="s">
        <v>2716</v>
      </c>
      <c r="D646" s="193"/>
      <c r="E646" s="193"/>
      <c r="F646" s="194" t="s">
        <v>2717</v>
      </c>
      <c r="G646" s="193"/>
      <c r="H646" s="193"/>
      <c r="I646" s="193"/>
      <c r="J646" s="193"/>
      <c r="K646" s="193"/>
      <c r="L646" s="193"/>
      <c r="M646" s="193"/>
      <c r="N646" s="193"/>
      <c r="O646" s="193"/>
      <c r="P646" s="193"/>
      <c r="Q646" s="193"/>
      <c r="R646" s="193"/>
      <c r="S646" s="193"/>
      <c r="T646" s="193"/>
      <c r="U646" s="193"/>
      <c r="V646" s="193"/>
      <c r="W646" s="193"/>
      <c r="X646" s="193"/>
      <c r="Y646" s="193"/>
      <c r="Z646" s="193"/>
      <c r="AA646" s="193"/>
      <c r="AB646" s="193"/>
      <c r="AC646" s="193"/>
      <c r="AD646" s="193"/>
      <c r="AE646" s="193"/>
    </row>
    <row r="647" ht="14.25" customHeight="1">
      <c r="A647" s="191" t="s">
        <v>2718</v>
      </c>
      <c r="B647" s="192" t="s">
        <v>2719</v>
      </c>
      <c r="C647" s="191" t="s">
        <v>2720</v>
      </c>
      <c r="D647" s="193"/>
      <c r="E647" s="193"/>
      <c r="F647" s="194"/>
      <c r="G647" s="193"/>
      <c r="H647" s="193"/>
      <c r="I647" s="193"/>
      <c r="J647" s="193"/>
      <c r="K647" s="193"/>
      <c r="L647" s="193"/>
      <c r="M647" s="193"/>
      <c r="N647" s="193"/>
      <c r="O647" s="193"/>
      <c r="P647" s="193"/>
      <c r="Q647" s="193"/>
      <c r="R647" s="193"/>
      <c r="S647" s="193"/>
      <c r="T647" s="193"/>
      <c r="U647" s="193"/>
      <c r="V647" s="193"/>
      <c r="W647" s="193"/>
      <c r="X647" s="193"/>
      <c r="Y647" s="193"/>
      <c r="Z647" s="193"/>
      <c r="AA647" s="193"/>
      <c r="AB647" s="193"/>
      <c r="AC647" s="193"/>
      <c r="AD647" s="193"/>
      <c r="AE647" s="193"/>
    </row>
    <row r="648" ht="14.25" customHeight="1">
      <c r="A648" s="191" t="s">
        <v>2721</v>
      </c>
      <c r="B648" s="192" t="s">
        <v>2722</v>
      </c>
      <c r="C648" s="191" t="s">
        <v>2723</v>
      </c>
      <c r="D648" s="193"/>
      <c r="E648" s="193"/>
      <c r="F648" s="194" t="s">
        <v>2724</v>
      </c>
      <c r="G648" s="193"/>
      <c r="H648" s="193"/>
      <c r="I648" s="193"/>
      <c r="J648" s="193"/>
      <c r="K648" s="193"/>
      <c r="L648" s="193"/>
      <c r="M648" s="193"/>
      <c r="N648" s="193"/>
      <c r="O648" s="193"/>
      <c r="P648" s="193"/>
      <c r="Q648" s="193"/>
      <c r="R648" s="193"/>
      <c r="S648" s="193"/>
      <c r="T648" s="193"/>
      <c r="U648" s="193"/>
      <c r="V648" s="193"/>
      <c r="W648" s="193"/>
      <c r="X648" s="193"/>
      <c r="Y648" s="193"/>
      <c r="Z648" s="193"/>
      <c r="AA648" s="193"/>
      <c r="AB648" s="193"/>
      <c r="AC648" s="193"/>
      <c r="AD648" s="193"/>
      <c r="AE648" s="193"/>
    </row>
    <row r="649" ht="14.25" customHeight="1">
      <c r="A649" s="191" t="s">
        <v>2725</v>
      </c>
      <c r="B649" s="192" t="s">
        <v>2726</v>
      </c>
      <c r="C649" s="191" t="s">
        <v>2727</v>
      </c>
      <c r="D649" s="193"/>
      <c r="E649" s="193"/>
      <c r="F649" s="194" t="s">
        <v>2728</v>
      </c>
      <c r="G649" s="193"/>
      <c r="H649" s="193"/>
      <c r="I649" s="193"/>
      <c r="J649" s="193"/>
      <c r="K649" s="193"/>
      <c r="L649" s="193"/>
      <c r="M649" s="193"/>
      <c r="N649" s="193"/>
      <c r="O649" s="193"/>
      <c r="P649" s="193"/>
      <c r="Q649" s="193"/>
      <c r="R649" s="193"/>
      <c r="S649" s="193"/>
      <c r="T649" s="193"/>
      <c r="U649" s="193"/>
      <c r="V649" s="193"/>
      <c r="W649" s="193"/>
      <c r="X649" s="193"/>
      <c r="Y649" s="193"/>
      <c r="Z649" s="193"/>
      <c r="AA649" s="193"/>
      <c r="AB649" s="193"/>
      <c r="AC649" s="193"/>
      <c r="AD649" s="193"/>
      <c r="AE649" s="193"/>
    </row>
    <row r="650" ht="14.25" customHeight="1">
      <c r="A650" s="191" t="s">
        <v>2729</v>
      </c>
      <c r="B650" s="192" t="s">
        <v>2730</v>
      </c>
      <c r="C650" s="191" t="s">
        <v>2731</v>
      </c>
      <c r="D650" s="193"/>
      <c r="E650" s="193"/>
      <c r="F650" s="194" t="s">
        <v>2732</v>
      </c>
      <c r="G650" s="193"/>
      <c r="H650" s="193"/>
      <c r="I650" s="193"/>
      <c r="J650" s="193"/>
      <c r="K650" s="193"/>
      <c r="L650" s="193"/>
      <c r="M650" s="193"/>
      <c r="N650" s="193"/>
      <c r="O650" s="193"/>
      <c r="P650" s="193"/>
      <c r="Q650" s="193"/>
      <c r="R650" s="193"/>
      <c r="S650" s="193"/>
      <c r="T650" s="193"/>
      <c r="U650" s="193"/>
      <c r="V650" s="193"/>
      <c r="W650" s="193"/>
      <c r="X650" s="193"/>
      <c r="Y650" s="193"/>
      <c r="Z650" s="193"/>
      <c r="AA650" s="193"/>
      <c r="AB650" s="193"/>
      <c r="AC650" s="193"/>
      <c r="AD650" s="193"/>
      <c r="AE650" s="193"/>
    </row>
    <row r="651" ht="14.25" customHeight="1">
      <c r="A651" s="191" t="s">
        <v>2733</v>
      </c>
      <c r="B651" s="192" t="s">
        <v>2734</v>
      </c>
      <c r="C651" s="191" t="s">
        <v>2735</v>
      </c>
      <c r="D651" s="193"/>
      <c r="E651" s="193"/>
      <c r="F651" s="194" t="s">
        <v>2736</v>
      </c>
      <c r="G651" s="193"/>
      <c r="H651" s="193"/>
      <c r="I651" s="193"/>
      <c r="J651" s="193"/>
      <c r="K651" s="193"/>
      <c r="L651" s="193"/>
      <c r="M651" s="193"/>
      <c r="N651" s="193"/>
      <c r="O651" s="193"/>
      <c r="P651" s="193"/>
      <c r="Q651" s="193"/>
      <c r="R651" s="193"/>
      <c r="S651" s="193"/>
      <c r="T651" s="193"/>
      <c r="U651" s="193"/>
      <c r="V651" s="193"/>
      <c r="W651" s="193"/>
      <c r="X651" s="193"/>
      <c r="Y651" s="193"/>
      <c r="Z651" s="193"/>
      <c r="AA651" s="193"/>
      <c r="AB651" s="193"/>
      <c r="AC651" s="193"/>
      <c r="AD651" s="193"/>
      <c r="AE651" s="193"/>
    </row>
    <row r="652" ht="14.25" customHeight="1">
      <c r="A652" s="191" t="s">
        <v>2737</v>
      </c>
      <c r="B652" s="192" t="s">
        <v>2738</v>
      </c>
      <c r="C652" s="191" t="s">
        <v>2739</v>
      </c>
      <c r="D652" s="193"/>
      <c r="E652" s="193"/>
      <c r="F652" s="194" t="s">
        <v>2740</v>
      </c>
      <c r="G652" s="193"/>
      <c r="H652" s="193"/>
      <c r="I652" s="193"/>
      <c r="J652" s="193"/>
      <c r="K652" s="193"/>
      <c r="L652" s="193"/>
      <c r="M652" s="193"/>
      <c r="N652" s="193"/>
      <c r="O652" s="193"/>
      <c r="P652" s="193"/>
      <c r="Q652" s="193"/>
      <c r="R652" s="193"/>
      <c r="S652" s="193"/>
      <c r="T652" s="193"/>
      <c r="U652" s="193"/>
      <c r="V652" s="193"/>
      <c r="W652" s="193"/>
      <c r="X652" s="193"/>
      <c r="Y652" s="193"/>
      <c r="Z652" s="193"/>
      <c r="AA652" s="193"/>
      <c r="AB652" s="193"/>
      <c r="AC652" s="193"/>
      <c r="AD652" s="193"/>
      <c r="AE652" s="193"/>
    </row>
    <row r="653" ht="14.25" customHeight="1">
      <c r="A653" s="191" t="s">
        <v>2741</v>
      </c>
      <c r="B653" s="192" t="s">
        <v>2742</v>
      </c>
      <c r="C653" s="191" t="s">
        <v>2743</v>
      </c>
      <c r="D653" s="193"/>
      <c r="E653" s="193"/>
      <c r="F653" s="194" t="s">
        <v>2744</v>
      </c>
      <c r="G653" s="193"/>
      <c r="H653" s="193"/>
      <c r="I653" s="193"/>
      <c r="J653" s="193"/>
      <c r="K653" s="193"/>
      <c r="L653" s="193"/>
      <c r="M653" s="193"/>
      <c r="N653" s="193"/>
      <c r="O653" s="193"/>
      <c r="P653" s="193"/>
      <c r="Q653" s="193"/>
      <c r="R653" s="193"/>
      <c r="S653" s="193"/>
      <c r="T653" s="193"/>
      <c r="U653" s="193"/>
      <c r="V653" s="193"/>
      <c r="W653" s="193"/>
      <c r="X653" s="193"/>
      <c r="Y653" s="193"/>
      <c r="Z653" s="193"/>
      <c r="AA653" s="193"/>
      <c r="AB653" s="193"/>
      <c r="AC653" s="193"/>
      <c r="AD653" s="193"/>
      <c r="AE653" s="193"/>
    </row>
    <row r="654" ht="14.25" customHeight="1">
      <c r="A654" s="191" t="s">
        <v>2745</v>
      </c>
      <c r="B654" s="192" t="s">
        <v>2746</v>
      </c>
      <c r="C654" s="191" t="s">
        <v>2747</v>
      </c>
      <c r="D654" s="193"/>
      <c r="E654" s="193"/>
      <c r="F654" s="194" t="s">
        <v>2748</v>
      </c>
      <c r="G654" s="193"/>
      <c r="H654" s="193"/>
      <c r="I654" s="193"/>
      <c r="J654" s="193"/>
      <c r="K654" s="193"/>
      <c r="L654" s="193"/>
      <c r="M654" s="193"/>
      <c r="N654" s="193"/>
      <c r="O654" s="193"/>
      <c r="P654" s="193"/>
      <c r="Q654" s="193"/>
      <c r="R654" s="193"/>
      <c r="S654" s="193"/>
      <c r="T654" s="193"/>
      <c r="U654" s="193"/>
      <c r="V654" s="193"/>
      <c r="W654" s="193"/>
      <c r="X654" s="193"/>
      <c r="Y654" s="193"/>
      <c r="Z654" s="193"/>
      <c r="AA654" s="193"/>
      <c r="AB654" s="193"/>
      <c r="AC654" s="193"/>
      <c r="AD654" s="193"/>
      <c r="AE654" s="193"/>
    </row>
    <row r="655" ht="14.25" customHeight="1">
      <c r="A655" s="191" t="s">
        <v>2749</v>
      </c>
      <c r="B655" s="192" t="s">
        <v>2750</v>
      </c>
      <c r="C655" s="191" t="s">
        <v>2751</v>
      </c>
      <c r="D655" s="193"/>
      <c r="E655" s="193"/>
      <c r="F655" s="194" t="s">
        <v>2752</v>
      </c>
      <c r="G655" s="193"/>
      <c r="H655" s="193"/>
      <c r="I655" s="193"/>
      <c r="J655" s="193"/>
      <c r="K655" s="193"/>
      <c r="L655" s="193"/>
      <c r="M655" s="193"/>
      <c r="N655" s="193"/>
      <c r="O655" s="193"/>
      <c r="P655" s="193"/>
      <c r="Q655" s="193"/>
      <c r="R655" s="193"/>
      <c r="S655" s="193"/>
      <c r="T655" s="193"/>
      <c r="U655" s="193"/>
      <c r="V655" s="193"/>
      <c r="W655" s="193"/>
      <c r="X655" s="193"/>
      <c r="Y655" s="193"/>
      <c r="Z655" s="193"/>
      <c r="AA655" s="193"/>
      <c r="AB655" s="193"/>
      <c r="AC655" s="193"/>
      <c r="AD655" s="193"/>
      <c r="AE655" s="193"/>
    </row>
    <row r="656" ht="14.25" customHeight="1">
      <c r="A656" s="191" t="s">
        <v>2753</v>
      </c>
      <c r="B656" s="192" t="s">
        <v>2754</v>
      </c>
      <c r="C656" s="191" t="s">
        <v>2755</v>
      </c>
      <c r="D656" s="193"/>
      <c r="E656" s="193"/>
      <c r="F656" s="194"/>
      <c r="G656" s="193"/>
      <c r="H656" s="193"/>
      <c r="I656" s="193"/>
      <c r="J656" s="193"/>
      <c r="K656" s="193"/>
      <c r="L656" s="193"/>
      <c r="M656" s="193"/>
      <c r="N656" s="193"/>
      <c r="O656" s="193"/>
      <c r="P656" s="193"/>
      <c r="Q656" s="193"/>
      <c r="R656" s="193"/>
      <c r="S656" s="193"/>
      <c r="T656" s="193"/>
      <c r="U656" s="193"/>
      <c r="V656" s="193"/>
      <c r="W656" s="193"/>
      <c r="X656" s="193"/>
      <c r="Y656" s="193"/>
      <c r="Z656" s="193"/>
      <c r="AA656" s="193"/>
      <c r="AB656" s="193"/>
      <c r="AC656" s="193"/>
      <c r="AD656" s="193"/>
      <c r="AE656" s="193"/>
    </row>
    <row r="657" ht="14.25" customHeight="1">
      <c r="A657" s="191" t="s">
        <v>2756</v>
      </c>
      <c r="B657" s="192" t="s">
        <v>2757</v>
      </c>
      <c r="C657" s="191" t="s">
        <v>2758</v>
      </c>
      <c r="D657" s="193"/>
      <c r="E657" s="193"/>
      <c r="F657" s="194" t="s">
        <v>2759</v>
      </c>
      <c r="G657" s="193"/>
      <c r="H657" s="193"/>
      <c r="I657" s="193"/>
      <c r="J657" s="193"/>
      <c r="K657" s="193"/>
      <c r="L657" s="193"/>
      <c r="M657" s="193"/>
      <c r="N657" s="193"/>
      <c r="O657" s="193"/>
      <c r="P657" s="193"/>
      <c r="Q657" s="193"/>
      <c r="R657" s="193"/>
      <c r="S657" s="193"/>
      <c r="T657" s="193"/>
      <c r="U657" s="193"/>
      <c r="V657" s="193"/>
      <c r="W657" s="193"/>
      <c r="X657" s="193"/>
      <c r="Y657" s="193"/>
      <c r="Z657" s="193"/>
      <c r="AA657" s="193"/>
      <c r="AB657" s="193"/>
      <c r="AC657" s="193"/>
      <c r="AD657" s="193"/>
      <c r="AE657" s="193"/>
    </row>
    <row r="658" ht="14.25" customHeight="1">
      <c r="A658" s="191" t="s">
        <v>2760</v>
      </c>
      <c r="B658" s="192" t="s">
        <v>2761</v>
      </c>
      <c r="C658" s="191" t="s">
        <v>2762</v>
      </c>
      <c r="D658" s="193"/>
      <c r="E658" s="193"/>
      <c r="F658" s="194" t="s">
        <v>2763</v>
      </c>
      <c r="G658" s="193"/>
      <c r="H658" s="193"/>
      <c r="I658" s="193"/>
      <c r="J658" s="193"/>
      <c r="K658" s="193"/>
      <c r="L658" s="193"/>
      <c r="M658" s="193"/>
      <c r="N658" s="193"/>
      <c r="O658" s="193"/>
      <c r="P658" s="193"/>
      <c r="Q658" s="193"/>
      <c r="R658" s="193"/>
      <c r="S658" s="193"/>
      <c r="T658" s="193"/>
      <c r="U658" s="193"/>
      <c r="V658" s="193"/>
      <c r="W658" s="193"/>
      <c r="X658" s="193"/>
      <c r="Y658" s="193"/>
      <c r="Z658" s="193"/>
      <c r="AA658" s="193"/>
      <c r="AB658" s="193"/>
      <c r="AC658" s="193"/>
      <c r="AD658" s="193"/>
      <c r="AE658" s="193"/>
    </row>
    <row r="659" ht="14.25" customHeight="1">
      <c r="A659" s="191" t="s">
        <v>2764</v>
      </c>
      <c r="B659" s="192" t="s">
        <v>2765</v>
      </c>
      <c r="C659" s="191" t="s">
        <v>2766</v>
      </c>
      <c r="D659" s="193"/>
      <c r="E659" s="193"/>
      <c r="F659" s="194" t="s">
        <v>2767</v>
      </c>
      <c r="G659" s="193"/>
      <c r="H659" s="193"/>
      <c r="I659" s="193"/>
      <c r="J659" s="193"/>
      <c r="K659" s="193"/>
      <c r="L659" s="193"/>
      <c r="M659" s="193"/>
      <c r="N659" s="193"/>
      <c r="O659" s="193"/>
      <c r="P659" s="193"/>
      <c r="Q659" s="193"/>
      <c r="R659" s="193"/>
      <c r="S659" s="193"/>
      <c r="T659" s="193"/>
      <c r="U659" s="193"/>
      <c r="V659" s="193"/>
      <c r="W659" s="193"/>
      <c r="X659" s="193"/>
      <c r="Y659" s="193"/>
      <c r="Z659" s="193"/>
      <c r="AA659" s="193"/>
      <c r="AB659" s="193"/>
      <c r="AC659" s="193"/>
      <c r="AD659" s="193"/>
      <c r="AE659" s="193"/>
    </row>
    <row r="660" ht="14.25" customHeight="1">
      <c r="A660" s="191" t="s">
        <v>2768</v>
      </c>
      <c r="B660" s="192" t="s">
        <v>2769</v>
      </c>
      <c r="C660" s="191" t="s">
        <v>2770</v>
      </c>
      <c r="D660" s="193"/>
      <c r="E660" s="193"/>
      <c r="F660" s="194" t="s">
        <v>2771</v>
      </c>
      <c r="G660" s="193"/>
      <c r="H660" s="193"/>
      <c r="I660" s="193"/>
      <c r="J660" s="193"/>
      <c r="K660" s="193"/>
      <c r="L660" s="193"/>
      <c r="M660" s="193"/>
      <c r="N660" s="193"/>
      <c r="O660" s="193"/>
      <c r="P660" s="193"/>
      <c r="Q660" s="193"/>
      <c r="R660" s="193"/>
      <c r="S660" s="193"/>
      <c r="T660" s="193"/>
      <c r="U660" s="193"/>
      <c r="V660" s="193"/>
      <c r="W660" s="193"/>
      <c r="X660" s="193"/>
      <c r="Y660" s="193"/>
      <c r="Z660" s="193"/>
      <c r="AA660" s="193"/>
      <c r="AB660" s="193"/>
      <c r="AC660" s="193"/>
      <c r="AD660" s="193"/>
      <c r="AE660" s="193"/>
    </row>
    <row r="661" ht="14.25" customHeight="1">
      <c r="A661" s="191" t="s">
        <v>2772</v>
      </c>
      <c r="B661" s="192" t="s">
        <v>2773</v>
      </c>
      <c r="C661" s="191" t="s">
        <v>2774</v>
      </c>
      <c r="D661" s="193"/>
      <c r="E661" s="193"/>
      <c r="F661" s="194" t="s">
        <v>2775</v>
      </c>
      <c r="G661" s="193"/>
      <c r="H661" s="193"/>
      <c r="I661" s="193"/>
      <c r="J661" s="193"/>
      <c r="K661" s="193"/>
      <c r="L661" s="193"/>
      <c r="M661" s="193"/>
      <c r="N661" s="193"/>
      <c r="O661" s="193"/>
      <c r="P661" s="193"/>
      <c r="Q661" s="193"/>
      <c r="R661" s="193"/>
      <c r="S661" s="193"/>
      <c r="T661" s="193"/>
      <c r="U661" s="193"/>
      <c r="V661" s="193"/>
      <c r="W661" s="193"/>
      <c r="X661" s="193"/>
      <c r="Y661" s="193"/>
      <c r="Z661" s="193"/>
      <c r="AA661" s="193"/>
      <c r="AB661" s="193"/>
      <c r="AC661" s="193"/>
      <c r="AD661" s="193"/>
      <c r="AE661" s="193"/>
    </row>
    <row r="662" ht="14.25" customHeight="1">
      <c r="A662" s="191" t="s">
        <v>2776</v>
      </c>
      <c r="B662" s="192" t="s">
        <v>2777</v>
      </c>
      <c r="C662" s="191" t="s">
        <v>2778</v>
      </c>
      <c r="D662" s="193"/>
      <c r="E662" s="193"/>
      <c r="F662" s="194" t="s">
        <v>2779</v>
      </c>
      <c r="G662" s="193"/>
      <c r="H662" s="193"/>
      <c r="I662" s="193"/>
      <c r="J662" s="193"/>
      <c r="K662" s="193"/>
      <c r="L662" s="193"/>
      <c r="M662" s="193"/>
      <c r="N662" s="193"/>
      <c r="O662" s="193"/>
      <c r="P662" s="193"/>
      <c r="Q662" s="193"/>
      <c r="R662" s="193"/>
      <c r="S662" s="193"/>
      <c r="T662" s="193"/>
      <c r="U662" s="193"/>
      <c r="V662" s="193"/>
      <c r="W662" s="193"/>
      <c r="X662" s="193"/>
      <c r="Y662" s="193"/>
      <c r="Z662" s="193"/>
      <c r="AA662" s="193"/>
      <c r="AB662" s="193"/>
      <c r="AC662" s="193"/>
      <c r="AD662" s="193"/>
      <c r="AE662" s="193"/>
    </row>
    <row r="663" ht="14.25" customHeight="1">
      <c r="A663" s="191" t="s">
        <v>2780</v>
      </c>
      <c r="B663" s="192" t="s">
        <v>2781</v>
      </c>
      <c r="C663" s="191" t="s">
        <v>2782</v>
      </c>
      <c r="D663" s="193"/>
      <c r="E663" s="193"/>
      <c r="F663" s="194" t="s">
        <v>2783</v>
      </c>
      <c r="G663" s="193"/>
      <c r="H663" s="193"/>
      <c r="I663" s="193"/>
      <c r="J663" s="193"/>
      <c r="K663" s="193"/>
      <c r="L663" s="193"/>
      <c r="M663" s="193"/>
      <c r="N663" s="193"/>
      <c r="O663" s="193"/>
      <c r="P663" s="193"/>
      <c r="Q663" s="193"/>
      <c r="R663" s="193"/>
      <c r="S663" s="193"/>
      <c r="T663" s="193"/>
      <c r="U663" s="193"/>
      <c r="V663" s="193"/>
      <c r="W663" s="193"/>
      <c r="X663" s="193"/>
      <c r="Y663" s="193"/>
      <c r="Z663" s="193"/>
      <c r="AA663" s="193"/>
      <c r="AB663" s="193"/>
      <c r="AC663" s="193"/>
      <c r="AD663" s="193"/>
      <c r="AE663" s="193"/>
    </row>
    <row r="664" ht="14.25" customHeight="1">
      <c r="A664" s="191" t="s">
        <v>2784</v>
      </c>
      <c r="B664" s="192" t="s">
        <v>2785</v>
      </c>
      <c r="C664" s="191" t="s">
        <v>2786</v>
      </c>
      <c r="D664" s="193"/>
      <c r="E664" s="193"/>
      <c r="F664" s="194" t="s">
        <v>2787</v>
      </c>
      <c r="G664" s="193"/>
      <c r="H664" s="193"/>
      <c r="I664" s="193"/>
      <c r="J664" s="193"/>
      <c r="K664" s="193"/>
      <c r="L664" s="193"/>
      <c r="M664" s="193"/>
      <c r="N664" s="193"/>
      <c r="O664" s="193"/>
      <c r="P664" s="193"/>
      <c r="Q664" s="193"/>
      <c r="R664" s="193"/>
      <c r="S664" s="193"/>
      <c r="T664" s="193"/>
      <c r="U664" s="193"/>
      <c r="V664" s="193"/>
      <c r="W664" s="193"/>
      <c r="X664" s="193"/>
      <c r="Y664" s="193"/>
      <c r="Z664" s="193"/>
      <c r="AA664" s="193"/>
      <c r="AB664" s="193"/>
      <c r="AC664" s="193"/>
      <c r="AD664" s="193"/>
      <c r="AE664" s="193"/>
    </row>
    <row r="665" ht="14.25" customHeight="1">
      <c r="A665" s="191" t="s">
        <v>2788</v>
      </c>
      <c r="B665" s="192" t="s">
        <v>2789</v>
      </c>
      <c r="C665" s="191" t="s">
        <v>2790</v>
      </c>
      <c r="D665" s="193"/>
      <c r="E665" s="193"/>
      <c r="F665" s="194" t="s">
        <v>2791</v>
      </c>
      <c r="G665" s="193"/>
      <c r="H665" s="193"/>
      <c r="I665" s="193"/>
      <c r="J665" s="193"/>
      <c r="K665" s="193"/>
      <c r="L665" s="193"/>
      <c r="M665" s="193"/>
      <c r="N665" s="193"/>
      <c r="O665" s="193"/>
      <c r="P665" s="193"/>
      <c r="Q665" s="193"/>
      <c r="R665" s="193"/>
      <c r="S665" s="193"/>
      <c r="T665" s="193"/>
      <c r="U665" s="193"/>
      <c r="V665" s="193"/>
      <c r="W665" s="193"/>
      <c r="X665" s="193"/>
      <c r="Y665" s="193"/>
      <c r="Z665" s="193"/>
      <c r="AA665" s="193"/>
      <c r="AB665" s="193"/>
      <c r="AC665" s="193"/>
      <c r="AD665" s="193"/>
      <c r="AE665" s="193"/>
    </row>
    <row r="666" ht="14.25" customHeight="1">
      <c r="A666" s="191" t="s">
        <v>2792</v>
      </c>
      <c r="B666" s="192" t="s">
        <v>2793</v>
      </c>
      <c r="C666" s="191" t="s">
        <v>2794</v>
      </c>
      <c r="D666" s="193"/>
      <c r="E666" s="193"/>
      <c r="F666" s="194" t="s">
        <v>2795</v>
      </c>
      <c r="G666" s="193"/>
      <c r="H666" s="193"/>
      <c r="I666" s="193"/>
      <c r="J666" s="193"/>
      <c r="K666" s="193"/>
      <c r="L666" s="193"/>
      <c r="M666" s="193"/>
      <c r="N666" s="193"/>
      <c r="O666" s="193"/>
      <c r="P666" s="193"/>
      <c r="Q666" s="193"/>
      <c r="R666" s="193"/>
      <c r="S666" s="193"/>
      <c r="T666" s="193"/>
      <c r="U666" s="193"/>
      <c r="V666" s="193"/>
      <c r="W666" s="193"/>
      <c r="X666" s="193"/>
      <c r="Y666" s="193"/>
      <c r="Z666" s="193"/>
      <c r="AA666" s="193"/>
      <c r="AB666" s="193"/>
      <c r="AC666" s="193"/>
      <c r="AD666" s="193"/>
      <c r="AE666" s="193"/>
    </row>
    <row r="667" ht="14.25" customHeight="1">
      <c r="A667" s="191" t="s">
        <v>2796</v>
      </c>
      <c r="B667" s="192" t="s">
        <v>2797</v>
      </c>
      <c r="C667" s="191" t="s">
        <v>2798</v>
      </c>
      <c r="D667" s="193"/>
      <c r="E667" s="193"/>
      <c r="F667" s="194" t="s">
        <v>2799</v>
      </c>
      <c r="G667" s="193"/>
      <c r="H667" s="193"/>
      <c r="I667" s="193"/>
      <c r="J667" s="193"/>
      <c r="K667" s="193"/>
      <c r="L667" s="193"/>
      <c r="M667" s="193"/>
      <c r="N667" s="193"/>
      <c r="O667" s="193"/>
      <c r="P667" s="193"/>
      <c r="Q667" s="193"/>
      <c r="R667" s="193"/>
      <c r="S667" s="193"/>
      <c r="T667" s="193"/>
      <c r="U667" s="193"/>
      <c r="V667" s="193"/>
      <c r="W667" s="193"/>
      <c r="X667" s="193"/>
      <c r="Y667" s="193"/>
      <c r="Z667" s="193"/>
      <c r="AA667" s="193"/>
      <c r="AB667" s="193"/>
      <c r="AC667" s="193"/>
      <c r="AD667" s="193"/>
      <c r="AE667" s="193"/>
    </row>
    <row r="668" ht="14.25" customHeight="1">
      <c r="A668" s="191" t="s">
        <v>2800</v>
      </c>
      <c r="B668" s="192" t="s">
        <v>2801</v>
      </c>
      <c r="C668" s="191" t="s">
        <v>2802</v>
      </c>
      <c r="D668" s="193"/>
      <c r="E668" s="193"/>
      <c r="F668" s="194" t="s">
        <v>2803</v>
      </c>
      <c r="G668" s="193"/>
      <c r="H668" s="193"/>
      <c r="I668" s="193"/>
      <c r="J668" s="193"/>
      <c r="K668" s="193"/>
      <c r="L668" s="193"/>
      <c r="M668" s="193"/>
      <c r="N668" s="193"/>
      <c r="O668" s="193"/>
      <c r="P668" s="193"/>
      <c r="Q668" s="193"/>
      <c r="R668" s="193"/>
      <c r="S668" s="193"/>
      <c r="T668" s="193"/>
      <c r="U668" s="193"/>
      <c r="V668" s="193"/>
      <c r="W668" s="193"/>
      <c r="X668" s="193"/>
      <c r="Y668" s="193"/>
      <c r="Z668" s="193"/>
      <c r="AA668" s="193"/>
      <c r="AB668" s="193"/>
      <c r="AC668" s="193"/>
      <c r="AD668" s="193"/>
      <c r="AE668" s="193"/>
    </row>
    <row r="669" ht="14.25" customHeight="1">
      <c r="A669" s="191" t="s">
        <v>2804</v>
      </c>
      <c r="B669" s="192" t="s">
        <v>2805</v>
      </c>
      <c r="C669" s="191" t="s">
        <v>2806</v>
      </c>
      <c r="D669" s="193"/>
      <c r="E669" s="193"/>
      <c r="F669" s="194" t="s">
        <v>2807</v>
      </c>
      <c r="G669" s="193"/>
      <c r="H669" s="193"/>
      <c r="I669" s="193"/>
      <c r="J669" s="193"/>
      <c r="K669" s="193"/>
      <c r="L669" s="193"/>
      <c r="M669" s="193"/>
      <c r="N669" s="193"/>
      <c r="O669" s="193"/>
      <c r="P669" s="193"/>
      <c r="Q669" s="193"/>
      <c r="R669" s="193"/>
      <c r="S669" s="193"/>
      <c r="T669" s="193"/>
      <c r="U669" s="193"/>
      <c r="V669" s="193"/>
      <c r="W669" s="193"/>
      <c r="X669" s="193"/>
      <c r="Y669" s="193"/>
      <c r="Z669" s="193"/>
      <c r="AA669" s="193"/>
      <c r="AB669" s="193"/>
      <c r="AC669" s="193"/>
      <c r="AD669" s="193"/>
      <c r="AE669" s="193"/>
    </row>
    <row r="670" ht="14.25" customHeight="1">
      <c r="A670" s="191" t="s">
        <v>2808</v>
      </c>
      <c r="B670" s="192" t="s">
        <v>2809</v>
      </c>
      <c r="C670" s="191" t="s">
        <v>2810</v>
      </c>
      <c r="D670" s="193"/>
      <c r="E670" s="193"/>
      <c r="F670" s="194" t="s">
        <v>2811</v>
      </c>
      <c r="G670" s="193"/>
      <c r="H670" s="193"/>
      <c r="I670" s="193"/>
      <c r="J670" s="193"/>
      <c r="K670" s="193"/>
      <c r="L670" s="193"/>
      <c r="M670" s="193"/>
      <c r="N670" s="193"/>
      <c r="O670" s="193"/>
      <c r="P670" s="193"/>
      <c r="Q670" s="193"/>
      <c r="R670" s="193"/>
      <c r="S670" s="193"/>
      <c r="T670" s="193"/>
      <c r="U670" s="193"/>
      <c r="V670" s="193"/>
      <c r="W670" s="193"/>
      <c r="X670" s="193"/>
      <c r="Y670" s="193"/>
      <c r="Z670" s="193"/>
      <c r="AA670" s="193"/>
      <c r="AB670" s="193"/>
      <c r="AC670" s="193"/>
      <c r="AD670" s="193"/>
      <c r="AE670" s="193"/>
    </row>
    <row r="671" ht="14.25" customHeight="1">
      <c r="A671" s="191" t="s">
        <v>2812</v>
      </c>
      <c r="B671" s="192" t="s">
        <v>2813</v>
      </c>
      <c r="C671" s="191" t="s">
        <v>2814</v>
      </c>
      <c r="D671" s="193"/>
      <c r="E671" s="193"/>
      <c r="F671" s="194" t="s">
        <v>2815</v>
      </c>
      <c r="G671" s="193"/>
      <c r="H671" s="193"/>
      <c r="I671" s="193"/>
      <c r="J671" s="193"/>
      <c r="K671" s="193"/>
      <c r="L671" s="193"/>
      <c r="M671" s="193"/>
      <c r="N671" s="193"/>
      <c r="O671" s="193"/>
      <c r="P671" s="193"/>
      <c r="Q671" s="193"/>
      <c r="R671" s="193"/>
      <c r="S671" s="193"/>
      <c r="T671" s="193"/>
      <c r="U671" s="193"/>
      <c r="V671" s="193"/>
      <c r="W671" s="193"/>
      <c r="X671" s="193"/>
      <c r="Y671" s="193"/>
      <c r="Z671" s="193"/>
      <c r="AA671" s="193"/>
      <c r="AB671" s="193"/>
      <c r="AC671" s="193"/>
      <c r="AD671" s="193"/>
      <c r="AE671" s="193"/>
    </row>
    <row r="672" ht="14.25" customHeight="1">
      <c r="A672" s="191" t="s">
        <v>2816</v>
      </c>
      <c r="B672" s="192" t="s">
        <v>2817</v>
      </c>
      <c r="C672" s="191" t="s">
        <v>2818</v>
      </c>
      <c r="D672" s="193"/>
      <c r="E672" s="193"/>
      <c r="F672" s="194" t="s">
        <v>2819</v>
      </c>
      <c r="G672" s="193"/>
      <c r="H672" s="193"/>
      <c r="I672" s="193"/>
      <c r="J672" s="193"/>
      <c r="K672" s="193"/>
      <c r="L672" s="193"/>
      <c r="M672" s="193"/>
      <c r="N672" s="193"/>
      <c r="O672" s="193"/>
      <c r="P672" s="193"/>
      <c r="Q672" s="193"/>
      <c r="R672" s="193"/>
      <c r="S672" s="193"/>
      <c r="T672" s="193"/>
      <c r="U672" s="193"/>
      <c r="V672" s="193"/>
      <c r="W672" s="193"/>
      <c r="X672" s="193"/>
      <c r="Y672" s="193"/>
      <c r="Z672" s="193"/>
      <c r="AA672" s="193"/>
      <c r="AB672" s="193"/>
      <c r="AC672" s="193"/>
      <c r="AD672" s="193"/>
      <c r="AE672" s="193"/>
    </row>
    <row r="673" ht="14.25" customHeight="1">
      <c r="A673" s="191" t="s">
        <v>2820</v>
      </c>
      <c r="B673" s="192" t="s">
        <v>2821</v>
      </c>
      <c r="C673" s="191" t="s">
        <v>2822</v>
      </c>
      <c r="D673" s="193"/>
      <c r="E673" s="193"/>
      <c r="F673" s="194" t="s">
        <v>2823</v>
      </c>
      <c r="G673" s="193"/>
      <c r="H673" s="193"/>
      <c r="I673" s="193"/>
      <c r="J673" s="193"/>
      <c r="K673" s="193"/>
      <c r="L673" s="193"/>
      <c r="M673" s="193"/>
      <c r="N673" s="193"/>
      <c r="O673" s="193"/>
      <c r="P673" s="193"/>
      <c r="Q673" s="193"/>
      <c r="R673" s="193"/>
      <c r="S673" s="193"/>
      <c r="T673" s="193"/>
      <c r="U673" s="193"/>
      <c r="V673" s="193"/>
      <c r="W673" s="193"/>
      <c r="X673" s="193"/>
      <c r="Y673" s="193"/>
      <c r="Z673" s="193"/>
      <c r="AA673" s="193"/>
      <c r="AB673" s="193"/>
      <c r="AC673" s="193"/>
      <c r="AD673" s="193"/>
      <c r="AE673" s="193"/>
    </row>
    <row r="674" ht="14.25" customHeight="1">
      <c r="A674" s="191" t="s">
        <v>2824</v>
      </c>
      <c r="B674" s="192" t="s">
        <v>2825</v>
      </c>
      <c r="C674" s="191" t="s">
        <v>2826</v>
      </c>
      <c r="D674" s="193"/>
      <c r="E674" s="193"/>
      <c r="F674" s="194" t="s">
        <v>2827</v>
      </c>
      <c r="G674" s="193"/>
      <c r="H674" s="193"/>
      <c r="I674" s="193"/>
      <c r="J674" s="193"/>
      <c r="K674" s="193"/>
      <c r="L674" s="193"/>
      <c r="M674" s="193"/>
      <c r="N674" s="193"/>
      <c r="O674" s="193"/>
      <c r="P674" s="193"/>
      <c r="Q674" s="193"/>
      <c r="R674" s="193"/>
      <c r="S674" s="193"/>
      <c r="T674" s="193"/>
      <c r="U674" s="193"/>
      <c r="V674" s="193"/>
      <c r="W674" s="193"/>
      <c r="X674" s="193"/>
      <c r="Y674" s="193"/>
      <c r="Z674" s="193"/>
      <c r="AA674" s="193"/>
      <c r="AB674" s="193"/>
      <c r="AC674" s="193"/>
      <c r="AD674" s="193"/>
      <c r="AE674" s="193"/>
    </row>
    <row r="675" ht="14.25" customHeight="1">
      <c r="A675" s="191" t="s">
        <v>2828</v>
      </c>
      <c r="B675" s="192" t="s">
        <v>2829</v>
      </c>
      <c r="C675" s="191" t="s">
        <v>2830</v>
      </c>
      <c r="D675" s="193"/>
      <c r="E675" s="193"/>
      <c r="F675" s="194" t="s">
        <v>2831</v>
      </c>
      <c r="G675" s="193"/>
      <c r="H675" s="193"/>
      <c r="I675" s="193"/>
      <c r="J675" s="193"/>
      <c r="K675" s="193"/>
      <c r="L675" s="193"/>
      <c r="M675" s="193"/>
      <c r="N675" s="193"/>
      <c r="O675" s="193"/>
      <c r="P675" s="193"/>
      <c r="Q675" s="193"/>
      <c r="R675" s="193"/>
      <c r="S675" s="193"/>
      <c r="T675" s="193"/>
      <c r="U675" s="193"/>
      <c r="V675" s="193"/>
      <c r="W675" s="193"/>
      <c r="X675" s="193"/>
      <c r="Y675" s="193"/>
      <c r="Z675" s="193"/>
      <c r="AA675" s="193"/>
      <c r="AB675" s="193"/>
      <c r="AC675" s="193"/>
      <c r="AD675" s="193"/>
      <c r="AE675" s="193"/>
    </row>
    <row r="676" ht="14.25" customHeight="1">
      <c r="A676" s="191" t="s">
        <v>2832</v>
      </c>
      <c r="B676" s="192" t="s">
        <v>2833</v>
      </c>
      <c r="C676" s="191" t="s">
        <v>2834</v>
      </c>
      <c r="D676" s="193"/>
      <c r="E676" s="193"/>
      <c r="F676" s="194" t="s">
        <v>2835</v>
      </c>
      <c r="G676" s="193"/>
      <c r="H676" s="193"/>
      <c r="I676" s="193"/>
      <c r="J676" s="193"/>
      <c r="K676" s="193"/>
      <c r="L676" s="193"/>
      <c r="M676" s="193"/>
      <c r="N676" s="193"/>
      <c r="O676" s="193"/>
      <c r="P676" s="193"/>
      <c r="Q676" s="193"/>
      <c r="R676" s="193"/>
      <c r="S676" s="193"/>
      <c r="T676" s="193"/>
      <c r="U676" s="193"/>
      <c r="V676" s="193"/>
      <c r="W676" s="193"/>
      <c r="X676" s="193"/>
      <c r="Y676" s="193"/>
      <c r="Z676" s="193"/>
      <c r="AA676" s="193"/>
      <c r="AB676" s="193"/>
      <c r="AC676" s="193"/>
      <c r="AD676" s="193"/>
      <c r="AE676" s="193"/>
    </row>
    <row r="677" ht="14.25" customHeight="1">
      <c r="A677" s="191" t="s">
        <v>2836</v>
      </c>
      <c r="B677" s="192" t="s">
        <v>2837</v>
      </c>
      <c r="C677" s="191" t="s">
        <v>2838</v>
      </c>
      <c r="D677" s="193"/>
      <c r="E677" s="193"/>
      <c r="F677" s="194" t="s">
        <v>2839</v>
      </c>
      <c r="G677" s="193"/>
      <c r="H677" s="193"/>
      <c r="I677" s="193"/>
      <c r="J677" s="193"/>
      <c r="K677" s="193"/>
      <c r="L677" s="193"/>
      <c r="M677" s="193"/>
      <c r="N677" s="193"/>
      <c r="O677" s="193"/>
      <c r="P677" s="193"/>
      <c r="Q677" s="193"/>
      <c r="R677" s="193"/>
      <c r="S677" s="193"/>
      <c r="T677" s="193"/>
      <c r="U677" s="193"/>
      <c r="V677" s="193"/>
      <c r="W677" s="193"/>
      <c r="X677" s="193"/>
      <c r="Y677" s="193"/>
      <c r="Z677" s="193"/>
      <c r="AA677" s="193"/>
      <c r="AB677" s="193"/>
      <c r="AC677" s="193"/>
      <c r="AD677" s="193"/>
      <c r="AE677" s="193"/>
    </row>
    <row r="678" ht="14.25" customHeight="1">
      <c r="A678" s="191" t="s">
        <v>2840</v>
      </c>
      <c r="B678" s="192" t="s">
        <v>2841</v>
      </c>
      <c r="C678" s="191" t="s">
        <v>2842</v>
      </c>
      <c r="D678" s="193"/>
      <c r="E678" s="193"/>
      <c r="F678" s="194" t="s">
        <v>2843</v>
      </c>
      <c r="G678" s="193"/>
      <c r="H678" s="193"/>
      <c r="I678" s="193"/>
      <c r="J678" s="193"/>
      <c r="K678" s="193"/>
      <c r="L678" s="193"/>
      <c r="M678" s="193"/>
      <c r="N678" s="193"/>
      <c r="O678" s="193"/>
      <c r="P678" s="193"/>
      <c r="Q678" s="193"/>
      <c r="R678" s="193"/>
      <c r="S678" s="193"/>
      <c r="T678" s="193"/>
      <c r="U678" s="193"/>
      <c r="V678" s="193"/>
      <c r="W678" s="193"/>
      <c r="X678" s="193"/>
      <c r="Y678" s="193"/>
      <c r="Z678" s="193"/>
      <c r="AA678" s="193"/>
      <c r="AB678" s="193"/>
      <c r="AC678" s="193"/>
      <c r="AD678" s="193"/>
      <c r="AE678" s="193"/>
    </row>
    <row r="679" ht="14.25" customHeight="1">
      <c r="A679" s="191" t="s">
        <v>2844</v>
      </c>
      <c r="B679" s="192" t="s">
        <v>2845</v>
      </c>
      <c r="C679" s="191" t="s">
        <v>2846</v>
      </c>
      <c r="D679" s="193"/>
      <c r="E679" s="193"/>
      <c r="F679" s="194" t="s">
        <v>2847</v>
      </c>
      <c r="G679" s="193"/>
      <c r="H679" s="193"/>
      <c r="I679" s="193"/>
      <c r="J679" s="193"/>
      <c r="K679" s="193"/>
      <c r="L679" s="193"/>
      <c r="M679" s="193"/>
      <c r="N679" s="193"/>
      <c r="O679" s="193"/>
      <c r="P679" s="193"/>
      <c r="Q679" s="193"/>
      <c r="R679" s="193"/>
      <c r="S679" s="193"/>
      <c r="T679" s="193"/>
      <c r="U679" s="193"/>
      <c r="V679" s="193"/>
      <c r="W679" s="193"/>
      <c r="X679" s="193"/>
      <c r="Y679" s="193"/>
      <c r="Z679" s="193"/>
      <c r="AA679" s="193"/>
      <c r="AB679" s="193"/>
      <c r="AC679" s="193"/>
      <c r="AD679" s="193"/>
      <c r="AE679" s="193"/>
    </row>
    <row r="680" ht="14.25" customHeight="1">
      <c r="A680" s="191" t="s">
        <v>2848</v>
      </c>
      <c r="B680" s="192" t="s">
        <v>2849</v>
      </c>
      <c r="C680" s="191" t="s">
        <v>2850</v>
      </c>
      <c r="D680" s="193"/>
      <c r="E680" s="193"/>
      <c r="F680" s="194" t="s">
        <v>2851</v>
      </c>
      <c r="G680" s="193"/>
      <c r="H680" s="193"/>
      <c r="I680" s="193"/>
      <c r="J680" s="193"/>
      <c r="K680" s="193"/>
      <c r="L680" s="193"/>
      <c r="M680" s="193"/>
      <c r="N680" s="193"/>
      <c r="O680" s="193"/>
      <c r="P680" s="193"/>
      <c r="Q680" s="193"/>
      <c r="R680" s="193"/>
      <c r="S680" s="193"/>
      <c r="T680" s="193"/>
      <c r="U680" s="193"/>
      <c r="V680" s="193"/>
      <c r="W680" s="193"/>
      <c r="X680" s="193"/>
      <c r="Y680" s="193"/>
      <c r="Z680" s="193"/>
      <c r="AA680" s="193"/>
      <c r="AB680" s="193"/>
      <c r="AC680" s="193"/>
      <c r="AD680" s="193"/>
      <c r="AE680" s="193"/>
    </row>
    <row r="681" ht="14.25" customHeight="1">
      <c r="A681" s="191" t="s">
        <v>2852</v>
      </c>
      <c r="B681" s="192" t="s">
        <v>2853</v>
      </c>
      <c r="C681" s="191" t="s">
        <v>2854</v>
      </c>
      <c r="D681" s="193"/>
      <c r="E681" s="193"/>
      <c r="F681" s="194" t="s">
        <v>2855</v>
      </c>
      <c r="G681" s="193"/>
      <c r="H681" s="193"/>
      <c r="I681" s="193"/>
      <c r="J681" s="193"/>
      <c r="K681" s="193"/>
      <c r="L681" s="193"/>
      <c r="M681" s="193"/>
      <c r="N681" s="193"/>
      <c r="O681" s="193"/>
      <c r="P681" s="193"/>
      <c r="Q681" s="193"/>
      <c r="R681" s="193"/>
      <c r="S681" s="193"/>
      <c r="T681" s="193"/>
      <c r="U681" s="193"/>
      <c r="V681" s="193"/>
      <c r="W681" s="193"/>
      <c r="X681" s="193"/>
      <c r="Y681" s="193"/>
      <c r="Z681" s="193"/>
      <c r="AA681" s="193"/>
      <c r="AB681" s="193"/>
      <c r="AC681" s="193"/>
      <c r="AD681" s="193"/>
      <c r="AE681" s="193"/>
    </row>
    <row r="682" ht="14.25" customHeight="1">
      <c r="A682" s="191" t="s">
        <v>2856</v>
      </c>
      <c r="B682" s="192" t="s">
        <v>2857</v>
      </c>
      <c r="C682" s="191" t="s">
        <v>2858</v>
      </c>
      <c r="D682" s="193"/>
      <c r="E682" s="193"/>
      <c r="F682" s="194" t="s">
        <v>2859</v>
      </c>
      <c r="G682" s="193"/>
      <c r="H682" s="193"/>
      <c r="I682" s="193"/>
      <c r="J682" s="193"/>
      <c r="K682" s="193"/>
      <c r="L682" s="193"/>
      <c r="M682" s="193"/>
      <c r="N682" s="193"/>
      <c r="O682" s="193"/>
      <c r="P682" s="193"/>
      <c r="Q682" s="193"/>
      <c r="R682" s="193"/>
      <c r="S682" s="193"/>
      <c r="T682" s="193"/>
      <c r="U682" s="193"/>
      <c r="V682" s="193"/>
      <c r="W682" s="193"/>
      <c r="X682" s="193"/>
      <c r="Y682" s="193"/>
      <c r="Z682" s="193"/>
      <c r="AA682" s="193"/>
      <c r="AB682" s="193"/>
      <c r="AC682" s="193"/>
      <c r="AD682" s="193"/>
      <c r="AE682" s="193"/>
    </row>
    <row r="683" ht="14.25" customHeight="1">
      <c r="A683" s="191" t="s">
        <v>2860</v>
      </c>
      <c r="B683" s="192" t="s">
        <v>2861</v>
      </c>
      <c r="C683" s="191" t="s">
        <v>2862</v>
      </c>
      <c r="D683" s="193"/>
      <c r="E683" s="193"/>
      <c r="F683" s="194" t="s">
        <v>2863</v>
      </c>
      <c r="G683" s="193"/>
      <c r="H683" s="193"/>
      <c r="I683" s="193"/>
      <c r="J683" s="193"/>
      <c r="K683" s="193"/>
      <c r="L683" s="193"/>
      <c r="M683" s="193"/>
      <c r="N683" s="193"/>
      <c r="O683" s="193"/>
      <c r="P683" s="193"/>
      <c r="Q683" s="193"/>
      <c r="R683" s="193"/>
      <c r="S683" s="193"/>
      <c r="T683" s="193"/>
      <c r="U683" s="193"/>
      <c r="V683" s="193"/>
      <c r="W683" s="193"/>
      <c r="X683" s="193"/>
      <c r="Y683" s="193"/>
      <c r="Z683" s="193"/>
      <c r="AA683" s="193"/>
      <c r="AB683" s="193"/>
      <c r="AC683" s="193"/>
      <c r="AD683" s="193"/>
      <c r="AE683" s="193"/>
    </row>
    <row r="684" ht="14.25" customHeight="1">
      <c r="A684" s="191" t="s">
        <v>2864</v>
      </c>
      <c r="B684" s="192" t="s">
        <v>2865</v>
      </c>
      <c r="C684" s="191" t="s">
        <v>2866</v>
      </c>
      <c r="D684" s="193"/>
      <c r="E684" s="193"/>
      <c r="F684" s="194" t="s">
        <v>2867</v>
      </c>
      <c r="G684" s="193"/>
      <c r="H684" s="193"/>
      <c r="I684" s="193"/>
      <c r="J684" s="193"/>
      <c r="K684" s="193"/>
      <c r="L684" s="193"/>
      <c r="M684" s="193"/>
      <c r="N684" s="193"/>
      <c r="O684" s="193"/>
      <c r="P684" s="193"/>
      <c r="Q684" s="193"/>
      <c r="R684" s="193"/>
      <c r="S684" s="193"/>
      <c r="T684" s="193"/>
      <c r="U684" s="193"/>
      <c r="V684" s="193"/>
      <c r="W684" s="193"/>
      <c r="X684" s="193"/>
      <c r="Y684" s="193"/>
      <c r="Z684" s="193"/>
      <c r="AA684" s="193"/>
      <c r="AB684" s="193"/>
      <c r="AC684" s="193"/>
      <c r="AD684" s="193"/>
      <c r="AE684" s="193"/>
    </row>
    <row r="685" ht="14.25" customHeight="1">
      <c r="A685" s="191" t="s">
        <v>2868</v>
      </c>
      <c r="B685" s="192" t="s">
        <v>2869</v>
      </c>
      <c r="C685" s="191" t="s">
        <v>2870</v>
      </c>
      <c r="D685" s="193"/>
      <c r="E685" s="193"/>
      <c r="F685" s="194" t="s">
        <v>2871</v>
      </c>
      <c r="G685" s="193"/>
      <c r="H685" s="193"/>
      <c r="I685" s="193"/>
      <c r="J685" s="193"/>
      <c r="K685" s="193"/>
      <c r="L685" s="193"/>
      <c r="M685" s="193"/>
      <c r="N685" s="193"/>
      <c r="O685" s="193"/>
      <c r="P685" s="193"/>
      <c r="Q685" s="193"/>
      <c r="R685" s="193"/>
      <c r="S685" s="193"/>
      <c r="T685" s="193"/>
      <c r="U685" s="193"/>
      <c r="V685" s="193"/>
      <c r="W685" s="193"/>
      <c r="X685" s="193"/>
      <c r="Y685" s="193"/>
      <c r="Z685" s="193"/>
      <c r="AA685" s="193"/>
      <c r="AB685" s="193"/>
      <c r="AC685" s="193"/>
      <c r="AD685" s="193"/>
      <c r="AE685" s="193"/>
    </row>
    <row r="686" ht="14.25" customHeight="1">
      <c r="A686" s="191" t="s">
        <v>2872</v>
      </c>
      <c r="B686" s="192" t="s">
        <v>2873</v>
      </c>
      <c r="C686" s="191" t="s">
        <v>2874</v>
      </c>
      <c r="D686" s="193"/>
      <c r="E686" s="193"/>
      <c r="F686" s="194" t="s">
        <v>2875</v>
      </c>
      <c r="G686" s="193"/>
      <c r="H686" s="193"/>
      <c r="I686" s="193"/>
      <c r="J686" s="193"/>
      <c r="K686" s="193"/>
      <c r="L686" s="193"/>
      <c r="M686" s="193"/>
      <c r="N686" s="193"/>
      <c r="O686" s="193"/>
      <c r="P686" s="193"/>
      <c r="Q686" s="193"/>
      <c r="R686" s="193"/>
      <c r="S686" s="193"/>
      <c r="T686" s="193"/>
      <c r="U686" s="193"/>
      <c r="V686" s="193"/>
      <c r="W686" s="193"/>
      <c r="X686" s="193"/>
      <c r="Y686" s="193"/>
      <c r="Z686" s="193"/>
      <c r="AA686" s="193"/>
      <c r="AB686" s="193"/>
      <c r="AC686" s="193"/>
      <c r="AD686" s="193"/>
      <c r="AE686" s="193"/>
    </row>
    <row r="687" ht="14.25" customHeight="1">
      <c r="A687" s="191" t="s">
        <v>2876</v>
      </c>
      <c r="B687" s="192" t="s">
        <v>2877</v>
      </c>
      <c r="C687" s="191" t="s">
        <v>2878</v>
      </c>
      <c r="D687" s="193"/>
      <c r="E687" s="193"/>
      <c r="F687" s="194" t="s">
        <v>2879</v>
      </c>
      <c r="G687" s="193"/>
      <c r="H687" s="193"/>
      <c r="I687" s="193"/>
      <c r="J687" s="193"/>
      <c r="K687" s="193"/>
      <c r="L687" s="193"/>
      <c r="M687" s="193"/>
      <c r="N687" s="193"/>
      <c r="O687" s="193"/>
      <c r="P687" s="193"/>
      <c r="Q687" s="193"/>
      <c r="R687" s="193"/>
      <c r="S687" s="193"/>
      <c r="T687" s="193"/>
      <c r="U687" s="193"/>
      <c r="V687" s="193"/>
      <c r="W687" s="193"/>
      <c r="X687" s="193"/>
      <c r="Y687" s="193"/>
      <c r="Z687" s="193"/>
      <c r="AA687" s="193"/>
      <c r="AB687" s="193"/>
      <c r="AC687" s="193"/>
      <c r="AD687" s="193"/>
      <c r="AE687" s="193"/>
    </row>
    <row r="688" ht="14.25" customHeight="1">
      <c r="A688" s="191" t="s">
        <v>2880</v>
      </c>
      <c r="B688" s="192" t="s">
        <v>2881</v>
      </c>
      <c r="C688" s="191" t="s">
        <v>2882</v>
      </c>
      <c r="D688" s="193"/>
      <c r="E688" s="193"/>
      <c r="F688" s="194" t="s">
        <v>2883</v>
      </c>
      <c r="G688" s="193"/>
      <c r="H688" s="193"/>
      <c r="I688" s="193"/>
      <c r="J688" s="193"/>
      <c r="K688" s="193"/>
      <c r="L688" s="193"/>
      <c r="M688" s="193"/>
      <c r="N688" s="193"/>
      <c r="O688" s="193"/>
      <c r="P688" s="193"/>
      <c r="Q688" s="193"/>
      <c r="R688" s="193"/>
      <c r="S688" s="193"/>
      <c r="T688" s="193"/>
      <c r="U688" s="193"/>
      <c r="V688" s="193"/>
      <c r="W688" s="193"/>
      <c r="X688" s="193"/>
      <c r="Y688" s="193"/>
      <c r="Z688" s="193"/>
      <c r="AA688" s="193"/>
      <c r="AB688" s="193"/>
      <c r="AC688" s="193"/>
      <c r="AD688" s="193"/>
      <c r="AE688" s="193"/>
    </row>
    <row r="689" ht="14.25" customHeight="1">
      <c r="A689" s="191" t="s">
        <v>2884</v>
      </c>
      <c r="B689" s="192" t="s">
        <v>2885</v>
      </c>
      <c r="C689" s="191" t="s">
        <v>2886</v>
      </c>
      <c r="D689" s="193"/>
      <c r="E689" s="193"/>
      <c r="F689" s="194" t="s">
        <v>2887</v>
      </c>
      <c r="G689" s="193"/>
      <c r="H689" s="193"/>
      <c r="I689" s="193"/>
      <c r="J689" s="193"/>
      <c r="K689" s="193"/>
      <c r="L689" s="193"/>
      <c r="M689" s="193"/>
      <c r="N689" s="193"/>
      <c r="O689" s="193"/>
      <c r="P689" s="193"/>
      <c r="Q689" s="193"/>
      <c r="R689" s="193"/>
      <c r="S689" s="193"/>
      <c r="T689" s="193"/>
      <c r="U689" s="193"/>
      <c r="V689" s="193"/>
      <c r="W689" s="193"/>
      <c r="X689" s="193"/>
      <c r="Y689" s="193"/>
      <c r="Z689" s="193"/>
      <c r="AA689" s="193"/>
      <c r="AB689" s="193"/>
      <c r="AC689" s="193"/>
      <c r="AD689" s="193"/>
      <c r="AE689" s="193"/>
    </row>
    <row r="690" ht="14.25" customHeight="1">
      <c r="A690" s="191" t="s">
        <v>2888</v>
      </c>
      <c r="B690" s="192" t="s">
        <v>2889</v>
      </c>
      <c r="C690" s="191" t="s">
        <v>2890</v>
      </c>
      <c r="D690" s="193"/>
      <c r="E690" s="193"/>
      <c r="F690" s="194" t="s">
        <v>2891</v>
      </c>
      <c r="G690" s="193"/>
      <c r="H690" s="193"/>
      <c r="I690" s="193"/>
      <c r="J690" s="193"/>
      <c r="K690" s="193"/>
      <c r="L690" s="193"/>
      <c r="M690" s="193"/>
      <c r="N690" s="193"/>
      <c r="O690" s="193"/>
      <c r="P690" s="193"/>
      <c r="Q690" s="193"/>
      <c r="R690" s="193"/>
      <c r="S690" s="193"/>
      <c r="T690" s="193"/>
      <c r="U690" s="193"/>
      <c r="V690" s="193"/>
      <c r="W690" s="193"/>
      <c r="X690" s="193"/>
      <c r="Y690" s="193"/>
      <c r="Z690" s="193"/>
      <c r="AA690" s="193"/>
      <c r="AB690" s="193"/>
      <c r="AC690" s="193"/>
      <c r="AD690" s="193"/>
      <c r="AE690" s="193"/>
    </row>
    <row r="691" ht="14.25" customHeight="1">
      <c r="A691" s="191" t="s">
        <v>2892</v>
      </c>
      <c r="B691" s="192" t="s">
        <v>2893</v>
      </c>
      <c r="C691" s="191" t="s">
        <v>2894</v>
      </c>
      <c r="D691" s="193"/>
      <c r="E691" s="193"/>
      <c r="F691" s="194" t="s">
        <v>2895</v>
      </c>
      <c r="G691" s="193"/>
      <c r="H691" s="193"/>
      <c r="I691" s="193"/>
      <c r="J691" s="193"/>
      <c r="K691" s="193"/>
      <c r="L691" s="193"/>
      <c r="M691" s="193"/>
      <c r="N691" s="193"/>
      <c r="O691" s="193"/>
      <c r="P691" s="193"/>
      <c r="Q691" s="193"/>
      <c r="R691" s="193"/>
      <c r="S691" s="193"/>
      <c r="T691" s="193"/>
      <c r="U691" s="193"/>
      <c r="V691" s="193"/>
      <c r="W691" s="193"/>
      <c r="X691" s="193"/>
      <c r="Y691" s="193"/>
      <c r="Z691" s="193"/>
      <c r="AA691" s="193"/>
      <c r="AB691" s="193"/>
      <c r="AC691" s="193"/>
      <c r="AD691" s="193"/>
      <c r="AE691" s="193"/>
    </row>
    <row r="692" ht="14.25" customHeight="1">
      <c r="A692" s="191" t="s">
        <v>2896</v>
      </c>
      <c r="B692" s="192" t="s">
        <v>2897</v>
      </c>
      <c r="C692" s="191" t="s">
        <v>2898</v>
      </c>
      <c r="D692" s="193"/>
      <c r="E692" s="193"/>
      <c r="F692" s="194" t="s">
        <v>2899</v>
      </c>
      <c r="G692" s="193"/>
      <c r="H692" s="193"/>
      <c r="I692" s="193"/>
      <c r="J692" s="193"/>
      <c r="K692" s="193"/>
      <c r="L692" s="193"/>
      <c r="M692" s="193"/>
      <c r="N692" s="193"/>
      <c r="O692" s="193"/>
      <c r="P692" s="193"/>
      <c r="Q692" s="193"/>
      <c r="R692" s="193"/>
      <c r="S692" s="193"/>
      <c r="T692" s="193"/>
      <c r="U692" s="193"/>
      <c r="V692" s="193"/>
      <c r="W692" s="193"/>
      <c r="X692" s="193"/>
      <c r="Y692" s="193"/>
      <c r="Z692" s="193"/>
      <c r="AA692" s="193"/>
      <c r="AB692" s="193"/>
      <c r="AC692" s="193"/>
      <c r="AD692" s="193"/>
      <c r="AE692" s="193"/>
    </row>
    <row r="693" ht="14.25" customHeight="1">
      <c r="A693" s="191" t="s">
        <v>2900</v>
      </c>
      <c r="B693" s="192" t="s">
        <v>2901</v>
      </c>
      <c r="C693" s="191" t="s">
        <v>2902</v>
      </c>
      <c r="D693" s="193"/>
      <c r="E693" s="193"/>
      <c r="F693" s="194" t="s">
        <v>2903</v>
      </c>
      <c r="G693" s="193"/>
      <c r="H693" s="193"/>
      <c r="I693" s="193"/>
      <c r="J693" s="193"/>
      <c r="K693" s="193"/>
      <c r="L693" s="193"/>
      <c r="M693" s="193"/>
      <c r="N693" s="193"/>
      <c r="O693" s="193"/>
      <c r="P693" s="193"/>
      <c r="Q693" s="193"/>
      <c r="R693" s="193"/>
      <c r="S693" s="193"/>
      <c r="T693" s="193"/>
      <c r="U693" s="193"/>
      <c r="V693" s="193"/>
      <c r="W693" s="193"/>
      <c r="X693" s="193"/>
      <c r="Y693" s="193"/>
      <c r="Z693" s="193"/>
      <c r="AA693" s="193"/>
      <c r="AB693" s="193"/>
      <c r="AC693" s="193"/>
      <c r="AD693" s="193"/>
      <c r="AE693" s="193"/>
    </row>
    <row r="694" ht="14.25" customHeight="1">
      <c r="A694" s="191" t="s">
        <v>2904</v>
      </c>
      <c r="B694" s="192" t="s">
        <v>2905</v>
      </c>
      <c r="C694" s="191" t="s">
        <v>2906</v>
      </c>
      <c r="D694" s="193"/>
      <c r="E694" s="193"/>
      <c r="F694" s="194" t="s">
        <v>2907</v>
      </c>
      <c r="G694" s="193"/>
      <c r="H694" s="193"/>
      <c r="I694" s="193"/>
      <c r="J694" s="193"/>
      <c r="K694" s="193"/>
      <c r="L694" s="193"/>
      <c r="M694" s="193"/>
      <c r="N694" s="193"/>
      <c r="O694" s="193"/>
      <c r="P694" s="193"/>
      <c r="Q694" s="193"/>
      <c r="R694" s="193"/>
      <c r="S694" s="193"/>
      <c r="T694" s="193"/>
      <c r="U694" s="193"/>
      <c r="V694" s="193"/>
      <c r="W694" s="193"/>
      <c r="X694" s="193"/>
      <c r="Y694" s="193"/>
      <c r="Z694" s="193"/>
      <c r="AA694" s="193"/>
      <c r="AB694" s="193"/>
      <c r="AC694" s="193"/>
      <c r="AD694" s="193"/>
      <c r="AE694" s="193"/>
    </row>
    <row r="695" ht="14.25" customHeight="1">
      <c r="A695" s="191" t="s">
        <v>2908</v>
      </c>
      <c r="B695" s="192" t="s">
        <v>2909</v>
      </c>
      <c r="C695" s="191" t="s">
        <v>2910</v>
      </c>
      <c r="D695" s="193"/>
      <c r="E695" s="193"/>
      <c r="F695" s="194" t="s">
        <v>2911</v>
      </c>
      <c r="G695" s="193"/>
      <c r="H695" s="193"/>
      <c r="I695" s="193"/>
      <c r="J695" s="193"/>
      <c r="K695" s="193"/>
      <c r="L695" s="193"/>
      <c r="M695" s="193"/>
      <c r="N695" s="193"/>
      <c r="O695" s="193"/>
      <c r="P695" s="193"/>
      <c r="Q695" s="193"/>
      <c r="R695" s="193"/>
      <c r="S695" s="193"/>
      <c r="T695" s="193"/>
      <c r="U695" s="193"/>
      <c r="V695" s="193"/>
      <c r="W695" s="193"/>
      <c r="X695" s="193"/>
      <c r="Y695" s="193"/>
      <c r="Z695" s="193"/>
      <c r="AA695" s="193"/>
      <c r="AB695" s="193"/>
      <c r="AC695" s="193"/>
      <c r="AD695" s="193"/>
      <c r="AE695" s="193"/>
    </row>
    <row r="696" ht="14.25" customHeight="1">
      <c r="A696" s="191" t="s">
        <v>2912</v>
      </c>
      <c r="B696" s="192" t="s">
        <v>2913</v>
      </c>
      <c r="C696" s="191" t="s">
        <v>2914</v>
      </c>
      <c r="D696" s="193"/>
      <c r="E696" s="193"/>
      <c r="F696" s="194" t="s">
        <v>2915</v>
      </c>
      <c r="G696" s="193"/>
      <c r="H696" s="193"/>
      <c r="I696" s="193"/>
      <c r="J696" s="193"/>
      <c r="K696" s="193"/>
      <c r="L696" s="193"/>
      <c r="M696" s="193"/>
      <c r="N696" s="193"/>
      <c r="O696" s="193"/>
      <c r="P696" s="193"/>
      <c r="Q696" s="193"/>
      <c r="R696" s="193"/>
      <c r="S696" s="193"/>
      <c r="T696" s="193"/>
      <c r="U696" s="193"/>
      <c r="V696" s="193"/>
      <c r="W696" s="193"/>
      <c r="X696" s="193"/>
      <c r="Y696" s="193"/>
      <c r="Z696" s="193"/>
      <c r="AA696" s="193"/>
      <c r="AB696" s="193"/>
      <c r="AC696" s="193"/>
      <c r="AD696" s="193"/>
      <c r="AE696" s="193"/>
    </row>
    <row r="697" ht="14.25" customHeight="1">
      <c r="A697" s="191" t="s">
        <v>2916</v>
      </c>
      <c r="B697" s="192" t="s">
        <v>2917</v>
      </c>
      <c r="C697" s="191" t="s">
        <v>2918</v>
      </c>
      <c r="D697" s="193"/>
      <c r="E697" s="193"/>
      <c r="F697" s="194" t="s">
        <v>2919</v>
      </c>
      <c r="G697" s="193"/>
      <c r="H697" s="193"/>
      <c r="I697" s="193"/>
      <c r="J697" s="193"/>
      <c r="K697" s="193"/>
      <c r="L697" s="193"/>
      <c r="M697" s="193"/>
      <c r="N697" s="193"/>
      <c r="O697" s="193"/>
      <c r="P697" s="193"/>
      <c r="Q697" s="193"/>
      <c r="R697" s="193"/>
      <c r="S697" s="193"/>
      <c r="T697" s="193"/>
      <c r="U697" s="193"/>
      <c r="V697" s="193"/>
      <c r="W697" s="193"/>
      <c r="X697" s="193"/>
      <c r="Y697" s="193"/>
      <c r="Z697" s="193"/>
      <c r="AA697" s="193"/>
      <c r="AB697" s="193"/>
      <c r="AC697" s="193"/>
      <c r="AD697" s="193"/>
      <c r="AE697" s="193"/>
    </row>
    <row r="698" ht="14.25" customHeight="1">
      <c r="A698" s="191" t="s">
        <v>2920</v>
      </c>
      <c r="B698" s="192" t="s">
        <v>2921</v>
      </c>
      <c r="C698" s="191" t="s">
        <v>2922</v>
      </c>
      <c r="D698" s="193"/>
      <c r="E698" s="193"/>
      <c r="F698" s="194" t="s">
        <v>2923</v>
      </c>
      <c r="G698" s="193"/>
      <c r="H698" s="193"/>
      <c r="I698" s="193"/>
      <c r="J698" s="193"/>
      <c r="K698" s="193"/>
      <c r="L698" s="193"/>
      <c r="M698" s="193"/>
      <c r="N698" s="193"/>
      <c r="O698" s="193"/>
      <c r="P698" s="193"/>
      <c r="Q698" s="193"/>
      <c r="R698" s="193"/>
      <c r="S698" s="193"/>
      <c r="T698" s="193"/>
      <c r="U698" s="193"/>
      <c r="V698" s="193"/>
      <c r="W698" s="193"/>
      <c r="X698" s="193"/>
      <c r="Y698" s="193"/>
      <c r="Z698" s="193"/>
      <c r="AA698" s="193"/>
      <c r="AB698" s="193"/>
      <c r="AC698" s="193"/>
      <c r="AD698" s="193"/>
      <c r="AE698" s="193"/>
    </row>
    <row r="699" ht="14.25" customHeight="1">
      <c r="A699" s="191" t="s">
        <v>2924</v>
      </c>
      <c r="B699" s="192" t="s">
        <v>2925</v>
      </c>
      <c r="C699" s="191" t="s">
        <v>2926</v>
      </c>
      <c r="D699" s="193"/>
      <c r="E699" s="193"/>
      <c r="F699" s="194" t="s">
        <v>2927</v>
      </c>
      <c r="G699" s="193"/>
      <c r="H699" s="193"/>
      <c r="I699" s="193"/>
      <c r="J699" s="193"/>
      <c r="K699" s="193"/>
      <c r="L699" s="193"/>
      <c r="M699" s="193"/>
      <c r="N699" s="193"/>
      <c r="O699" s="193"/>
      <c r="P699" s="193"/>
      <c r="Q699" s="193"/>
      <c r="R699" s="193"/>
      <c r="S699" s="193"/>
      <c r="T699" s="193"/>
      <c r="U699" s="193"/>
      <c r="V699" s="193"/>
      <c r="W699" s="193"/>
      <c r="X699" s="193"/>
      <c r="Y699" s="193"/>
      <c r="Z699" s="193"/>
      <c r="AA699" s="193"/>
      <c r="AB699" s="193"/>
      <c r="AC699" s="193"/>
      <c r="AD699" s="193"/>
      <c r="AE699" s="193"/>
    </row>
    <row r="700" ht="14.25" customHeight="1">
      <c r="A700" s="191" t="s">
        <v>2928</v>
      </c>
      <c r="B700" s="192" t="s">
        <v>2929</v>
      </c>
      <c r="C700" s="191" t="s">
        <v>2930</v>
      </c>
      <c r="D700" s="193"/>
      <c r="E700" s="193"/>
      <c r="F700" s="194" t="s">
        <v>2931</v>
      </c>
      <c r="G700" s="193"/>
      <c r="H700" s="193"/>
      <c r="I700" s="193"/>
      <c r="J700" s="193"/>
      <c r="K700" s="193"/>
      <c r="L700" s="193"/>
      <c r="M700" s="193"/>
      <c r="N700" s="193"/>
      <c r="O700" s="193"/>
      <c r="P700" s="193"/>
      <c r="Q700" s="193"/>
      <c r="R700" s="193"/>
      <c r="S700" s="193"/>
      <c r="T700" s="193"/>
      <c r="U700" s="193"/>
      <c r="V700" s="193"/>
      <c r="W700" s="193"/>
      <c r="X700" s="193"/>
      <c r="Y700" s="193"/>
      <c r="Z700" s="193"/>
      <c r="AA700" s="193"/>
      <c r="AB700" s="193"/>
      <c r="AC700" s="193"/>
      <c r="AD700" s="193"/>
      <c r="AE700" s="193"/>
    </row>
    <row r="701" ht="14.25" customHeight="1">
      <c r="A701" s="191" t="s">
        <v>2932</v>
      </c>
      <c r="B701" s="192" t="s">
        <v>2933</v>
      </c>
      <c r="C701" s="191" t="s">
        <v>2934</v>
      </c>
      <c r="D701" s="193"/>
      <c r="E701" s="193"/>
      <c r="F701" s="194" t="s">
        <v>2935</v>
      </c>
      <c r="G701" s="193"/>
      <c r="H701" s="193"/>
      <c r="I701" s="193"/>
      <c r="J701" s="193"/>
      <c r="K701" s="193"/>
      <c r="L701" s="193"/>
      <c r="M701" s="193"/>
      <c r="N701" s="193"/>
      <c r="O701" s="193"/>
      <c r="P701" s="193"/>
      <c r="Q701" s="193"/>
      <c r="R701" s="193"/>
      <c r="S701" s="193"/>
      <c r="T701" s="193"/>
      <c r="U701" s="193"/>
      <c r="V701" s="193"/>
      <c r="W701" s="193"/>
      <c r="X701" s="193"/>
      <c r="Y701" s="193"/>
      <c r="Z701" s="193"/>
      <c r="AA701" s="193"/>
      <c r="AB701" s="193"/>
      <c r="AC701" s="193"/>
      <c r="AD701" s="193"/>
      <c r="AE701" s="193"/>
    </row>
    <row r="702" ht="14.25" customHeight="1">
      <c r="A702" s="191" t="s">
        <v>2936</v>
      </c>
      <c r="B702" s="192" t="s">
        <v>2937</v>
      </c>
      <c r="C702" s="191" t="s">
        <v>2938</v>
      </c>
      <c r="D702" s="193"/>
      <c r="E702" s="193"/>
      <c r="F702" s="194" t="s">
        <v>2939</v>
      </c>
      <c r="G702" s="193"/>
      <c r="H702" s="193"/>
      <c r="I702" s="193"/>
      <c r="J702" s="193"/>
      <c r="K702" s="193"/>
      <c r="L702" s="193"/>
      <c r="M702" s="193"/>
      <c r="N702" s="193"/>
      <c r="O702" s="193"/>
      <c r="P702" s="193"/>
      <c r="Q702" s="193"/>
      <c r="R702" s="193"/>
      <c r="S702" s="193"/>
      <c r="T702" s="193"/>
      <c r="U702" s="193"/>
      <c r="V702" s="193"/>
      <c r="W702" s="193"/>
      <c r="X702" s="193"/>
      <c r="Y702" s="193"/>
      <c r="Z702" s="193"/>
      <c r="AA702" s="193"/>
      <c r="AB702" s="193"/>
      <c r="AC702" s="193"/>
      <c r="AD702" s="193"/>
      <c r="AE702" s="193"/>
    </row>
    <row r="703" ht="14.25" customHeight="1">
      <c r="A703" s="191" t="s">
        <v>2940</v>
      </c>
      <c r="B703" s="192" t="s">
        <v>2941</v>
      </c>
      <c r="C703" s="191" t="s">
        <v>2942</v>
      </c>
      <c r="D703" s="193"/>
      <c r="E703" s="193"/>
      <c r="F703" s="194" t="s">
        <v>2943</v>
      </c>
      <c r="G703" s="193"/>
      <c r="H703" s="193"/>
      <c r="I703" s="193"/>
      <c r="J703" s="193"/>
      <c r="K703" s="193"/>
      <c r="L703" s="193"/>
      <c r="M703" s="193"/>
      <c r="N703" s="193"/>
      <c r="O703" s="193"/>
      <c r="P703" s="193"/>
      <c r="Q703" s="193"/>
      <c r="R703" s="193"/>
      <c r="S703" s="193"/>
      <c r="T703" s="193"/>
      <c r="U703" s="193"/>
      <c r="V703" s="193"/>
      <c r="W703" s="193"/>
      <c r="X703" s="193"/>
      <c r="Y703" s="193"/>
      <c r="Z703" s="193"/>
      <c r="AA703" s="193"/>
      <c r="AB703" s="193"/>
      <c r="AC703" s="193"/>
      <c r="AD703" s="193"/>
      <c r="AE703" s="193"/>
    </row>
    <row r="704" ht="14.25" customHeight="1">
      <c r="A704" s="191" t="s">
        <v>2944</v>
      </c>
      <c r="B704" s="192" t="s">
        <v>2945</v>
      </c>
      <c r="C704" s="191" t="s">
        <v>2946</v>
      </c>
      <c r="D704" s="193"/>
      <c r="E704" s="193"/>
      <c r="F704" s="194" t="s">
        <v>2947</v>
      </c>
      <c r="G704" s="193"/>
      <c r="H704" s="193"/>
      <c r="I704" s="193"/>
      <c r="J704" s="193"/>
      <c r="K704" s="193"/>
      <c r="L704" s="193"/>
      <c r="M704" s="193"/>
      <c r="N704" s="193"/>
      <c r="O704" s="193"/>
      <c r="P704" s="193"/>
      <c r="Q704" s="193"/>
      <c r="R704" s="193"/>
      <c r="S704" s="193"/>
      <c r="T704" s="193"/>
      <c r="U704" s="193"/>
      <c r="V704" s="193"/>
      <c r="W704" s="193"/>
      <c r="X704" s="193"/>
      <c r="Y704" s="193"/>
      <c r="Z704" s="193"/>
      <c r="AA704" s="193"/>
      <c r="AB704" s="193"/>
      <c r="AC704" s="193"/>
      <c r="AD704" s="193"/>
      <c r="AE704" s="193"/>
    </row>
    <row r="705" ht="14.25" customHeight="1">
      <c r="A705" s="191" t="s">
        <v>2948</v>
      </c>
      <c r="B705" s="192" t="s">
        <v>2949</v>
      </c>
      <c r="C705" s="191" t="s">
        <v>2950</v>
      </c>
      <c r="D705" s="193"/>
      <c r="E705" s="193"/>
      <c r="F705" s="194" t="s">
        <v>2951</v>
      </c>
      <c r="G705" s="193"/>
      <c r="H705" s="193"/>
      <c r="I705" s="193"/>
      <c r="J705" s="193"/>
      <c r="K705" s="193"/>
      <c r="L705" s="193"/>
      <c r="M705" s="193"/>
      <c r="N705" s="193"/>
      <c r="O705" s="193"/>
      <c r="P705" s="193"/>
      <c r="Q705" s="193"/>
      <c r="R705" s="193"/>
      <c r="S705" s="193"/>
      <c r="T705" s="193"/>
      <c r="U705" s="193"/>
      <c r="V705" s="193"/>
      <c r="W705" s="193"/>
      <c r="X705" s="193"/>
      <c r="Y705" s="193"/>
      <c r="Z705" s="193"/>
      <c r="AA705" s="193"/>
      <c r="AB705" s="193"/>
      <c r="AC705" s="193"/>
      <c r="AD705" s="193"/>
      <c r="AE705" s="193"/>
    </row>
    <row r="706" ht="14.25" customHeight="1">
      <c r="A706" s="191" t="s">
        <v>2952</v>
      </c>
      <c r="B706" s="192" t="s">
        <v>2953</v>
      </c>
      <c r="C706" s="191" t="s">
        <v>2954</v>
      </c>
      <c r="D706" s="193"/>
      <c r="E706" s="193"/>
      <c r="F706" s="194" t="s">
        <v>2955</v>
      </c>
      <c r="G706" s="193"/>
      <c r="H706" s="193"/>
      <c r="I706" s="193"/>
      <c r="J706" s="193"/>
      <c r="K706" s="193"/>
      <c r="L706" s="193"/>
      <c r="M706" s="193"/>
      <c r="N706" s="193"/>
      <c r="O706" s="193"/>
      <c r="P706" s="193"/>
      <c r="Q706" s="193"/>
      <c r="R706" s="193"/>
      <c r="S706" s="193"/>
      <c r="T706" s="193"/>
      <c r="U706" s="193"/>
      <c r="V706" s="193"/>
      <c r="W706" s="193"/>
      <c r="X706" s="193"/>
      <c r="Y706" s="193"/>
      <c r="Z706" s="193"/>
      <c r="AA706" s="193"/>
      <c r="AB706" s="193"/>
      <c r="AC706" s="193"/>
      <c r="AD706" s="193"/>
      <c r="AE706" s="193"/>
    </row>
    <row r="707" ht="14.25" customHeight="1">
      <c r="A707" s="191" t="s">
        <v>2956</v>
      </c>
      <c r="B707" s="192" t="s">
        <v>2957</v>
      </c>
      <c r="C707" s="191" t="s">
        <v>2958</v>
      </c>
      <c r="D707" s="193"/>
      <c r="E707" s="193"/>
      <c r="F707" s="194" t="s">
        <v>2959</v>
      </c>
      <c r="G707" s="193"/>
      <c r="H707" s="193"/>
      <c r="I707" s="193"/>
      <c r="J707" s="193"/>
      <c r="K707" s="193"/>
      <c r="L707" s="193"/>
      <c r="M707" s="193"/>
      <c r="N707" s="193"/>
      <c r="O707" s="193"/>
      <c r="P707" s="193"/>
      <c r="Q707" s="193"/>
      <c r="R707" s="193"/>
      <c r="S707" s="193"/>
      <c r="T707" s="193"/>
      <c r="U707" s="193"/>
      <c r="V707" s="193"/>
      <c r="W707" s="193"/>
      <c r="X707" s="193"/>
      <c r="Y707" s="193"/>
      <c r="Z707" s="193"/>
      <c r="AA707" s="193"/>
      <c r="AB707" s="193"/>
      <c r="AC707" s="193"/>
      <c r="AD707" s="193"/>
      <c r="AE707" s="193"/>
    </row>
    <row r="708" ht="14.25" customHeight="1">
      <c r="A708" s="191" t="s">
        <v>2960</v>
      </c>
      <c r="B708" s="192" t="s">
        <v>2961</v>
      </c>
      <c r="C708" s="191" t="s">
        <v>2962</v>
      </c>
      <c r="D708" s="193"/>
      <c r="E708" s="193"/>
      <c r="F708" s="194" t="s">
        <v>2963</v>
      </c>
      <c r="G708" s="193"/>
      <c r="H708" s="193"/>
      <c r="I708" s="193"/>
      <c r="J708" s="193"/>
      <c r="K708" s="193"/>
      <c r="L708" s="193"/>
      <c r="M708" s="193"/>
      <c r="N708" s="193"/>
      <c r="O708" s="193"/>
      <c r="P708" s="193"/>
      <c r="Q708" s="193"/>
      <c r="R708" s="193"/>
      <c r="S708" s="193"/>
      <c r="T708" s="193"/>
      <c r="U708" s="193"/>
      <c r="V708" s="193"/>
      <c r="W708" s="193"/>
      <c r="X708" s="193"/>
      <c r="Y708" s="193"/>
      <c r="Z708" s="193"/>
      <c r="AA708" s="193"/>
      <c r="AB708" s="193"/>
      <c r="AC708" s="193"/>
      <c r="AD708" s="193"/>
      <c r="AE708" s="193"/>
    </row>
    <row r="709" ht="14.25" customHeight="1">
      <c r="A709" s="191" t="s">
        <v>2964</v>
      </c>
      <c r="B709" s="192" t="s">
        <v>2965</v>
      </c>
      <c r="C709" s="191" t="s">
        <v>2966</v>
      </c>
      <c r="D709" s="193"/>
      <c r="E709" s="193"/>
      <c r="F709" s="194" t="s">
        <v>2967</v>
      </c>
      <c r="G709" s="193"/>
      <c r="H709" s="193"/>
      <c r="I709" s="193"/>
      <c r="J709" s="193"/>
      <c r="K709" s="193"/>
      <c r="L709" s="193"/>
      <c r="M709" s="193"/>
      <c r="N709" s="193"/>
      <c r="O709" s="193"/>
      <c r="P709" s="193"/>
      <c r="Q709" s="193"/>
      <c r="R709" s="193"/>
      <c r="S709" s="193"/>
      <c r="T709" s="193"/>
      <c r="U709" s="193"/>
      <c r="V709" s="193"/>
      <c r="W709" s="193"/>
      <c r="X709" s="193"/>
      <c r="Y709" s="193"/>
      <c r="Z709" s="193"/>
      <c r="AA709" s="193"/>
      <c r="AB709" s="193"/>
      <c r="AC709" s="193"/>
      <c r="AD709" s="193"/>
      <c r="AE709" s="193"/>
    </row>
    <row r="710" ht="14.25" customHeight="1">
      <c r="A710" s="191" t="s">
        <v>2968</v>
      </c>
      <c r="B710" s="192" t="s">
        <v>2969</v>
      </c>
      <c r="C710" s="191" t="s">
        <v>2970</v>
      </c>
      <c r="D710" s="193"/>
      <c r="E710" s="193"/>
      <c r="F710" s="194"/>
      <c r="G710" s="193"/>
      <c r="H710" s="193"/>
      <c r="I710" s="193"/>
      <c r="J710" s="193"/>
      <c r="K710" s="193"/>
      <c r="L710" s="193"/>
      <c r="M710" s="193"/>
      <c r="N710" s="193"/>
      <c r="O710" s="193"/>
      <c r="P710" s="193"/>
      <c r="Q710" s="193"/>
      <c r="R710" s="193"/>
      <c r="S710" s="193"/>
      <c r="T710" s="193"/>
      <c r="U710" s="193"/>
      <c r="V710" s="193"/>
      <c r="W710" s="193"/>
      <c r="X710" s="193"/>
      <c r="Y710" s="193"/>
      <c r="Z710" s="193"/>
      <c r="AA710" s="193"/>
      <c r="AB710" s="193"/>
      <c r="AC710" s="193"/>
      <c r="AD710" s="193"/>
      <c r="AE710" s="193"/>
    </row>
    <row r="711" ht="14.25" customHeight="1">
      <c r="A711" s="191" t="s">
        <v>2971</v>
      </c>
      <c r="B711" s="192" t="s">
        <v>2972</v>
      </c>
      <c r="C711" s="191" t="s">
        <v>2973</v>
      </c>
      <c r="D711" s="193"/>
      <c r="E711" s="193"/>
      <c r="F711" s="194" t="s">
        <v>2974</v>
      </c>
      <c r="G711" s="193"/>
      <c r="H711" s="193"/>
      <c r="I711" s="193"/>
      <c r="J711" s="193"/>
      <c r="K711" s="193"/>
      <c r="L711" s="193"/>
      <c r="M711" s="193"/>
      <c r="N711" s="193"/>
      <c r="O711" s="193"/>
      <c r="P711" s="193"/>
      <c r="Q711" s="193"/>
      <c r="R711" s="193"/>
      <c r="S711" s="193"/>
      <c r="T711" s="193"/>
      <c r="U711" s="193"/>
      <c r="V711" s="193"/>
      <c r="W711" s="193"/>
      <c r="X711" s="193"/>
      <c r="Y711" s="193"/>
      <c r="Z711" s="193"/>
      <c r="AA711" s="193"/>
      <c r="AB711" s="193"/>
      <c r="AC711" s="193"/>
      <c r="AD711" s="193"/>
      <c r="AE711" s="193"/>
    </row>
    <row r="712" ht="14.25" customHeight="1">
      <c r="A712" s="191" t="s">
        <v>2975</v>
      </c>
      <c r="B712" s="192" t="s">
        <v>2976</v>
      </c>
      <c r="C712" s="191" t="s">
        <v>2977</v>
      </c>
      <c r="D712" s="193"/>
      <c r="E712" s="193"/>
      <c r="F712" s="194" t="s">
        <v>2978</v>
      </c>
      <c r="G712" s="193"/>
      <c r="H712" s="193"/>
      <c r="I712" s="193"/>
      <c r="J712" s="193"/>
      <c r="K712" s="193"/>
      <c r="L712" s="193"/>
      <c r="M712" s="193"/>
      <c r="N712" s="193"/>
      <c r="O712" s="193"/>
      <c r="P712" s="193"/>
      <c r="Q712" s="193"/>
      <c r="R712" s="193"/>
      <c r="S712" s="193"/>
      <c r="T712" s="193"/>
      <c r="U712" s="193"/>
      <c r="V712" s="193"/>
      <c r="W712" s="193"/>
      <c r="X712" s="193"/>
      <c r="Y712" s="193"/>
      <c r="Z712" s="193"/>
      <c r="AA712" s="193"/>
      <c r="AB712" s="193"/>
      <c r="AC712" s="193"/>
      <c r="AD712" s="193"/>
      <c r="AE712" s="193"/>
    </row>
    <row r="713" ht="14.25" customHeight="1">
      <c r="A713" s="191" t="s">
        <v>2979</v>
      </c>
      <c r="B713" s="192" t="s">
        <v>2980</v>
      </c>
      <c r="C713" s="191" t="s">
        <v>2981</v>
      </c>
      <c r="D713" s="193"/>
      <c r="E713" s="193"/>
      <c r="F713" s="194" t="s">
        <v>2982</v>
      </c>
      <c r="G713" s="193"/>
      <c r="H713" s="193"/>
      <c r="I713" s="193"/>
      <c r="J713" s="193"/>
      <c r="K713" s="193"/>
      <c r="L713" s="193"/>
      <c r="M713" s="193"/>
      <c r="N713" s="193"/>
      <c r="O713" s="193"/>
      <c r="P713" s="193"/>
      <c r="Q713" s="193"/>
      <c r="R713" s="193"/>
      <c r="S713" s="193"/>
      <c r="T713" s="193"/>
      <c r="U713" s="193"/>
      <c r="V713" s="193"/>
      <c r="W713" s="193"/>
      <c r="X713" s="193"/>
      <c r="Y713" s="193"/>
      <c r="Z713" s="193"/>
      <c r="AA713" s="193"/>
      <c r="AB713" s="193"/>
      <c r="AC713" s="193"/>
      <c r="AD713" s="193"/>
      <c r="AE713" s="193"/>
    </row>
    <row r="714" ht="14.25" customHeight="1">
      <c r="A714" s="191" t="s">
        <v>2983</v>
      </c>
      <c r="B714" s="192" t="s">
        <v>2984</v>
      </c>
      <c r="C714" s="191" t="s">
        <v>2985</v>
      </c>
      <c r="D714" s="193"/>
      <c r="E714" s="193"/>
      <c r="F714" s="194" t="s">
        <v>2986</v>
      </c>
      <c r="G714" s="193"/>
      <c r="H714" s="193"/>
      <c r="I714" s="193"/>
      <c r="J714" s="193"/>
      <c r="K714" s="193"/>
      <c r="L714" s="193"/>
      <c r="M714" s="193"/>
      <c r="N714" s="193"/>
      <c r="O714" s="193"/>
      <c r="P714" s="193"/>
      <c r="Q714" s="193"/>
      <c r="R714" s="193"/>
      <c r="S714" s="193"/>
      <c r="T714" s="193"/>
      <c r="U714" s="193"/>
      <c r="V714" s="193"/>
      <c r="W714" s="193"/>
      <c r="X714" s="193"/>
      <c r="Y714" s="193"/>
      <c r="Z714" s="193"/>
      <c r="AA714" s="193"/>
      <c r="AB714" s="193"/>
      <c r="AC714" s="193"/>
      <c r="AD714" s="193"/>
      <c r="AE714" s="193"/>
    </row>
    <row r="715" ht="14.25" customHeight="1">
      <c r="A715" s="191" t="s">
        <v>2987</v>
      </c>
      <c r="B715" s="192" t="s">
        <v>2988</v>
      </c>
      <c r="C715" s="191" t="s">
        <v>2989</v>
      </c>
      <c r="D715" s="193"/>
      <c r="E715" s="193"/>
      <c r="F715" s="194" t="s">
        <v>2990</v>
      </c>
      <c r="G715" s="193"/>
      <c r="H715" s="193"/>
      <c r="I715" s="193"/>
      <c r="J715" s="193"/>
      <c r="K715" s="193"/>
      <c r="L715" s="193"/>
      <c r="M715" s="193"/>
      <c r="N715" s="193"/>
      <c r="O715" s="193"/>
      <c r="P715" s="193"/>
      <c r="Q715" s="193"/>
      <c r="R715" s="193"/>
      <c r="S715" s="193"/>
      <c r="T715" s="193"/>
      <c r="U715" s="193"/>
      <c r="V715" s="193"/>
      <c r="W715" s="193"/>
      <c r="X715" s="193"/>
      <c r="Y715" s="193"/>
      <c r="Z715" s="193"/>
      <c r="AA715" s="193"/>
      <c r="AB715" s="193"/>
      <c r="AC715" s="193"/>
      <c r="AD715" s="193"/>
      <c r="AE715" s="193"/>
    </row>
    <row r="716" ht="14.25" customHeight="1">
      <c r="A716" s="191" t="s">
        <v>2991</v>
      </c>
      <c r="B716" s="192" t="s">
        <v>2992</v>
      </c>
      <c r="C716" s="191" t="s">
        <v>2993</v>
      </c>
      <c r="D716" s="193"/>
      <c r="E716" s="193"/>
      <c r="F716" s="194" t="s">
        <v>2994</v>
      </c>
      <c r="G716" s="193"/>
      <c r="H716" s="193"/>
      <c r="I716" s="193"/>
      <c r="J716" s="193"/>
      <c r="K716" s="193"/>
      <c r="L716" s="193"/>
      <c r="M716" s="193"/>
      <c r="N716" s="193"/>
      <c r="O716" s="193"/>
      <c r="P716" s="193"/>
      <c r="Q716" s="193"/>
      <c r="R716" s="193"/>
      <c r="S716" s="193"/>
      <c r="T716" s="193"/>
      <c r="U716" s="193"/>
      <c r="V716" s="193"/>
      <c r="W716" s="193"/>
      <c r="X716" s="193"/>
      <c r="Y716" s="193"/>
      <c r="Z716" s="193"/>
      <c r="AA716" s="193"/>
      <c r="AB716" s="193"/>
      <c r="AC716" s="193"/>
      <c r="AD716" s="193"/>
      <c r="AE716" s="193"/>
    </row>
    <row r="717" ht="14.25" customHeight="1">
      <c r="A717" s="191" t="s">
        <v>2995</v>
      </c>
      <c r="B717" s="192" t="s">
        <v>2996</v>
      </c>
      <c r="C717" s="191" t="s">
        <v>2997</v>
      </c>
      <c r="D717" s="193"/>
      <c r="E717" s="193"/>
      <c r="F717" s="194" t="s">
        <v>2998</v>
      </c>
      <c r="G717" s="193"/>
      <c r="H717" s="193"/>
      <c r="I717" s="193"/>
      <c r="J717" s="193"/>
      <c r="K717" s="193"/>
      <c r="L717" s="193"/>
      <c r="M717" s="193"/>
      <c r="N717" s="193"/>
      <c r="O717" s="193"/>
      <c r="P717" s="193"/>
      <c r="Q717" s="193"/>
      <c r="R717" s="193"/>
      <c r="S717" s="193"/>
      <c r="T717" s="193"/>
      <c r="U717" s="193"/>
      <c r="V717" s="193"/>
      <c r="W717" s="193"/>
      <c r="X717" s="193"/>
      <c r="Y717" s="193"/>
      <c r="Z717" s="193"/>
      <c r="AA717" s="193"/>
      <c r="AB717" s="193"/>
      <c r="AC717" s="193"/>
      <c r="AD717" s="193"/>
      <c r="AE717" s="193"/>
    </row>
    <row r="718" ht="14.25" customHeight="1">
      <c r="A718" s="191" t="s">
        <v>2999</v>
      </c>
      <c r="B718" s="192" t="s">
        <v>3000</v>
      </c>
      <c r="C718" s="191" t="s">
        <v>3001</v>
      </c>
      <c r="D718" s="193"/>
      <c r="E718" s="193"/>
      <c r="F718" s="194" t="s">
        <v>3002</v>
      </c>
      <c r="G718" s="193"/>
      <c r="H718" s="193"/>
      <c r="I718" s="193"/>
      <c r="J718" s="193"/>
      <c r="K718" s="193"/>
      <c r="L718" s="193"/>
      <c r="M718" s="193"/>
      <c r="N718" s="193"/>
      <c r="O718" s="193"/>
      <c r="P718" s="193"/>
      <c r="Q718" s="193"/>
      <c r="R718" s="193"/>
      <c r="S718" s="193"/>
      <c r="T718" s="193"/>
      <c r="U718" s="193"/>
      <c r="V718" s="193"/>
      <c r="W718" s="193"/>
      <c r="X718" s="193"/>
      <c r="Y718" s="193"/>
      <c r="Z718" s="193"/>
      <c r="AA718" s="193"/>
      <c r="AB718" s="193"/>
      <c r="AC718" s="193"/>
      <c r="AD718" s="193"/>
      <c r="AE718" s="193"/>
    </row>
    <row r="719" ht="14.25" customHeight="1">
      <c r="A719" s="191" t="s">
        <v>3003</v>
      </c>
      <c r="B719" s="192" t="s">
        <v>3004</v>
      </c>
      <c r="C719" s="191" t="s">
        <v>3005</v>
      </c>
      <c r="D719" s="193"/>
      <c r="E719" s="193"/>
      <c r="F719" s="194" t="s">
        <v>3006</v>
      </c>
      <c r="G719" s="193"/>
      <c r="H719" s="193"/>
      <c r="I719" s="193"/>
      <c r="J719" s="193"/>
      <c r="K719" s="193"/>
      <c r="L719" s="193"/>
      <c r="M719" s="193"/>
      <c r="N719" s="193"/>
      <c r="O719" s="193"/>
      <c r="P719" s="193"/>
      <c r="Q719" s="193"/>
      <c r="R719" s="193"/>
      <c r="S719" s="193"/>
      <c r="T719" s="193"/>
      <c r="U719" s="193"/>
      <c r="V719" s="193"/>
      <c r="W719" s="193"/>
      <c r="X719" s="193"/>
      <c r="Y719" s="193"/>
      <c r="Z719" s="193"/>
      <c r="AA719" s="193"/>
      <c r="AB719" s="193"/>
      <c r="AC719" s="193"/>
      <c r="AD719" s="193"/>
      <c r="AE719" s="193"/>
    </row>
    <row r="720" ht="14.25" customHeight="1">
      <c r="A720" s="191" t="s">
        <v>3007</v>
      </c>
      <c r="B720" s="192" t="s">
        <v>3008</v>
      </c>
      <c r="C720" s="191" t="s">
        <v>3009</v>
      </c>
      <c r="D720" s="193"/>
      <c r="E720" s="193"/>
      <c r="F720" s="194" t="s">
        <v>3010</v>
      </c>
      <c r="G720" s="193"/>
      <c r="H720" s="193"/>
      <c r="I720" s="193"/>
      <c r="J720" s="193"/>
      <c r="K720" s="193"/>
      <c r="L720" s="193"/>
      <c r="M720" s="193"/>
      <c r="N720" s="193"/>
      <c r="O720" s="193"/>
      <c r="P720" s="193"/>
      <c r="Q720" s="193"/>
      <c r="R720" s="193"/>
      <c r="S720" s="193"/>
      <c r="T720" s="193"/>
      <c r="U720" s="193"/>
      <c r="V720" s="193"/>
      <c r="W720" s="193"/>
      <c r="X720" s="193"/>
      <c r="Y720" s="193"/>
      <c r="Z720" s="193"/>
      <c r="AA720" s="193"/>
      <c r="AB720" s="193"/>
      <c r="AC720" s="193"/>
      <c r="AD720" s="193"/>
      <c r="AE720" s="193"/>
    </row>
    <row r="721" ht="14.25" customHeight="1">
      <c r="A721" s="191" t="s">
        <v>3011</v>
      </c>
      <c r="B721" s="192" t="s">
        <v>3012</v>
      </c>
      <c r="C721" s="191" t="s">
        <v>3013</v>
      </c>
      <c r="D721" s="193"/>
      <c r="E721" s="193"/>
      <c r="F721" s="194" t="s">
        <v>3014</v>
      </c>
      <c r="G721" s="193"/>
      <c r="H721" s="193"/>
      <c r="I721" s="193"/>
      <c r="J721" s="193"/>
      <c r="K721" s="193"/>
      <c r="L721" s="193"/>
      <c r="M721" s="193"/>
      <c r="N721" s="193"/>
      <c r="O721" s="193"/>
      <c r="P721" s="193"/>
      <c r="Q721" s="193"/>
      <c r="R721" s="193"/>
      <c r="S721" s="193"/>
      <c r="T721" s="193"/>
      <c r="U721" s="193"/>
      <c r="V721" s="193"/>
      <c r="W721" s="193"/>
      <c r="X721" s="193"/>
      <c r="Y721" s="193"/>
      <c r="Z721" s="193"/>
      <c r="AA721" s="193"/>
      <c r="AB721" s="193"/>
      <c r="AC721" s="193"/>
      <c r="AD721" s="193"/>
      <c r="AE721" s="193"/>
    </row>
    <row r="722" ht="14.25" customHeight="1">
      <c r="A722" s="191" t="s">
        <v>3015</v>
      </c>
      <c r="B722" s="192" t="s">
        <v>3016</v>
      </c>
      <c r="C722" s="191" t="s">
        <v>3017</v>
      </c>
      <c r="D722" s="193"/>
      <c r="E722" s="193"/>
      <c r="F722" s="194" t="s">
        <v>3018</v>
      </c>
      <c r="G722" s="193"/>
      <c r="H722" s="193"/>
      <c r="I722" s="193"/>
      <c r="J722" s="193"/>
      <c r="K722" s="193"/>
      <c r="L722" s="193"/>
      <c r="M722" s="193"/>
      <c r="N722" s="193"/>
      <c r="O722" s="193"/>
      <c r="P722" s="193"/>
      <c r="Q722" s="193"/>
      <c r="R722" s="193"/>
      <c r="S722" s="193"/>
      <c r="T722" s="193"/>
      <c r="U722" s="193"/>
      <c r="V722" s="193"/>
      <c r="W722" s="193"/>
      <c r="X722" s="193"/>
      <c r="Y722" s="193"/>
      <c r="Z722" s="193"/>
      <c r="AA722" s="193"/>
      <c r="AB722" s="193"/>
      <c r="AC722" s="193"/>
      <c r="AD722" s="193"/>
      <c r="AE722" s="193"/>
    </row>
    <row r="723" ht="14.25" customHeight="1">
      <c r="A723" s="191" t="s">
        <v>3019</v>
      </c>
      <c r="B723" s="192" t="s">
        <v>3020</v>
      </c>
      <c r="C723" s="191" t="s">
        <v>3021</v>
      </c>
      <c r="D723" s="193"/>
      <c r="E723" s="193"/>
      <c r="F723" s="194" t="s">
        <v>3022</v>
      </c>
      <c r="G723" s="193"/>
      <c r="H723" s="193"/>
      <c r="I723" s="193"/>
      <c r="J723" s="193"/>
      <c r="K723" s="193"/>
      <c r="L723" s="193"/>
      <c r="M723" s="193"/>
      <c r="N723" s="193"/>
      <c r="O723" s="193"/>
      <c r="P723" s="193"/>
      <c r="Q723" s="193"/>
      <c r="R723" s="193"/>
      <c r="S723" s="193"/>
      <c r="T723" s="193"/>
      <c r="U723" s="193"/>
      <c r="V723" s="193"/>
      <c r="W723" s="193"/>
      <c r="X723" s="193"/>
      <c r="Y723" s="193"/>
      <c r="Z723" s="193"/>
      <c r="AA723" s="193"/>
      <c r="AB723" s="193"/>
      <c r="AC723" s="193"/>
      <c r="AD723" s="193"/>
      <c r="AE723" s="193"/>
    </row>
    <row r="724" ht="14.25" customHeight="1">
      <c r="A724" s="191" t="s">
        <v>3023</v>
      </c>
      <c r="B724" s="192" t="s">
        <v>3024</v>
      </c>
      <c r="C724" s="191" t="s">
        <v>3025</v>
      </c>
      <c r="D724" s="193"/>
      <c r="E724" s="193"/>
      <c r="F724" s="194" t="s">
        <v>3026</v>
      </c>
      <c r="G724" s="193"/>
      <c r="H724" s="193"/>
      <c r="I724" s="193"/>
      <c r="J724" s="193"/>
      <c r="K724" s="193"/>
      <c r="L724" s="193"/>
      <c r="M724" s="193"/>
      <c r="N724" s="193"/>
      <c r="O724" s="193"/>
      <c r="P724" s="193"/>
      <c r="Q724" s="193"/>
      <c r="R724" s="193"/>
      <c r="S724" s="193"/>
      <c r="T724" s="193"/>
      <c r="U724" s="193"/>
      <c r="V724" s="193"/>
      <c r="W724" s="193"/>
      <c r="X724" s="193"/>
      <c r="Y724" s="193"/>
      <c r="Z724" s="193"/>
      <c r="AA724" s="193"/>
      <c r="AB724" s="193"/>
      <c r="AC724" s="193"/>
      <c r="AD724" s="193"/>
      <c r="AE724" s="193"/>
    </row>
    <row r="725" ht="14.25" customHeight="1">
      <c r="A725" s="191" t="s">
        <v>3027</v>
      </c>
      <c r="B725" s="192" t="s">
        <v>3028</v>
      </c>
      <c r="C725" s="191" t="s">
        <v>3029</v>
      </c>
      <c r="D725" s="193"/>
      <c r="E725" s="193"/>
      <c r="F725" s="194" t="s">
        <v>3030</v>
      </c>
      <c r="G725" s="193"/>
      <c r="H725" s="193"/>
      <c r="I725" s="193"/>
      <c r="J725" s="193"/>
      <c r="K725" s="193"/>
      <c r="L725" s="193"/>
      <c r="M725" s="193"/>
      <c r="N725" s="193"/>
      <c r="O725" s="193"/>
      <c r="P725" s="193"/>
      <c r="Q725" s="193"/>
      <c r="R725" s="193"/>
      <c r="S725" s="193"/>
      <c r="T725" s="193"/>
      <c r="U725" s="193"/>
      <c r="V725" s="193"/>
      <c r="W725" s="193"/>
      <c r="X725" s="193"/>
      <c r="Y725" s="193"/>
      <c r="Z725" s="193"/>
      <c r="AA725" s="193"/>
      <c r="AB725" s="193"/>
      <c r="AC725" s="193"/>
      <c r="AD725" s="193"/>
      <c r="AE725" s="193"/>
    </row>
    <row r="726" ht="14.25" customHeight="1">
      <c r="A726" s="191" t="s">
        <v>3031</v>
      </c>
      <c r="B726" s="192" t="s">
        <v>3032</v>
      </c>
      <c r="C726" s="191" t="s">
        <v>3033</v>
      </c>
      <c r="D726" s="193"/>
      <c r="E726" s="193"/>
      <c r="F726" s="194" t="s">
        <v>3034</v>
      </c>
      <c r="G726" s="193"/>
      <c r="H726" s="193"/>
      <c r="I726" s="193"/>
      <c r="J726" s="193"/>
      <c r="K726" s="193"/>
      <c r="L726" s="193"/>
      <c r="M726" s="193"/>
      <c r="N726" s="193"/>
      <c r="O726" s="193"/>
      <c r="P726" s="193"/>
      <c r="Q726" s="193"/>
      <c r="R726" s="193"/>
      <c r="S726" s="193"/>
      <c r="T726" s="193"/>
      <c r="U726" s="193"/>
      <c r="V726" s="193"/>
      <c r="W726" s="193"/>
      <c r="X726" s="193"/>
      <c r="Y726" s="193"/>
      <c r="Z726" s="193"/>
      <c r="AA726" s="193"/>
      <c r="AB726" s="193"/>
      <c r="AC726" s="193"/>
      <c r="AD726" s="193"/>
      <c r="AE726" s="193"/>
    </row>
    <row r="727" ht="14.25" customHeight="1">
      <c r="A727" s="191" t="s">
        <v>3035</v>
      </c>
      <c r="B727" s="192" t="s">
        <v>3036</v>
      </c>
      <c r="C727" s="191" t="s">
        <v>3037</v>
      </c>
      <c r="D727" s="193"/>
      <c r="E727" s="193"/>
      <c r="F727" s="194" t="s">
        <v>3038</v>
      </c>
      <c r="G727" s="193"/>
      <c r="H727" s="193"/>
      <c r="I727" s="193"/>
      <c r="J727" s="193"/>
      <c r="K727" s="193"/>
      <c r="L727" s="193"/>
      <c r="M727" s="193"/>
      <c r="N727" s="193"/>
      <c r="O727" s="193"/>
      <c r="P727" s="193"/>
      <c r="Q727" s="193"/>
      <c r="R727" s="193"/>
      <c r="S727" s="193"/>
      <c r="T727" s="193"/>
      <c r="U727" s="193"/>
      <c r="V727" s="193"/>
      <c r="W727" s="193"/>
      <c r="X727" s="193"/>
      <c r="Y727" s="193"/>
      <c r="Z727" s="193"/>
      <c r="AA727" s="193"/>
      <c r="AB727" s="193"/>
      <c r="AC727" s="193"/>
      <c r="AD727" s="193"/>
      <c r="AE727" s="193"/>
    </row>
    <row r="728" ht="14.25" customHeight="1">
      <c r="A728" s="191" t="s">
        <v>3039</v>
      </c>
      <c r="B728" s="192" t="s">
        <v>3040</v>
      </c>
      <c r="C728" s="191" t="s">
        <v>3041</v>
      </c>
      <c r="D728" s="193"/>
      <c r="E728" s="193"/>
      <c r="F728" s="194" t="s">
        <v>3042</v>
      </c>
      <c r="G728" s="193"/>
      <c r="H728" s="193"/>
      <c r="I728" s="193"/>
      <c r="J728" s="193"/>
      <c r="K728" s="193"/>
      <c r="L728" s="193"/>
      <c r="M728" s="193"/>
      <c r="N728" s="193"/>
      <c r="O728" s="193"/>
      <c r="P728" s="193"/>
      <c r="Q728" s="193"/>
      <c r="R728" s="193"/>
      <c r="S728" s="193"/>
      <c r="T728" s="193"/>
      <c r="U728" s="193"/>
      <c r="V728" s="193"/>
      <c r="W728" s="193"/>
      <c r="X728" s="193"/>
      <c r="Y728" s="193"/>
      <c r="Z728" s="193"/>
      <c r="AA728" s="193"/>
      <c r="AB728" s="193"/>
      <c r="AC728" s="193"/>
      <c r="AD728" s="193"/>
      <c r="AE728" s="193"/>
    </row>
    <row r="729" ht="14.25" customHeight="1">
      <c r="A729" s="191" t="s">
        <v>3043</v>
      </c>
      <c r="B729" s="192" t="s">
        <v>3044</v>
      </c>
      <c r="C729" s="191" t="s">
        <v>3045</v>
      </c>
      <c r="D729" s="193"/>
      <c r="E729" s="193"/>
      <c r="F729" s="194" t="s">
        <v>3046</v>
      </c>
      <c r="G729" s="193"/>
      <c r="H729" s="193"/>
      <c r="I729" s="193"/>
      <c r="J729" s="193"/>
      <c r="K729" s="193"/>
      <c r="L729" s="193"/>
      <c r="M729" s="193"/>
      <c r="N729" s="193"/>
      <c r="O729" s="193"/>
      <c r="P729" s="193"/>
      <c r="Q729" s="193"/>
      <c r="R729" s="193"/>
      <c r="S729" s="193"/>
      <c r="T729" s="193"/>
      <c r="U729" s="193"/>
      <c r="V729" s="193"/>
      <c r="W729" s="193"/>
      <c r="X729" s="193"/>
      <c r="Y729" s="193"/>
      <c r="Z729" s="193"/>
      <c r="AA729" s="193"/>
      <c r="AB729" s="193"/>
      <c r="AC729" s="193"/>
      <c r="AD729" s="193"/>
      <c r="AE729" s="193"/>
    </row>
    <row r="730" ht="14.25" customHeight="1">
      <c r="A730" s="191" t="s">
        <v>3047</v>
      </c>
      <c r="B730" s="192" t="s">
        <v>3048</v>
      </c>
      <c r="C730" s="191" t="s">
        <v>3049</v>
      </c>
      <c r="D730" s="193"/>
      <c r="E730" s="193"/>
      <c r="F730" s="194" t="s">
        <v>3050</v>
      </c>
      <c r="G730" s="193"/>
      <c r="H730" s="193"/>
      <c r="I730" s="193"/>
      <c r="J730" s="193"/>
      <c r="K730" s="193"/>
      <c r="L730" s="193"/>
      <c r="M730" s="193"/>
      <c r="N730" s="193"/>
      <c r="O730" s="193"/>
      <c r="P730" s="193"/>
      <c r="Q730" s="193"/>
      <c r="R730" s="193"/>
      <c r="S730" s="193"/>
      <c r="T730" s="193"/>
      <c r="U730" s="193"/>
      <c r="V730" s="193"/>
      <c r="W730" s="193"/>
      <c r="X730" s="193"/>
      <c r="Y730" s="193"/>
      <c r="Z730" s="193"/>
      <c r="AA730" s="193"/>
      <c r="AB730" s="193"/>
      <c r="AC730" s="193"/>
      <c r="AD730" s="193"/>
      <c r="AE730" s="193"/>
    </row>
    <row r="731" ht="14.25" customHeight="1">
      <c r="A731" s="191" t="s">
        <v>3051</v>
      </c>
      <c r="B731" s="192" t="s">
        <v>3052</v>
      </c>
      <c r="C731" s="191" t="s">
        <v>3053</v>
      </c>
      <c r="D731" s="193"/>
      <c r="E731" s="193"/>
      <c r="F731" s="194" t="s">
        <v>3054</v>
      </c>
      <c r="G731" s="193"/>
      <c r="H731" s="193"/>
      <c r="I731" s="193"/>
      <c r="J731" s="193"/>
      <c r="K731" s="193"/>
      <c r="L731" s="193"/>
      <c r="M731" s="193"/>
      <c r="N731" s="193"/>
      <c r="O731" s="193"/>
      <c r="P731" s="193"/>
      <c r="Q731" s="193"/>
      <c r="R731" s="193"/>
      <c r="S731" s="193"/>
      <c r="T731" s="193"/>
      <c r="U731" s="193"/>
      <c r="V731" s="193"/>
      <c r="W731" s="193"/>
      <c r="X731" s="193"/>
      <c r="Y731" s="193"/>
      <c r="Z731" s="193"/>
      <c r="AA731" s="193"/>
      <c r="AB731" s="193"/>
      <c r="AC731" s="193"/>
      <c r="AD731" s="193"/>
      <c r="AE731" s="193"/>
    </row>
    <row r="732" ht="14.25" customHeight="1">
      <c r="A732" s="191" t="s">
        <v>3055</v>
      </c>
      <c r="B732" s="192" t="s">
        <v>3056</v>
      </c>
      <c r="C732" s="191" t="s">
        <v>3057</v>
      </c>
      <c r="D732" s="193"/>
      <c r="E732" s="193"/>
      <c r="F732" s="194" t="s">
        <v>3058</v>
      </c>
      <c r="G732" s="193"/>
      <c r="H732" s="193"/>
      <c r="I732" s="193"/>
      <c r="J732" s="193"/>
      <c r="K732" s="193"/>
      <c r="L732" s="193"/>
      <c r="M732" s="193"/>
      <c r="N732" s="193"/>
      <c r="O732" s="193"/>
      <c r="P732" s="193"/>
      <c r="Q732" s="193"/>
      <c r="R732" s="193"/>
      <c r="S732" s="193"/>
      <c r="T732" s="193"/>
      <c r="U732" s="193"/>
      <c r="V732" s="193"/>
      <c r="W732" s="193"/>
      <c r="X732" s="193"/>
      <c r="Y732" s="193"/>
      <c r="Z732" s="193"/>
      <c r="AA732" s="193"/>
      <c r="AB732" s="193"/>
      <c r="AC732" s="193"/>
      <c r="AD732" s="193"/>
      <c r="AE732" s="193"/>
    </row>
    <row r="733" ht="14.25" customHeight="1">
      <c r="A733" s="191" t="s">
        <v>3059</v>
      </c>
      <c r="B733" s="192" t="s">
        <v>3060</v>
      </c>
      <c r="C733" s="191" t="s">
        <v>3061</v>
      </c>
      <c r="D733" s="193"/>
      <c r="E733" s="193"/>
      <c r="F733" s="194" t="s">
        <v>3062</v>
      </c>
      <c r="G733" s="193"/>
      <c r="H733" s="193"/>
      <c r="I733" s="193"/>
      <c r="J733" s="193"/>
      <c r="K733" s="193"/>
      <c r="L733" s="193"/>
      <c r="M733" s="193"/>
      <c r="N733" s="193"/>
      <c r="O733" s="193"/>
      <c r="P733" s="193"/>
      <c r="Q733" s="193"/>
      <c r="R733" s="193"/>
      <c r="S733" s="193"/>
      <c r="T733" s="193"/>
      <c r="U733" s="193"/>
      <c r="V733" s="193"/>
      <c r="W733" s="193"/>
      <c r="X733" s="193"/>
      <c r="Y733" s="193"/>
      <c r="Z733" s="193"/>
      <c r="AA733" s="193"/>
      <c r="AB733" s="193"/>
      <c r="AC733" s="193"/>
      <c r="AD733" s="193"/>
      <c r="AE733" s="193"/>
    </row>
    <row r="734" ht="14.25" customHeight="1">
      <c r="A734" s="191" t="s">
        <v>3063</v>
      </c>
      <c r="B734" s="192" t="s">
        <v>3064</v>
      </c>
      <c r="C734" s="191" t="s">
        <v>3065</v>
      </c>
      <c r="D734" s="193"/>
      <c r="E734" s="193"/>
      <c r="F734" s="194" t="s">
        <v>3066</v>
      </c>
      <c r="G734" s="193"/>
      <c r="H734" s="193"/>
      <c r="I734" s="193"/>
      <c r="J734" s="193"/>
      <c r="K734" s="193"/>
      <c r="L734" s="193"/>
      <c r="M734" s="193"/>
      <c r="N734" s="193"/>
      <c r="O734" s="193"/>
      <c r="P734" s="193"/>
      <c r="Q734" s="193"/>
      <c r="R734" s="193"/>
      <c r="S734" s="193"/>
      <c r="T734" s="193"/>
      <c r="U734" s="193"/>
      <c r="V734" s="193"/>
      <c r="W734" s="193"/>
      <c r="X734" s="193"/>
      <c r="Y734" s="193"/>
      <c r="Z734" s="193"/>
      <c r="AA734" s="193"/>
      <c r="AB734" s="193"/>
      <c r="AC734" s="193"/>
      <c r="AD734" s="193"/>
      <c r="AE734" s="193"/>
    </row>
    <row r="735" ht="14.25" customHeight="1">
      <c r="A735" s="191" t="s">
        <v>3067</v>
      </c>
      <c r="B735" s="192" t="s">
        <v>3068</v>
      </c>
      <c r="C735" s="191" t="s">
        <v>3069</v>
      </c>
      <c r="D735" s="193"/>
      <c r="E735" s="193"/>
      <c r="F735" s="194" t="s">
        <v>3070</v>
      </c>
      <c r="G735" s="193"/>
      <c r="H735" s="193"/>
      <c r="I735" s="193"/>
      <c r="J735" s="193"/>
      <c r="K735" s="193"/>
      <c r="L735" s="193"/>
      <c r="M735" s="193"/>
      <c r="N735" s="193"/>
      <c r="O735" s="193"/>
      <c r="P735" s="193"/>
      <c r="Q735" s="193"/>
      <c r="R735" s="193"/>
      <c r="S735" s="193"/>
      <c r="T735" s="193"/>
      <c r="U735" s="193"/>
      <c r="V735" s="193"/>
      <c r="W735" s="193"/>
      <c r="X735" s="193"/>
      <c r="Y735" s="193"/>
      <c r="Z735" s="193"/>
      <c r="AA735" s="193"/>
      <c r="AB735" s="193"/>
      <c r="AC735" s="193"/>
      <c r="AD735" s="193"/>
      <c r="AE735" s="193"/>
    </row>
    <row r="736" ht="14.25" customHeight="1">
      <c r="A736" s="191" t="s">
        <v>3071</v>
      </c>
      <c r="B736" s="192" t="s">
        <v>3072</v>
      </c>
      <c r="C736" s="191" t="s">
        <v>3073</v>
      </c>
      <c r="D736" s="193"/>
      <c r="E736" s="193"/>
      <c r="F736" s="194" t="s">
        <v>3074</v>
      </c>
      <c r="G736" s="193"/>
      <c r="H736" s="193"/>
      <c r="I736" s="193"/>
      <c r="J736" s="193"/>
      <c r="K736" s="193"/>
      <c r="L736" s="193"/>
      <c r="M736" s="193"/>
      <c r="N736" s="193"/>
      <c r="O736" s="193"/>
      <c r="P736" s="193"/>
      <c r="Q736" s="193"/>
      <c r="R736" s="193"/>
      <c r="S736" s="193"/>
      <c r="T736" s="193"/>
      <c r="U736" s="193"/>
      <c r="V736" s="193"/>
      <c r="W736" s="193"/>
      <c r="X736" s="193"/>
      <c r="Y736" s="193"/>
      <c r="Z736" s="193"/>
      <c r="AA736" s="193"/>
      <c r="AB736" s="193"/>
      <c r="AC736" s="193"/>
      <c r="AD736" s="193"/>
      <c r="AE736" s="193"/>
    </row>
    <row r="737" ht="14.25" customHeight="1">
      <c r="A737" s="191" t="s">
        <v>3075</v>
      </c>
      <c r="B737" s="192" t="s">
        <v>3076</v>
      </c>
      <c r="C737" s="191" t="s">
        <v>3077</v>
      </c>
      <c r="D737" s="193"/>
      <c r="E737" s="193"/>
      <c r="F737" s="194" t="s">
        <v>3078</v>
      </c>
      <c r="G737" s="193"/>
      <c r="H737" s="193"/>
      <c r="I737" s="193"/>
      <c r="J737" s="193"/>
      <c r="K737" s="193"/>
      <c r="L737" s="193"/>
      <c r="M737" s="193"/>
      <c r="N737" s="193"/>
      <c r="O737" s="193"/>
      <c r="P737" s="193"/>
      <c r="Q737" s="193"/>
      <c r="R737" s="193"/>
      <c r="S737" s="193"/>
      <c r="T737" s="193"/>
      <c r="U737" s="193"/>
      <c r="V737" s="193"/>
      <c r="W737" s="193"/>
      <c r="X737" s="193"/>
      <c r="Y737" s="193"/>
      <c r="Z737" s="193"/>
      <c r="AA737" s="193"/>
      <c r="AB737" s="193"/>
      <c r="AC737" s="193"/>
      <c r="AD737" s="193"/>
      <c r="AE737" s="193"/>
    </row>
    <row r="738" ht="14.25" customHeight="1">
      <c r="A738" s="191" t="s">
        <v>3079</v>
      </c>
      <c r="B738" s="192" t="s">
        <v>3080</v>
      </c>
      <c r="C738" s="191" t="s">
        <v>3081</v>
      </c>
      <c r="D738" s="193"/>
      <c r="E738" s="193"/>
      <c r="F738" s="195"/>
      <c r="G738" s="193"/>
      <c r="H738" s="193"/>
      <c r="I738" s="193"/>
      <c r="J738" s="193"/>
      <c r="K738" s="193"/>
      <c r="L738" s="193"/>
      <c r="M738" s="193"/>
      <c r="N738" s="193"/>
      <c r="O738" s="193"/>
      <c r="P738" s="193"/>
      <c r="Q738" s="193"/>
      <c r="R738" s="193"/>
      <c r="S738" s="193"/>
      <c r="T738" s="193"/>
      <c r="U738" s="193"/>
      <c r="V738" s="193"/>
      <c r="W738" s="193"/>
      <c r="X738" s="193"/>
      <c r="Y738" s="193"/>
      <c r="Z738" s="193"/>
      <c r="AA738" s="193"/>
      <c r="AB738" s="193"/>
      <c r="AC738" s="193"/>
      <c r="AD738" s="193"/>
      <c r="AE738" s="193"/>
    </row>
    <row r="739" ht="14.25" customHeight="1">
      <c r="A739" s="191" t="s">
        <v>3082</v>
      </c>
      <c r="B739" s="192" t="s">
        <v>3083</v>
      </c>
      <c r="C739" s="191" t="s">
        <v>3084</v>
      </c>
      <c r="D739" s="193"/>
      <c r="E739" s="193"/>
      <c r="F739" s="195"/>
      <c r="G739" s="193"/>
      <c r="H739" s="193"/>
      <c r="I739" s="193"/>
      <c r="J739" s="193"/>
      <c r="K739" s="193"/>
      <c r="L739" s="193"/>
      <c r="M739" s="193"/>
      <c r="N739" s="193"/>
      <c r="O739" s="193"/>
      <c r="P739" s="193"/>
      <c r="Q739" s="193"/>
      <c r="R739" s="193"/>
      <c r="S739" s="193"/>
      <c r="T739" s="193"/>
      <c r="U739" s="193"/>
      <c r="V739" s="193"/>
      <c r="W739" s="193"/>
      <c r="X739" s="193"/>
      <c r="Y739" s="193"/>
      <c r="Z739" s="193"/>
      <c r="AA739" s="193"/>
      <c r="AB739" s="193"/>
      <c r="AC739" s="193"/>
      <c r="AD739" s="193"/>
      <c r="AE739" s="193"/>
    </row>
    <row r="740" ht="14.25" customHeight="1">
      <c r="A740" s="191" t="s">
        <v>3085</v>
      </c>
      <c r="B740" s="192" t="s">
        <v>3086</v>
      </c>
      <c r="C740" s="191" t="s">
        <v>3087</v>
      </c>
      <c r="D740" s="193"/>
      <c r="E740" s="193"/>
      <c r="F740" s="195"/>
      <c r="G740" s="193"/>
      <c r="H740" s="193"/>
      <c r="I740" s="193"/>
      <c r="J740" s="193"/>
      <c r="K740" s="193"/>
      <c r="L740" s="193"/>
      <c r="M740" s="193"/>
      <c r="N740" s="193"/>
      <c r="O740" s="193"/>
      <c r="P740" s="193"/>
      <c r="Q740" s="193"/>
      <c r="R740" s="193"/>
      <c r="S740" s="193"/>
      <c r="T740" s="193"/>
      <c r="U740" s="193"/>
      <c r="V740" s="193"/>
      <c r="W740" s="193"/>
      <c r="X740" s="193"/>
      <c r="Y740" s="193"/>
      <c r="Z740" s="193"/>
      <c r="AA740" s="193"/>
      <c r="AB740" s="193"/>
      <c r="AC740" s="193"/>
      <c r="AD740" s="193"/>
      <c r="AE740" s="193"/>
    </row>
    <row r="741" ht="14.25" customHeight="1">
      <c r="A741" s="191" t="s">
        <v>3088</v>
      </c>
      <c r="B741" s="192" t="s">
        <v>3089</v>
      </c>
      <c r="C741" s="191" t="s">
        <v>3090</v>
      </c>
      <c r="D741" s="193"/>
      <c r="E741" s="193"/>
      <c r="F741" s="195"/>
      <c r="G741" s="193"/>
      <c r="H741" s="193"/>
      <c r="I741" s="193"/>
      <c r="J741" s="193"/>
      <c r="K741" s="193"/>
      <c r="L741" s="193"/>
      <c r="M741" s="193"/>
      <c r="N741" s="193"/>
      <c r="O741" s="193"/>
      <c r="P741" s="193"/>
      <c r="Q741" s="193"/>
      <c r="R741" s="193"/>
      <c r="S741" s="193"/>
      <c r="T741" s="193"/>
      <c r="U741" s="193"/>
      <c r="V741" s="193"/>
      <c r="W741" s="193"/>
      <c r="X741" s="193"/>
      <c r="Y741" s="193"/>
      <c r="Z741" s="193"/>
      <c r="AA741" s="193"/>
      <c r="AB741" s="193"/>
      <c r="AC741" s="193"/>
      <c r="AD741" s="193"/>
      <c r="AE741" s="193"/>
    </row>
    <row r="742" ht="14.25" customHeight="1">
      <c r="A742" s="191" t="s">
        <v>3091</v>
      </c>
      <c r="B742" s="192" t="s">
        <v>3092</v>
      </c>
      <c r="C742" s="191" t="s">
        <v>3093</v>
      </c>
      <c r="D742" s="193"/>
      <c r="E742" s="193"/>
      <c r="F742" s="195"/>
      <c r="G742" s="193"/>
      <c r="H742" s="193"/>
      <c r="I742" s="193"/>
      <c r="J742" s="193"/>
      <c r="K742" s="193"/>
      <c r="L742" s="193"/>
      <c r="M742" s="193"/>
      <c r="N742" s="193"/>
      <c r="O742" s="193"/>
      <c r="P742" s="193"/>
      <c r="Q742" s="193"/>
      <c r="R742" s="193"/>
      <c r="S742" s="193"/>
      <c r="T742" s="193"/>
      <c r="U742" s="193"/>
      <c r="V742" s="193"/>
      <c r="W742" s="193"/>
      <c r="X742" s="193"/>
      <c r="Y742" s="193"/>
      <c r="Z742" s="193"/>
      <c r="AA742" s="193"/>
      <c r="AB742" s="193"/>
      <c r="AC742" s="193"/>
      <c r="AD742" s="193"/>
      <c r="AE742" s="193"/>
    </row>
    <row r="743" ht="14.25" customHeight="1">
      <c r="A743" s="191" t="s">
        <v>3094</v>
      </c>
      <c r="B743" s="192" t="s">
        <v>3095</v>
      </c>
      <c r="C743" s="191" t="s">
        <v>3096</v>
      </c>
      <c r="D743" s="193"/>
      <c r="E743" s="193"/>
      <c r="F743" s="194"/>
      <c r="G743" s="193"/>
      <c r="H743" s="193"/>
      <c r="I743" s="193"/>
      <c r="J743" s="193"/>
      <c r="K743" s="193"/>
      <c r="L743" s="193"/>
      <c r="M743" s="193"/>
      <c r="N743" s="193"/>
      <c r="O743" s="193"/>
      <c r="P743" s="193"/>
      <c r="Q743" s="193"/>
      <c r="R743" s="193"/>
      <c r="S743" s="193"/>
      <c r="T743" s="193"/>
      <c r="U743" s="193"/>
      <c r="V743" s="193"/>
      <c r="W743" s="193"/>
      <c r="X743" s="193"/>
      <c r="Y743" s="193"/>
      <c r="Z743" s="193"/>
      <c r="AA743" s="193"/>
      <c r="AB743" s="193"/>
      <c r="AC743" s="193"/>
      <c r="AD743" s="193"/>
      <c r="AE743" s="193"/>
    </row>
    <row r="744" ht="14.25" customHeight="1">
      <c r="A744" s="191" t="s">
        <v>3097</v>
      </c>
      <c r="B744" s="192" t="s">
        <v>3098</v>
      </c>
      <c r="C744" s="191" t="s">
        <v>3099</v>
      </c>
      <c r="D744" s="193"/>
      <c r="E744" s="193"/>
      <c r="F744" s="194"/>
      <c r="G744" s="193"/>
      <c r="H744" s="193"/>
      <c r="I744" s="193"/>
      <c r="J744" s="193"/>
      <c r="K744" s="193"/>
      <c r="L744" s="193"/>
      <c r="M744" s="193"/>
      <c r="N744" s="193"/>
      <c r="O744" s="193"/>
      <c r="P744" s="193"/>
      <c r="Q744" s="193"/>
      <c r="R744" s="193"/>
      <c r="S744" s="193"/>
      <c r="T744" s="193"/>
      <c r="U744" s="193"/>
      <c r="V744" s="193"/>
      <c r="W744" s="193"/>
      <c r="X744" s="193"/>
      <c r="Y744" s="193"/>
      <c r="Z744" s="193"/>
      <c r="AA744" s="193"/>
      <c r="AB744" s="193"/>
      <c r="AC744" s="193"/>
      <c r="AD744" s="193"/>
      <c r="AE744" s="193"/>
    </row>
    <row r="745" ht="14.25" customHeight="1">
      <c r="A745" s="191" t="s">
        <v>3100</v>
      </c>
      <c r="B745" s="192" t="s">
        <v>3101</v>
      </c>
      <c r="C745" s="191" t="s">
        <v>3102</v>
      </c>
      <c r="D745" s="193"/>
      <c r="E745" s="193"/>
      <c r="F745" s="194" t="s">
        <v>3103</v>
      </c>
      <c r="G745" s="193"/>
      <c r="H745" s="193"/>
      <c r="I745" s="193"/>
      <c r="J745" s="193"/>
      <c r="K745" s="193"/>
      <c r="L745" s="193"/>
      <c r="M745" s="193"/>
      <c r="N745" s="193"/>
      <c r="O745" s="193"/>
      <c r="P745" s="193"/>
      <c r="Q745" s="193"/>
      <c r="R745" s="193"/>
      <c r="S745" s="193"/>
      <c r="T745" s="193"/>
      <c r="U745" s="193"/>
      <c r="V745" s="193"/>
      <c r="W745" s="193"/>
      <c r="X745" s="193"/>
      <c r="Y745" s="193"/>
      <c r="Z745" s="193"/>
      <c r="AA745" s="193"/>
      <c r="AB745" s="193"/>
      <c r="AC745" s="193"/>
      <c r="AD745" s="193"/>
      <c r="AE745" s="193"/>
    </row>
    <row r="746" ht="14.25" customHeight="1">
      <c r="A746" s="191" t="s">
        <v>3104</v>
      </c>
      <c r="B746" s="192" t="s">
        <v>3105</v>
      </c>
      <c r="C746" s="191" t="s">
        <v>3106</v>
      </c>
      <c r="D746" s="193"/>
      <c r="E746" s="193"/>
      <c r="F746" s="194" t="s">
        <v>3107</v>
      </c>
      <c r="G746" s="193"/>
      <c r="H746" s="193"/>
      <c r="I746" s="193"/>
      <c r="J746" s="193"/>
      <c r="K746" s="193"/>
      <c r="L746" s="193"/>
      <c r="M746" s="193"/>
      <c r="N746" s="193"/>
      <c r="O746" s="193"/>
      <c r="P746" s="193"/>
      <c r="Q746" s="193"/>
      <c r="R746" s="193"/>
      <c r="S746" s="193"/>
      <c r="T746" s="193"/>
      <c r="U746" s="193"/>
      <c r="V746" s="193"/>
      <c r="W746" s="193"/>
      <c r="X746" s="193"/>
      <c r="Y746" s="193"/>
      <c r="Z746" s="193"/>
      <c r="AA746" s="193"/>
      <c r="AB746" s="193"/>
      <c r="AC746" s="193"/>
      <c r="AD746" s="193"/>
      <c r="AE746" s="193"/>
    </row>
    <row r="747" ht="14.25" customHeight="1">
      <c r="A747" s="191" t="s">
        <v>3108</v>
      </c>
      <c r="B747" s="192" t="s">
        <v>3109</v>
      </c>
      <c r="C747" s="191" t="s">
        <v>3110</v>
      </c>
      <c r="D747" s="193"/>
      <c r="E747" s="193"/>
      <c r="F747" s="194" t="s">
        <v>3111</v>
      </c>
      <c r="G747" s="193"/>
      <c r="H747" s="193"/>
      <c r="I747" s="193"/>
      <c r="J747" s="193"/>
      <c r="K747" s="193"/>
      <c r="L747" s="193"/>
      <c r="M747" s="193"/>
      <c r="N747" s="193"/>
      <c r="O747" s="193"/>
      <c r="P747" s="193"/>
      <c r="Q747" s="193"/>
      <c r="R747" s="193"/>
      <c r="S747" s="193"/>
      <c r="T747" s="193"/>
      <c r="U747" s="193"/>
      <c r="V747" s="193"/>
      <c r="W747" s="193"/>
      <c r="X747" s="193"/>
      <c r="Y747" s="193"/>
      <c r="Z747" s="193"/>
      <c r="AA747" s="193"/>
      <c r="AB747" s="193"/>
      <c r="AC747" s="193"/>
      <c r="AD747" s="193"/>
      <c r="AE747" s="193"/>
    </row>
    <row r="748" ht="14.25" customHeight="1">
      <c r="A748" s="191" t="s">
        <v>3112</v>
      </c>
      <c r="B748" s="192" t="s">
        <v>3113</v>
      </c>
      <c r="C748" s="191" t="s">
        <v>3114</v>
      </c>
      <c r="D748" s="193"/>
      <c r="E748" s="193"/>
      <c r="F748" s="194" t="s">
        <v>3115</v>
      </c>
      <c r="G748" s="193"/>
      <c r="H748" s="193"/>
      <c r="I748" s="193"/>
      <c r="J748" s="193"/>
      <c r="K748" s="193"/>
      <c r="L748" s="193"/>
      <c r="M748" s="193"/>
      <c r="N748" s="193"/>
      <c r="O748" s="193"/>
      <c r="P748" s="193"/>
      <c r="Q748" s="193"/>
      <c r="R748" s="193"/>
      <c r="S748" s="193"/>
      <c r="T748" s="193"/>
      <c r="U748" s="193"/>
      <c r="V748" s="193"/>
      <c r="W748" s="193"/>
      <c r="X748" s="193"/>
      <c r="Y748" s="193"/>
      <c r="Z748" s="193"/>
      <c r="AA748" s="193"/>
      <c r="AB748" s="193"/>
      <c r="AC748" s="193"/>
      <c r="AD748" s="193"/>
      <c r="AE748" s="193"/>
    </row>
    <row r="749" ht="14.25" customHeight="1">
      <c r="A749" s="191" t="s">
        <v>3116</v>
      </c>
      <c r="B749" s="192" t="s">
        <v>3117</v>
      </c>
      <c r="C749" s="191" t="s">
        <v>3118</v>
      </c>
      <c r="D749" s="193"/>
      <c r="E749" s="193"/>
      <c r="F749" s="194" t="s">
        <v>3119</v>
      </c>
      <c r="G749" s="193"/>
      <c r="H749" s="193"/>
      <c r="I749" s="193"/>
      <c r="J749" s="193"/>
      <c r="K749" s="193"/>
      <c r="L749" s="193"/>
      <c r="M749" s="193"/>
      <c r="N749" s="193"/>
      <c r="O749" s="193"/>
      <c r="P749" s="193"/>
      <c r="Q749" s="193"/>
      <c r="R749" s="193"/>
      <c r="S749" s="193"/>
      <c r="T749" s="193"/>
      <c r="U749" s="193"/>
      <c r="V749" s="193"/>
      <c r="W749" s="193"/>
      <c r="X749" s="193"/>
      <c r="Y749" s="193"/>
      <c r="Z749" s="193"/>
      <c r="AA749" s="193"/>
      <c r="AB749" s="193"/>
      <c r="AC749" s="193"/>
      <c r="AD749" s="193"/>
      <c r="AE749" s="193"/>
    </row>
    <row r="750" ht="14.25" customHeight="1">
      <c r="A750" s="191" t="s">
        <v>3120</v>
      </c>
      <c r="B750" s="192" t="s">
        <v>3121</v>
      </c>
      <c r="C750" s="191" t="s">
        <v>3122</v>
      </c>
      <c r="D750" s="193"/>
      <c r="E750" s="193"/>
      <c r="F750" s="194" t="s">
        <v>3123</v>
      </c>
      <c r="G750" s="193"/>
      <c r="H750" s="193"/>
      <c r="I750" s="193"/>
      <c r="J750" s="193"/>
      <c r="K750" s="193"/>
      <c r="L750" s="193"/>
      <c r="M750" s="193"/>
      <c r="N750" s="193"/>
      <c r="O750" s="193"/>
      <c r="P750" s="193"/>
      <c r="Q750" s="193"/>
      <c r="R750" s="193"/>
      <c r="S750" s="193"/>
      <c r="T750" s="193"/>
      <c r="U750" s="193"/>
      <c r="V750" s="193"/>
      <c r="W750" s="193"/>
      <c r="X750" s="193"/>
      <c r="Y750" s="193"/>
      <c r="Z750" s="193"/>
      <c r="AA750" s="193"/>
      <c r="AB750" s="193"/>
      <c r="AC750" s="193"/>
      <c r="AD750" s="193"/>
      <c r="AE750" s="193"/>
    </row>
    <row r="751" ht="14.25" customHeight="1">
      <c r="A751" s="191" t="s">
        <v>3124</v>
      </c>
      <c r="B751" s="192" t="s">
        <v>3125</v>
      </c>
      <c r="C751" s="191" t="s">
        <v>3126</v>
      </c>
      <c r="D751" s="193"/>
      <c r="E751" s="193"/>
      <c r="F751" s="194" t="s">
        <v>3127</v>
      </c>
      <c r="G751" s="193"/>
      <c r="H751" s="193"/>
      <c r="I751" s="193"/>
      <c r="J751" s="193"/>
      <c r="K751" s="193"/>
      <c r="L751" s="193"/>
      <c r="M751" s="193"/>
      <c r="N751" s="193"/>
      <c r="O751" s="193"/>
      <c r="P751" s="193"/>
      <c r="Q751" s="193"/>
      <c r="R751" s="193"/>
      <c r="S751" s="193"/>
      <c r="T751" s="193"/>
      <c r="U751" s="193"/>
      <c r="V751" s="193"/>
      <c r="W751" s="193"/>
      <c r="X751" s="193"/>
      <c r="Y751" s="193"/>
      <c r="Z751" s="193"/>
      <c r="AA751" s="193"/>
      <c r="AB751" s="193"/>
      <c r="AC751" s="193"/>
      <c r="AD751" s="193"/>
      <c r="AE751" s="193"/>
    </row>
    <row r="752" ht="14.25" customHeight="1">
      <c r="A752" s="191" t="s">
        <v>3128</v>
      </c>
      <c r="B752" s="192" t="s">
        <v>3129</v>
      </c>
      <c r="C752" s="191" t="s">
        <v>47</v>
      </c>
      <c r="D752" s="193"/>
      <c r="E752" s="193"/>
      <c r="F752" s="194" t="s">
        <v>3130</v>
      </c>
      <c r="G752" s="193"/>
      <c r="H752" s="193"/>
      <c r="I752" s="193"/>
      <c r="J752" s="193"/>
      <c r="K752" s="193"/>
      <c r="L752" s="193"/>
      <c r="M752" s="193"/>
      <c r="N752" s="193"/>
      <c r="O752" s="193"/>
      <c r="P752" s="193"/>
      <c r="Q752" s="193"/>
      <c r="R752" s="193"/>
      <c r="S752" s="193"/>
      <c r="T752" s="193"/>
      <c r="U752" s="193"/>
      <c r="V752" s="193"/>
      <c r="W752" s="193"/>
      <c r="X752" s="193"/>
      <c r="Y752" s="193"/>
      <c r="Z752" s="193"/>
      <c r="AA752" s="193"/>
      <c r="AB752" s="193"/>
      <c r="AC752" s="193"/>
      <c r="AD752" s="193"/>
      <c r="AE752" s="193"/>
    </row>
    <row r="753" ht="14.25" customHeight="1">
      <c r="A753" s="191" t="s">
        <v>3131</v>
      </c>
      <c r="B753" s="192" t="s">
        <v>3132</v>
      </c>
      <c r="C753" s="191" t="s">
        <v>3133</v>
      </c>
      <c r="D753" s="193"/>
      <c r="E753" s="193"/>
      <c r="F753" s="194"/>
      <c r="G753" s="193"/>
      <c r="H753" s="193"/>
      <c r="I753" s="193"/>
      <c r="J753" s="193"/>
      <c r="K753" s="193"/>
      <c r="L753" s="193"/>
      <c r="M753" s="193"/>
      <c r="N753" s="193"/>
      <c r="O753" s="193"/>
      <c r="P753" s="193"/>
      <c r="Q753" s="193"/>
      <c r="R753" s="193"/>
      <c r="S753" s="193"/>
      <c r="T753" s="193"/>
      <c r="U753" s="193"/>
      <c r="V753" s="193"/>
      <c r="W753" s="193"/>
      <c r="X753" s="193"/>
      <c r="Y753" s="193"/>
      <c r="Z753" s="193"/>
      <c r="AA753" s="193"/>
      <c r="AB753" s="193"/>
      <c r="AC753" s="193"/>
      <c r="AD753" s="193"/>
      <c r="AE753" s="193"/>
    </row>
    <row r="754" ht="14.25" customHeight="1">
      <c r="A754" s="191" t="s">
        <v>3134</v>
      </c>
      <c r="B754" s="192" t="s">
        <v>3135</v>
      </c>
      <c r="C754" s="191" t="s">
        <v>3136</v>
      </c>
      <c r="D754" s="193"/>
      <c r="E754" s="193"/>
      <c r="F754" s="194" t="s">
        <v>3137</v>
      </c>
      <c r="G754" s="193"/>
      <c r="H754" s="193"/>
      <c r="I754" s="193"/>
      <c r="J754" s="193"/>
      <c r="K754" s="193"/>
      <c r="L754" s="193"/>
      <c r="M754" s="193"/>
      <c r="N754" s="193"/>
      <c r="O754" s="193"/>
      <c r="P754" s="193"/>
      <c r="Q754" s="193"/>
      <c r="R754" s="193"/>
      <c r="S754" s="193"/>
      <c r="T754" s="193"/>
      <c r="U754" s="193"/>
      <c r="V754" s="193"/>
      <c r="W754" s="193"/>
      <c r="X754" s="193"/>
      <c r="Y754" s="193"/>
      <c r="Z754" s="193"/>
      <c r="AA754" s="193"/>
      <c r="AB754" s="193"/>
      <c r="AC754" s="193"/>
      <c r="AD754" s="193"/>
      <c r="AE754" s="193"/>
    </row>
    <row r="755" ht="14.25" customHeight="1">
      <c r="A755" s="191" t="s">
        <v>3138</v>
      </c>
      <c r="B755" s="192" t="s">
        <v>3139</v>
      </c>
      <c r="C755" s="191" t="s">
        <v>3140</v>
      </c>
      <c r="D755" s="193"/>
      <c r="E755" s="193"/>
      <c r="F755" s="194" t="s">
        <v>3141</v>
      </c>
      <c r="G755" s="193"/>
      <c r="H755" s="193"/>
      <c r="I755" s="193"/>
      <c r="J755" s="193"/>
      <c r="K755" s="193"/>
      <c r="L755" s="193"/>
      <c r="M755" s="193"/>
      <c r="N755" s="193"/>
      <c r="O755" s="193"/>
      <c r="P755" s="193"/>
      <c r="Q755" s="193"/>
      <c r="R755" s="193"/>
      <c r="S755" s="193"/>
      <c r="T755" s="193"/>
      <c r="U755" s="193"/>
      <c r="V755" s="193"/>
      <c r="W755" s="193"/>
      <c r="X755" s="193"/>
      <c r="Y755" s="193"/>
      <c r="Z755" s="193"/>
      <c r="AA755" s="193"/>
      <c r="AB755" s="193"/>
      <c r="AC755" s="193"/>
      <c r="AD755" s="193"/>
      <c r="AE755" s="193"/>
    </row>
    <row r="756" ht="14.25" customHeight="1">
      <c r="A756" s="191" t="s">
        <v>3142</v>
      </c>
      <c r="B756" s="192" t="s">
        <v>3143</v>
      </c>
      <c r="C756" s="191" t="s">
        <v>3144</v>
      </c>
      <c r="D756" s="193"/>
      <c r="E756" s="193"/>
      <c r="F756" s="194" t="s">
        <v>3145</v>
      </c>
      <c r="G756" s="193"/>
      <c r="H756" s="193"/>
      <c r="I756" s="193"/>
      <c r="J756" s="193"/>
      <c r="K756" s="193"/>
      <c r="L756" s="193"/>
      <c r="M756" s="193"/>
      <c r="N756" s="193"/>
      <c r="O756" s="193"/>
      <c r="P756" s="193"/>
      <c r="Q756" s="193"/>
      <c r="R756" s="193"/>
      <c r="S756" s="193"/>
      <c r="T756" s="193"/>
      <c r="U756" s="193"/>
      <c r="V756" s="193"/>
      <c r="W756" s="193"/>
      <c r="X756" s="193"/>
      <c r="Y756" s="193"/>
      <c r="Z756" s="193"/>
      <c r="AA756" s="193"/>
      <c r="AB756" s="193"/>
      <c r="AC756" s="193"/>
      <c r="AD756" s="193"/>
      <c r="AE756" s="193"/>
    </row>
    <row r="757" ht="14.25" customHeight="1">
      <c r="A757" s="191" t="s">
        <v>3146</v>
      </c>
      <c r="B757" s="192" t="s">
        <v>3147</v>
      </c>
      <c r="C757" s="191" t="s">
        <v>3148</v>
      </c>
      <c r="D757" s="193"/>
      <c r="E757" s="193"/>
      <c r="F757" s="194" t="s">
        <v>3149</v>
      </c>
      <c r="G757" s="193"/>
      <c r="H757" s="193"/>
      <c r="I757" s="193"/>
      <c r="J757" s="193"/>
      <c r="K757" s="193"/>
      <c r="L757" s="193"/>
      <c r="M757" s="193"/>
      <c r="N757" s="193"/>
      <c r="O757" s="193"/>
      <c r="P757" s="193"/>
      <c r="Q757" s="193"/>
      <c r="R757" s="193"/>
      <c r="S757" s="193"/>
      <c r="T757" s="193"/>
      <c r="U757" s="193"/>
      <c r="V757" s="193"/>
      <c r="W757" s="193"/>
      <c r="X757" s="193"/>
      <c r="Y757" s="193"/>
      <c r="Z757" s="193"/>
      <c r="AA757" s="193"/>
      <c r="AB757" s="193"/>
      <c r="AC757" s="193"/>
      <c r="AD757" s="193"/>
      <c r="AE757" s="193"/>
    </row>
    <row r="758" ht="14.25" customHeight="1">
      <c r="A758" s="191" t="s">
        <v>3150</v>
      </c>
      <c r="B758" s="192" t="s">
        <v>3151</v>
      </c>
      <c r="C758" s="191" t="s">
        <v>3152</v>
      </c>
      <c r="D758" s="193"/>
      <c r="E758" s="193"/>
      <c r="F758" s="194" t="s">
        <v>3153</v>
      </c>
      <c r="G758" s="193"/>
      <c r="H758" s="193"/>
      <c r="I758" s="193"/>
      <c r="J758" s="193"/>
      <c r="K758" s="193"/>
      <c r="L758" s="193"/>
      <c r="M758" s="193"/>
      <c r="N758" s="193"/>
      <c r="O758" s="193"/>
      <c r="P758" s="193"/>
      <c r="Q758" s="193"/>
      <c r="R758" s="193"/>
      <c r="S758" s="193"/>
      <c r="T758" s="193"/>
      <c r="U758" s="193"/>
      <c r="V758" s="193"/>
      <c r="W758" s="193"/>
      <c r="X758" s="193"/>
      <c r="Y758" s="193"/>
      <c r="Z758" s="193"/>
      <c r="AA758" s="193"/>
      <c r="AB758" s="193"/>
      <c r="AC758" s="193"/>
      <c r="AD758" s="193"/>
      <c r="AE758" s="193"/>
    </row>
    <row r="759" ht="14.25" customHeight="1">
      <c r="A759" s="191" t="s">
        <v>3154</v>
      </c>
      <c r="B759" s="192" t="s">
        <v>3155</v>
      </c>
      <c r="C759" s="191" t="s">
        <v>3156</v>
      </c>
      <c r="D759" s="193"/>
      <c r="E759" s="193"/>
      <c r="F759" s="194" t="s">
        <v>3157</v>
      </c>
      <c r="G759" s="193"/>
      <c r="H759" s="193"/>
      <c r="I759" s="193"/>
      <c r="J759" s="193"/>
      <c r="K759" s="193"/>
      <c r="L759" s="193"/>
      <c r="M759" s="193"/>
      <c r="N759" s="193"/>
      <c r="O759" s="193"/>
      <c r="P759" s="193"/>
      <c r="Q759" s="193"/>
      <c r="R759" s="193"/>
      <c r="S759" s="193"/>
      <c r="T759" s="193"/>
      <c r="U759" s="193"/>
      <c r="V759" s="193"/>
      <c r="W759" s="193"/>
      <c r="X759" s="193"/>
      <c r="Y759" s="193"/>
      <c r="Z759" s="193"/>
      <c r="AA759" s="193"/>
      <c r="AB759" s="193"/>
      <c r="AC759" s="193"/>
      <c r="AD759" s="193"/>
      <c r="AE759" s="193"/>
    </row>
    <row r="760" ht="14.25" customHeight="1">
      <c r="A760" s="191" t="s">
        <v>3158</v>
      </c>
      <c r="B760" s="192" t="s">
        <v>3159</v>
      </c>
      <c r="C760" s="191" t="s">
        <v>3160</v>
      </c>
      <c r="D760" s="193"/>
      <c r="E760" s="193"/>
      <c r="F760" s="194" t="s">
        <v>3161</v>
      </c>
      <c r="G760" s="193"/>
      <c r="H760" s="193"/>
      <c r="I760" s="193"/>
      <c r="J760" s="193"/>
      <c r="K760" s="193"/>
      <c r="L760" s="193"/>
      <c r="M760" s="193"/>
      <c r="N760" s="193"/>
      <c r="O760" s="193"/>
      <c r="P760" s="193"/>
      <c r="Q760" s="193"/>
      <c r="R760" s="193"/>
      <c r="S760" s="193"/>
      <c r="T760" s="193"/>
      <c r="U760" s="193"/>
      <c r="V760" s="193"/>
      <c r="W760" s="193"/>
      <c r="X760" s="193"/>
      <c r="Y760" s="193"/>
      <c r="Z760" s="193"/>
      <c r="AA760" s="193"/>
      <c r="AB760" s="193"/>
      <c r="AC760" s="193"/>
      <c r="AD760" s="193"/>
      <c r="AE760" s="193"/>
    </row>
    <row r="761" ht="14.25" customHeight="1">
      <c r="A761" s="191" t="s">
        <v>3162</v>
      </c>
      <c r="B761" s="192" t="s">
        <v>3163</v>
      </c>
      <c r="C761" s="191" t="s">
        <v>3164</v>
      </c>
      <c r="D761" s="193"/>
      <c r="E761" s="193"/>
      <c r="F761" s="194" t="s">
        <v>3165</v>
      </c>
      <c r="G761" s="193"/>
      <c r="H761" s="193"/>
      <c r="I761" s="193"/>
      <c r="J761" s="193"/>
      <c r="K761" s="193"/>
      <c r="L761" s="193"/>
      <c r="M761" s="193"/>
      <c r="N761" s="193"/>
      <c r="O761" s="193"/>
      <c r="P761" s="193"/>
      <c r="Q761" s="193"/>
      <c r="R761" s="193"/>
      <c r="S761" s="193"/>
      <c r="T761" s="193"/>
      <c r="U761" s="193"/>
      <c r="V761" s="193"/>
      <c r="W761" s="193"/>
      <c r="X761" s="193"/>
      <c r="Y761" s="193"/>
      <c r="Z761" s="193"/>
      <c r="AA761" s="193"/>
      <c r="AB761" s="193"/>
      <c r="AC761" s="193"/>
      <c r="AD761" s="193"/>
      <c r="AE761" s="193"/>
    </row>
    <row r="762" ht="14.25" customHeight="1">
      <c r="A762" s="191" t="s">
        <v>3166</v>
      </c>
      <c r="B762" s="192" t="s">
        <v>3167</v>
      </c>
      <c r="C762" s="191" t="s">
        <v>3168</v>
      </c>
      <c r="D762" s="193"/>
      <c r="E762" s="193"/>
      <c r="F762" s="194" t="s">
        <v>3169</v>
      </c>
      <c r="G762" s="193"/>
      <c r="H762" s="193"/>
      <c r="I762" s="193"/>
      <c r="J762" s="193"/>
      <c r="K762" s="193"/>
      <c r="L762" s="193"/>
      <c r="M762" s="193"/>
      <c r="N762" s="193"/>
      <c r="O762" s="193"/>
      <c r="P762" s="193"/>
      <c r="Q762" s="193"/>
      <c r="R762" s="193"/>
      <c r="S762" s="193"/>
      <c r="T762" s="193"/>
      <c r="U762" s="193"/>
      <c r="V762" s="193"/>
      <c r="W762" s="193"/>
      <c r="X762" s="193"/>
      <c r="Y762" s="193"/>
      <c r="Z762" s="193"/>
      <c r="AA762" s="193"/>
      <c r="AB762" s="193"/>
      <c r="AC762" s="193"/>
      <c r="AD762" s="193"/>
      <c r="AE762" s="193"/>
    </row>
    <row r="763" ht="14.25" customHeight="1">
      <c r="A763" s="191" t="s">
        <v>3170</v>
      </c>
      <c r="B763" s="192" t="s">
        <v>3171</v>
      </c>
      <c r="C763" s="191" t="s">
        <v>3172</v>
      </c>
      <c r="D763" s="193"/>
      <c r="E763" s="193"/>
      <c r="F763" s="194" t="s">
        <v>3173</v>
      </c>
      <c r="G763" s="193"/>
      <c r="H763" s="193"/>
      <c r="I763" s="193"/>
      <c r="J763" s="193"/>
      <c r="K763" s="193"/>
      <c r="L763" s="193"/>
      <c r="M763" s="193"/>
      <c r="N763" s="193"/>
      <c r="O763" s="193"/>
      <c r="P763" s="193"/>
      <c r="Q763" s="193"/>
      <c r="R763" s="193"/>
      <c r="S763" s="193"/>
      <c r="T763" s="193"/>
      <c r="U763" s="193"/>
      <c r="V763" s="193"/>
      <c r="W763" s="193"/>
      <c r="X763" s="193"/>
      <c r="Y763" s="193"/>
      <c r="Z763" s="193"/>
      <c r="AA763" s="193"/>
      <c r="AB763" s="193"/>
      <c r="AC763" s="193"/>
      <c r="AD763" s="193"/>
      <c r="AE763" s="193"/>
    </row>
    <row r="764" ht="14.25" customHeight="1">
      <c r="A764" s="191" t="s">
        <v>3174</v>
      </c>
      <c r="B764" s="192" t="s">
        <v>3175</v>
      </c>
      <c r="C764" s="191" t="s">
        <v>3176</v>
      </c>
      <c r="D764" s="193"/>
      <c r="E764" s="193"/>
      <c r="F764" s="194" t="s">
        <v>3177</v>
      </c>
      <c r="G764" s="193"/>
      <c r="H764" s="193"/>
      <c r="I764" s="193"/>
      <c r="J764" s="193"/>
      <c r="K764" s="193"/>
      <c r="L764" s="193"/>
      <c r="M764" s="193"/>
      <c r="N764" s="193"/>
      <c r="O764" s="193"/>
      <c r="P764" s="193"/>
      <c r="Q764" s="193"/>
      <c r="R764" s="193"/>
      <c r="S764" s="193"/>
      <c r="T764" s="193"/>
      <c r="U764" s="193"/>
      <c r="V764" s="193"/>
      <c r="W764" s="193"/>
      <c r="X764" s="193"/>
      <c r="Y764" s="193"/>
      <c r="Z764" s="193"/>
      <c r="AA764" s="193"/>
      <c r="AB764" s="193"/>
      <c r="AC764" s="193"/>
      <c r="AD764" s="193"/>
      <c r="AE764" s="193"/>
    </row>
    <row r="765" ht="14.25" customHeight="1">
      <c r="A765" s="191" t="s">
        <v>3178</v>
      </c>
      <c r="B765" s="192" t="s">
        <v>3179</v>
      </c>
      <c r="C765" s="191" t="s">
        <v>3180</v>
      </c>
      <c r="D765" s="193"/>
      <c r="E765" s="193"/>
      <c r="F765" s="194" t="s">
        <v>3181</v>
      </c>
      <c r="G765" s="193"/>
      <c r="H765" s="193"/>
      <c r="I765" s="193"/>
      <c r="J765" s="193"/>
      <c r="K765" s="193"/>
      <c r="L765" s="193"/>
      <c r="M765" s="193"/>
      <c r="N765" s="193"/>
      <c r="O765" s="193"/>
      <c r="P765" s="193"/>
      <c r="Q765" s="193"/>
      <c r="R765" s="193"/>
      <c r="S765" s="193"/>
      <c r="T765" s="193"/>
      <c r="U765" s="193"/>
      <c r="V765" s="193"/>
      <c r="W765" s="193"/>
      <c r="X765" s="193"/>
      <c r="Y765" s="193"/>
      <c r="Z765" s="193"/>
      <c r="AA765" s="193"/>
      <c r="AB765" s="193"/>
      <c r="AC765" s="193"/>
      <c r="AD765" s="193"/>
      <c r="AE765" s="193"/>
    </row>
    <row r="766" ht="14.25" customHeight="1">
      <c r="A766" s="191" t="s">
        <v>3182</v>
      </c>
      <c r="B766" s="192" t="s">
        <v>3183</v>
      </c>
      <c r="C766" s="191" t="s">
        <v>3184</v>
      </c>
      <c r="D766" s="193"/>
      <c r="E766" s="193"/>
      <c r="F766" s="194" t="s">
        <v>3185</v>
      </c>
      <c r="G766" s="193"/>
      <c r="H766" s="193"/>
      <c r="I766" s="193"/>
      <c r="J766" s="193"/>
      <c r="K766" s="193"/>
      <c r="L766" s="193"/>
      <c r="M766" s="193"/>
      <c r="N766" s="193"/>
      <c r="O766" s="193"/>
      <c r="P766" s="193"/>
      <c r="Q766" s="193"/>
      <c r="R766" s="193"/>
      <c r="S766" s="193"/>
      <c r="T766" s="193"/>
      <c r="U766" s="193"/>
      <c r="V766" s="193"/>
      <c r="W766" s="193"/>
      <c r="X766" s="193"/>
      <c r="Y766" s="193"/>
      <c r="Z766" s="193"/>
      <c r="AA766" s="193"/>
      <c r="AB766" s="193"/>
      <c r="AC766" s="193"/>
      <c r="AD766" s="193"/>
      <c r="AE766" s="193"/>
    </row>
    <row r="767" ht="14.25" customHeight="1">
      <c r="A767" s="191" t="s">
        <v>3186</v>
      </c>
      <c r="B767" s="192" t="s">
        <v>3187</v>
      </c>
      <c r="C767" s="191" t="s">
        <v>3188</v>
      </c>
      <c r="D767" s="193"/>
      <c r="E767" s="193"/>
      <c r="F767" s="194" t="s">
        <v>3189</v>
      </c>
      <c r="G767" s="193"/>
      <c r="H767" s="193"/>
      <c r="I767" s="193"/>
      <c r="J767" s="193"/>
      <c r="K767" s="193"/>
      <c r="L767" s="193"/>
      <c r="M767" s="193"/>
      <c r="N767" s="193"/>
      <c r="O767" s="193"/>
      <c r="P767" s="193"/>
      <c r="Q767" s="193"/>
      <c r="R767" s="193"/>
      <c r="S767" s="193"/>
      <c r="T767" s="193"/>
      <c r="U767" s="193"/>
      <c r="V767" s="193"/>
      <c r="W767" s="193"/>
      <c r="X767" s="193"/>
      <c r="Y767" s="193"/>
      <c r="Z767" s="193"/>
      <c r="AA767" s="193"/>
      <c r="AB767" s="193"/>
      <c r="AC767" s="193"/>
      <c r="AD767" s="193"/>
      <c r="AE767" s="193"/>
    </row>
    <row r="768" ht="14.25" customHeight="1">
      <c r="A768" s="191" t="s">
        <v>3190</v>
      </c>
      <c r="B768" s="192" t="s">
        <v>3191</v>
      </c>
      <c r="C768" s="191" t="s">
        <v>3192</v>
      </c>
      <c r="D768" s="193"/>
      <c r="E768" s="193"/>
      <c r="F768" s="194" t="s">
        <v>3193</v>
      </c>
      <c r="G768" s="193"/>
      <c r="H768" s="193"/>
      <c r="I768" s="193"/>
      <c r="J768" s="193"/>
      <c r="K768" s="193"/>
      <c r="L768" s="193"/>
      <c r="M768" s="193"/>
      <c r="N768" s="193"/>
      <c r="O768" s="193"/>
      <c r="P768" s="193"/>
      <c r="Q768" s="193"/>
      <c r="R768" s="193"/>
      <c r="S768" s="193"/>
      <c r="T768" s="193"/>
      <c r="U768" s="193"/>
      <c r="V768" s="193"/>
      <c r="W768" s="193"/>
      <c r="X768" s="193"/>
      <c r="Y768" s="193"/>
      <c r="Z768" s="193"/>
      <c r="AA768" s="193"/>
      <c r="AB768" s="193"/>
      <c r="AC768" s="193"/>
      <c r="AD768" s="193"/>
      <c r="AE768" s="193"/>
    </row>
    <row r="769" ht="14.25" customHeight="1">
      <c r="A769" s="191" t="s">
        <v>3194</v>
      </c>
      <c r="B769" s="192" t="s">
        <v>3195</v>
      </c>
      <c r="C769" s="191" t="s">
        <v>3196</v>
      </c>
      <c r="D769" s="193"/>
      <c r="E769" s="193"/>
      <c r="F769" s="194" t="s">
        <v>3197</v>
      </c>
      <c r="G769" s="193"/>
      <c r="H769" s="193"/>
      <c r="I769" s="193"/>
      <c r="J769" s="193"/>
      <c r="K769" s="193"/>
      <c r="L769" s="193"/>
      <c r="M769" s="193"/>
      <c r="N769" s="193"/>
      <c r="O769" s="193"/>
      <c r="P769" s="193"/>
      <c r="Q769" s="193"/>
      <c r="R769" s="193"/>
      <c r="S769" s="193"/>
      <c r="T769" s="193"/>
      <c r="U769" s="193"/>
      <c r="V769" s="193"/>
      <c r="W769" s="193"/>
      <c r="X769" s="193"/>
      <c r="Y769" s="193"/>
      <c r="Z769" s="193"/>
      <c r="AA769" s="193"/>
      <c r="AB769" s="193"/>
      <c r="AC769" s="193"/>
      <c r="AD769" s="193"/>
      <c r="AE769" s="193"/>
    </row>
    <row r="770" ht="14.25" customHeight="1">
      <c r="A770" s="191" t="s">
        <v>3198</v>
      </c>
      <c r="B770" s="192" t="s">
        <v>3199</v>
      </c>
      <c r="C770" s="191" t="s">
        <v>3200</v>
      </c>
      <c r="D770" s="193"/>
      <c r="E770" s="193"/>
      <c r="F770" s="194" t="s">
        <v>3201</v>
      </c>
      <c r="G770" s="193"/>
      <c r="H770" s="193"/>
      <c r="I770" s="193"/>
      <c r="J770" s="193"/>
      <c r="K770" s="193"/>
      <c r="L770" s="193"/>
      <c r="M770" s="193"/>
      <c r="N770" s="193"/>
      <c r="O770" s="193"/>
      <c r="P770" s="193"/>
      <c r="Q770" s="193"/>
      <c r="R770" s="193"/>
      <c r="S770" s="193"/>
      <c r="T770" s="193"/>
      <c r="U770" s="193"/>
      <c r="V770" s="193"/>
      <c r="W770" s="193"/>
      <c r="X770" s="193"/>
      <c r="Y770" s="193"/>
      <c r="Z770" s="193"/>
      <c r="AA770" s="193"/>
      <c r="AB770" s="193"/>
      <c r="AC770" s="193"/>
      <c r="AD770" s="193"/>
      <c r="AE770" s="193"/>
    </row>
    <row r="771" ht="14.25" customHeight="1">
      <c r="A771" s="191" t="s">
        <v>3202</v>
      </c>
      <c r="B771" s="192" t="s">
        <v>3203</v>
      </c>
      <c r="C771" s="191" t="s">
        <v>3204</v>
      </c>
      <c r="D771" s="193"/>
      <c r="E771" s="193"/>
      <c r="F771" s="194" t="s">
        <v>3205</v>
      </c>
      <c r="G771" s="193"/>
      <c r="H771" s="193"/>
      <c r="I771" s="193"/>
      <c r="J771" s="193"/>
      <c r="K771" s="193"/>
      <c r="L771" s="193"/>
      <c r="M771" s="193"/>
      <c r="N771" s="193"/>
      <c r="O771" s="193"/>
      <c r="P771" s="193"/>
      <c r="Q771" s="193"/>
      <c r="R771" s="193"/>
      <c r="S771" s="193"/>
      <c r="T771" s="193"/>
      <c r="U771" s="193"/>
      <c r="V771" s="193"/>
      <c r="W771" s="193"/>
      <c r="X771" s="193"/>
      <c r="Y771" s="193"/>
      <c r="Z771" s="193"/>
      <c r="AA771" s="193"/>
      <c r="AB771" s="193"/>
      <c r="AC771" s="193"/>
      <c r="AD771" s="193"/>
      <c r="AE771" s="193"/>
    </row>
    <row r="772" ht="14.25" customHeight="1">
      <c r="A772" s="191" t="s">
        <v>3206</v>
      </c>
      <c r="B772" s="192" t="s">
        <v>3207</v>
      </c>
      <c r="C772" s="191" t="s">
        <v>3208</v>
      </c>
      <c r="D772" s="193"/>
      <c r="E772" s="193"/>
      <c r="F772" s="194" t="s">
        <v>3209</v>
      </c>
      <c r="G772" s="193"/>
      <c r="H772" s="193"/>
      <c r="I772" s="193"/>
      <c r="J772" s="193"/>
      <c r="K772" s="193"/>
      <c r="L772" s="193"/>
      <c r="M772" s="193"/>
      <c r="N772" s="193"/>
      <c r="O772" s="193"/>
      <c r="P772" s="193"/>
      <c r="Q772" s="193"/>
      <c r="R772" s="193"/>
      <c r="S772" s="193"/>
      <c r="T772" s="193"/>
      <c r="U772" s="193"/>
      <c r="V772" s="193"/>
      <c r="W772" s="193"/>
      <c r="X772" s="193"/>
      <c r="Y772" s="193"/>
      <c r="Z772" s="193"/>
      <c r="AA772" s="193"/>
      <c r="AB772" s="193"/>
      <c r="AC772" s="193"/>
      <c r="AD772" s="193"/>
      <c r="AE772" s="193"/>
    </row>
    <row r="773" ht="14.25" customHeight="1">
      <c r="A773" s="191" t="s">
        <v>3210</v>
      </c>
      <c r="B773" s="192" t="s">
        <v>3211</v>
      </c>
      <c r="C773" s="191" t="s">
        <v>3212</v>
      </c>
      <c r="D773" s="193"/>
      <c r="E773" s="193"/>
      <c r="F773" s="194" t="s">
        <v>3213</v>
      </c>
      <c r="G773" s="193"/>
      <c r="H773" s="193"/>
      <c r="I773" s="193"/>
      <c r="J773" s="193"/>
      <c r="K773" s="193"/>
      <c r="L773" s="193"/>
      <c r="M773" s="193"/>
      <c r="N773" s="193"/>
      <c r="O773" s="193"/>
      <c r="P773" s="193"/>
      <c r="Q773" s="193"/>
      <c r="R773" s="193"/>
      <c r="S773" s="193"/>
      <c r="T773" s="193"/>
      <c r="U773" s="193"/>
      <c r="V773" s="193"/>
      <c r="W773" s="193"/>
      <c r="X773" s="193"/>
      <c r="Y773" s="193"/>
      <c r="Z773" s="193"/>
      <c r="AA773" s="193"/>
      <c r="AB773" s="193"/>
      <c r="AC773" s="193"/>
      <c r="AD773" s="193"/>
      <c r="AE773" s="193"/>
    </row>
    <row r="774" ht="14.25" customHeight="1">
      <c r="A774" s="191" t="s">
        <v>3214</v>
      </c>
      <c r="B774" s="192" t="s">
        <v>3215</v>
      </c>
      <c r="C774" s="191" t="s">
        <v>3216</v>
      </c>
      <c r="D774" s="193"/>
      <c r="E774" s="193"/>
      <c r="F774" s="194" t="s">
        <v>3217</v>
      </c>
      <c r="G774" s="193"/>
      <c r="H774" s="193"/>
      <c r="I774" s="193"/>
      <c r="J774" s="193"/>
      <c r="K774" s="193"/>
      <c r="L774" s="193"/>
      <c r="M774" s="193"/>
      <c r="N774" s="193"/>
      <c r="O774" s="193"/>
      <c r="P774" s="193"/>
      <c r="Q774" s="193"/>
      <c r="R774" s="193"/>
      <c r="S774" s="193"/>
      <c r="T774" s="193"/>
      <c r="U774" s="193"/>
      <c r="V774" s="193"/>
      <c r="W774" s="193"/>
      <c r="X774" s="193"/>
      <c r="Y774" s="193"/>
      <c r="Z774" s="193"/>
      <c r="AA774" s="193"/>
      <c r="AB774" s="193"/>
      <c r="AC774" s="193"/>
      <c r="AD774" s="193"/>
      <c r="AE774" s="193"/>
    </row>
    <row r="775" ht="14.25" customHeight="1">
      <c r="A775" s="191" t="s">
        <v>3218</v>
      </c>
      <c r="B775" s="192" t="s">
        <v>3219</v>
      </c>
      <c r="C775" s="191" t="s">
        <v>3220</v>
      </c>
      <c r="D775" s="193"/>
      <c r="E775" s="193"/>
      <c r="F775" s="194" t="s">
        <v>3221</v>
      </c>
      <c r="G775" s="193"/>
      <c r="H775" s="193"/>
      <c r="I775" s="193"/>
      <c r="J775" s="193"/>
      <c r="K775" s="193"/>
      <c r="L775" s="193"/>
      <c r="M775" s="193"/>
      <c r="N775" s="193"/>
      <c r="O775" s="193"/>
      <c r="P775" s="193"/>
      <c r="Q775" s="193"/>
      <c r="R775" s="193"/>
      <c r="S775" s="193"/>
      <c r="T775" s="193"/>
      <c r="U775" s="193"/>
      <c r="V775" s="193"/>
      <c r="W775" s="193"/>
      <c r="X775" s="193"/>
      <c r="Y775" s="193"/>
      <c r="Z775" s="193"/>
      <c r="AA775" s="193"/>
      <c r="AB775" s="193"/>
      <c r="AC775" s="193"/>
      <c r="AD775" s="193"/>
      <c r="AE775" s="193"/>
    </row>
    <row r="776" ht="14.25" customHeight="1">
      <c r="A776" s="191" t="s">
        <v>3222</v>
      </c>
      <c r="B776" s="192" t="s">
        <v>3223</v>
      </c>
      <c r="C776" s="191" t="s">
        <v>3224</v>
      </c>
      <c r="D776" s="193"/>
      <c r="E776" s="193"/>
      <c r="F776" s="194" t="s">
        <v>3225</v>
      </c>
      <c r="G776" s="193"/>
      <c r="H776" s="193"/>
      <c r="I776" s="193"/>
      <c r="J776" s="193"/>
      <c r="K776" s="193"/>
      <c r="L776" s="193"/>
      <c r="M776" s="193"/>
      <c r="N776" s="193"/>
      <c r="O776" s="193"/>
      <c r="P776" s="193"/>
      <c r="Q776" s="193"/>
      <c r="R776" s="193"/>
      <c r="S776" s="193"/>
      <c r="T776" s="193"/>
      <c r="U776" s="193"/>
      <c r="V776" s="193"/>
      <c r="W776" s="193"/>
      <c r="X776" s="193"/>
      <c r="Y776" s="193"/>
      <c r="Z776" s="193"/>
      <c r="AA776" s="193"/>
      <c r="AB776" s="193"/>
      <c r="AC776" s="193"/>
      <c r="AD776" s="193"/>
      <c r="AE776" s="193"/>
    </row>
    <row r="777" ht="14.25" customHeight="1">
      <c r="A777" s="191" t="s">
        <v>3226</v>
      </c>
      <c r="B777" s="192" t="s">
        <v>3227</v>
      </c>
      <c r="C777" s="191" t="s">
        <v>3228</v>
      </c>
      <c r="D777" s="193"/>
      <c r="E777" s="193"/>
      <c r="F777" s="194" t="s">
        <v>3229</v>
      </c>
      <c r="G777" s="193"/>
      <c r="H777" s="193"/>
      <c r="I777" s="193"/>
      <c r="J777" s="193"/>
      <c r="K777" s="193"/>
      <c r="L777" s="193"/>
      <c r="M777" s="193"/>
      <c r="N777" s="193"/>
      <c r="O777" s="193"/>
      <c r="P777" s="193"/>
      <c r="Q777" s="193"/>
      <c r="R777" s="193"/>
      <c r="S777" s="193"/>
      <c r="T777" s="193"/>
      <c r="U777" s="193"/>
      <c r="V777" s="193"/>
      <c r="W777" s="193"/>
      <c r="X777" s="193"/>
      <c r="Y777" s="193"/>
      <c r="Z777" s="193"/>
      <c r="AA777" s="193"/>
      <c r="AB777" s="193"/>
      <c r="AC777" s="193"/>
      <c r="AD777" s="193"/>
      <c r="AE777" s="193"/>
    </row>
    <row r="778" ht="14.25" customHeight="1">
      <c r="A778" s="191" t="s">
        <v>3230</v>
      </c>
      <c r="B778" s="192" t="s">
        <v>3231</v>
      </c>
      <c r="C778" s="191" t="s">
        <v>3232</v>
      </c>
      <c r="D778" s="193"/>
      <c r="E778" s="193"/>
      <c r="F778" s="194" t="s">
        <v>3233</v>
      </c>
      <c r="G778" s="193"/>
      <c r="H778" s="193"/>
      <c r="I778" s="193"/>
      <c r="J778" s="193"/>
      <c r="K778" s="193"/>
      <c r="L778" s="193"/>
      <c r="M778" s="193"/>
      <c r="N778" s="193"/>
      <c r="O778" s="193"/>
      <c r="P778" s="193"/>
      <c r="Q778" s="193"/>
      <c r="R778" s="193"/>
      <c r="S778" s="193"/>
      <c r="T778" s="193"/>
      <c r="U778" s="193"/>
      <c r="V778" s="193"/>
      <c r="W778" s="193"/>
      <c r="X778" s="193"/>
      <c r="Y778" s="193"/>
      <c r="Z778" s="193"/>
      <c r="AA778" s="193"/>
      <c r="AB778" s="193"/>
      <c r="AC778" s="193"/>
      <c r="AD778" s="193"/>
      <c r="AE778" s="193"/>
    </row>
    <row r="779" ht="14.25" customHeight="1">
      <c r="A779" s="191" t="s">
        <v>3234</v>
      </c>
      <c r="B779" s="192" t="s">
        <v>3235</v>
      </c>
      <c r="C779" s="191" t="s">
        <v>3236</v>
      </c>
      <c r="D779" s="193"/>
      <c r="E779" s="193"/>
      <c r="F779" s="194" t="s">
        <v>3237</v>
      </c>
      <c r="G779" s="193"/>
      <c r="H779" s="193"/>
      <c r="I779" s="193"/>
      <c r="J779" s="193"/>
      <c r="K779" s="193"/>
      <c r="L779" s="193"/>
      <c r="M779" s="193"/>
      <c r="N779" s="193"/>
      <c r="O779" s="193"/>
      <c r="P779" s="193"/>
      <c r="Q779" s="193"/>
      <c r="R779" s="193"/>
      <c r="S779" s="193"/>
      <c r="T779" s="193"/>
      <c r="U779" s="193"/>
      <c r="V779" s="193"/>
      <c r="W779" s="193"/>
      <c r="X779" s="193"/>
      <c r="Y779" s="193"/>
      <c r="Z779" s="193"/>
      <c r="AA779" s="193"/>
      <c r="AB779" s="193"/>
      <c r="AC779" s="193"/>
      <c r="AD779" s="193"/>
      <c r="AE779" s="193"/>
    </row>
    <row r="780" ht="14.25" customHeight="1">
      <c r="A780" s="191" t="s">
        <v>3238</v>
      </c>
      <c r="B780" s="192" t="s">
        <v>3239</v>
      </c>
      <c r="C780" s="191" t="s">
        <v>3240</v>
      </c>
      <c r="D780" s="193"/>
      <c r="E780" s="193"/>
      <c r="F780" s="194" t="s">
        <v>3241</v>
      </c>
      <c r="G780" s="193"/>
      <c r="H780" s="193"/>
      <c r="I780" s="193"/>
      <c r="J780" s="193"/>
      <c r="K780" s="193"/>
      <c r="L780" s="193"/>
      <c r="M780" s="193"/>
      <c r="N780" s="193"/>
      <c r="O780" s="193"/>
      <c r="P780" s="193"/>
      <c r="Q780" s="193"/>
      <c r="R780" s="193"/>
      <c r="S780" s="193"/>
      <c r="T780" s="193"/>
      <c r="U780" s="193"/>
      <c r="V780" s="193"/>
      <c r="W780" s="193"/>
      <c r="X780" s="193"/>
      <c r="Y780" s="193"/>
      <c r="Z780" s="193"/>
      <c r="AA780" s="193"/>
      <c r="AB780" s="193"/>
      <c r="AC780" s="193"/>
      <c r="AD780" s="193"/>
      <c r="AE780" s="193"/>
    </row>
    <row r="781" ht="14.25" customHeight="1">
      <c r="A781" s="191" t="s">
        <v>3242</v>
      </c>
      <c r="B781" s="192" t="s">
        <v>3243</v>
      </c>
      <c r="C781" s="191" t="s">
        <v>3244</v>
      </c>
      <c r="D781" s="193"/>
      <c r="E781" s="193"/>
      <c r="F781" s="194" t="s">
        <v>3245</v>
      </c>
      <c r="G781" s="193"/>
      <c r="H781" s="193"/>
      <c r="I781" s="193"/>
      <c r="J781" s="193"/>
      <c r="K781" s="193"/>
      <c r="L781" s="193"/>
      <c r="M781" s="193"/>
      <c r="N781" s="193"/>
      <c r="O781" s="193"/>
      <c r="P781" s="193"/>
      <c r="Q781" s="193"/>
      <c r="R781" s="193"/>
      <c r="S781" s="193"/>
      <c r="T781" s="193"/>
      <c r="U781" s="193"/>
      <c r="V781" s="193"/>
      <c r="W781" s="193"/>
      <c r="X781" s="193"/>
      <c r="Y781" s="193"/>
      <c r="Z781" s="193"/>
      <c r="AA781" s="193"/>
      <c r="AB781" s="193"/>
      <c r="AC781" s="193"/>
      <c r="AD781" s="193"/>
      <c r="AE781" s="193"/>
    </row>
    <row r="782" ht="14.25" customHeight="1">
      <c r="A782" s="191" t="s">
        <v>3246</v>
      </c>
      <c r="B782" s="192" t="s">
        <v>3247</v>
      </c>
      <c r="C782" s="191" t="s">
        <v>3248</v>
      </c>
      <c r="D782" s="193"/>
      <c r="E782" s="193"/>
      <c r="F782" s="194" t="s">
        <v>3249</v>
      </c>
      <c r="G782" s="193"/>
      <c r="H782" s="193"/>
      <c r="I782" s="193"/>
      <c r="J782" s="193"/>
      <c r="K782" s="193"/>
      <c r="L782" s="193"/>
      <c r="M782" s="193"/>
      <c r="N782" s="193"/>
      <c r="O782" s="193"/>
      <c r="P782" s="193"/>
      <c r="Q782" s="193"/>
      <c r="R782" s="193"/>
      <c r="S782" s="193"/>
      <c r="T782" s="193"/>
      <c r="U782" s="193"/>
      <c r="V782" s="193"/>
      <c r="W782" s="193"/>
      <c r="X782" s="193"/>
      <c r="Y782" s="193"/>
      <c r="Z782" s="193"/>
      <c r="AA782" s="193"/>
      <c r="AB782" s="193"/>
      <c r="AC782" s="193"/>
      <c r="AD782" s="193"/>
      <c r="AE782" s="193"/>
    </row>
    <row r="783" ht="14.25" customHeight="1">
      <c r="A783" s="191" t="s">
        <v>3250</v>
      </c>
      <c r="B783" s="192" t="s">
        <v>3251</v>
      </c>
      <c r="C783" s="191" t="s">
        <v>3252</v>
      </c>
      <c r="D783" s="193"/>
      <c r="E783" s="193"/>
      <c r="F783" s="194"/>
      <c r="G783" s="193"/>
      <c r="H783" s="193"/>
      <c r="I783" s="193"/>
      <c r="J783" s="193"/>
      <c r="K783" s="193"/>
      <c r="L783" s="193"/>
      <c r="M783" s="193"/>
      <c r="N783" s="193"/>
      <c r="O783" s="193"/>
      <c r="P783" s="193"/>
      <c r="Q783" s="193"/>
      <c r="R783" s="193"/>
      <c r="S783" s="193"/>
      <c r="T783" s="193"/>
      <c r="U783" s="193"/>
      <c r="V783" s="193"/>
      <c r="W783" s="193"/>
      <c r="X783" s="193"/>
      <c r="Y783" s="193"/>
      <c r="Z783" s="193"/>
      <c r="AA783" s="193"/>
      <c r="AB783" s="193"/>
      <c r="AC783" s="193"/>
      <c r="AD783" s="193"/>
      <c r="AE783" s="193"/>
    </row>
    <row r="784" ht="14.25" customHeight="1">
      <c r="A784" s="191" t="s">
        <v>3253</v>
      </c>
      <c r="B784" s="192" t="s">
        <v>3254</v>
      </c>
      <c r="C784" s="191" t="s">
        <v>3255</v>
      </c>
      <c r="D784" s="193"/>
      <c r="E784" s="193"/>
      <c r="F784" s="194" t="s">
        <v>3256</v>
      </c>
      <c r="G784" s="193"/>
      <c r="H784" s="193"/>
      <c r="I784" s="193"/>
      <c r="J784" s="193"/>
      <c r="K784" s="193"/>
      <c r="L784" s="193"/>
      <c r="M784" s="193"/>
      <c r="N784" s="193"/>
      <c r="O784" s="193"/>
      <c r="P784" s="193"/>
      <c r="Q784" s="193"/>
      <c r="R784" s="193"/>
      <c r="S784" s="193"/>
      <c r="T784" s="193"/>
      <c r="U784" s="193"/>
      <c r="V784" s="193"/>
      <c r="W784" s="193"/>
      <c r="X784" s="193"/>
      <c r="Y784" s="193"/>
      <c r="Z784" s="193"/>
      <c r="AA784" s="193"/>
      <c r="AB784" s="193"/>
      <c r="AC784" s="193"/>
      <c r="AD784" s="193"/>
      <c r="AE784" s="193"/>
    </row>
    <row r="785" ht="14.25" customHeight="1">
      <c r="A785" s="191" t="s">
        <v>3257</v>
      </c>
      <c r="B785" s="192" t="s">
        <v>3258</v>
      </c>
      <c r="C785" s="191" t="s">
        <v>3259</v>
      </c>
      <c r="D785" s="193"/>
      <c r="E785" s="193"/>
      <c r="F785" s="194" t="s">
        <v>3260</v>
      </c>
      <c r="G785" s="193"/>
      <c r="H785" s="193"/>
      <c r="I785" s="193"/>
      <c r="J785" s="193"/>
      <c r="K785" s="193"/>
      <c r="L785" s="193"/>
      <c r="M785" s="193"/>
      <c r="N785" s="193"/>
      <c r="O785" s="193"/>
      <c r="P785" s="193"/>
      <c r="Q785" s="193"/>
      <c r="R785" s="193"/>
      <c r="S785" s="193"/>
      <c r="T785" s="193"/>
      <c r="U785" s="193"/>
      <c r="V785" s="193"/>
      <c r="W785" s="193"/>
      <c r="X785" s="193"/>
      <c r="Y785" s="193"/>
      <c r="Z785" s="193"/>
      <c r="AA785" s="193"/>
      <c r="AB785" s="193"/>
      <c r="AC785" s="193"/>
      <c r="AD785" s="193"/>
      <c r="AE785" s="193"/>
    </row>
    <row r="786" ht="14.25" customHeight="1">
      <c r="A786" s="191" t="s">
        <v>3261</v>
      </c>
      <c r="B786" s="192" t="s">
        <v>3262</v>
      </c>
      <c r="C786" s="191" t="s">
        <v>3263</v>
      </c>
      <c r="D786" s="193"/>
      <c r="E786" s="193"/>
      <c r="F786" s="194" t="s">
        <v>3264</v>
      </c>
      <c r="G786" s="193"/>
      <c r="H786" s="193"/>
      <c r="I786" s="193"/>
      <c r="J786" s="193"/>
      <c r="K786" s="193"/>
      <c r="L786" s="193"/>
      <c r="M786" s="193"/>
      <c r="N786" s="193"/>
      <c r="O786" s="193"/>
      <c r="P786" s="193"/>
      <c r="Q786" s="193"/>
      <c r="R786" s="193"/>
      <c r="S786" s="193"/>
      <c r="T786" s="193"/>
      <c r="U786" s="193"/>
      <c r="V786" s="193"/>
      <c r="W786" s="193"/>
      <c r="X786" s="193"/>
      <c r="Y786" s="193"/>
      <c r="Z786" s="193"/>
      <c r="AA786" s="193"/>
      <c r="AB786" s="193"/>
      <c r="AC786" s="193"/>
      <c r="AD786" s="193"/>
      <c r="AE786" s="193"/>
    </row>
    <row r="787" ht="14.25" customHeight="1">
      <c r="A787" s="191" t="s">
        <v>3265</v>
      </c>
      <c r="B787" s="192" t="s">
        <v>3266</v>
      </c>
      <c r="C787" s="191" t="s">
        <v>3267</v>
      </c>
      <c r="D787" s="193"/>
      <c r="E787" s="193"/>
      <c r="F787" s="194" t="s">
        <v>3268</v>
      </c>
      <c r="G787" s="193"/>
      <c r="H787" s="193"/>
      <c r="I787" s="193"/>
      <c r="J787" s="193"/>
      <c r="K787" s="193"/>
      <c r="L787" s="193"/>
      <c r="M787" s="193"/>
      <c r="N787" s="193"/>
      <c r="O787" s="193"/>
      <c r="P787" s="193"/>
      <c r="Q787" s="193"/>
      <c r="R787" s="193"/>
      <c r="S787" s="193"/>
      <c r="T787" s="193"/>
      <c r="U787" s="193"/>
      <c r="V787" s="193"/>
      <c r="W787" s="193"/>
      <c r="X787" s="193"/>
      <c r="Y787" s="193"/>
      <c r="Z787" s="193"/>
      <c r="AA787" s="193"/>
      <c r="AB787" s="193"/>
      <c r="AC787" s="193"/>
      <c r="AD787" s="193"/>
      <c r="AE787" s="193"/>
    </row>
    <row r="788" ht="14.25" customHeight="1">
      <c r="A788" s="191" t="s">
        <v>3269</v>
      </c>
      <c r="B788" s="192" t="s">
        <v>3270</v>
      </c>
      <c r="C788" s="191" t="s">
        <v>3271</v>
      </c>
      <c r="D788" s="193"/>
      <c r="E788" s="193"/>
      <c r="F788" s="194" t="s">
        <v>3272</v>
      </c>
      <c r="G788" s="193"/>
      <c r="H788" s="193"/>
      <c r="I788" s="193"/>
      <c r="J788" s="193"/>
      <c r="K788" s="193"/>
      <c r="L788" s="193"/>
      <c r="M788" s="193"/>
      <c r="N788" s="193"/>
      <c r="O788" s="193"/>
      <c r="P788" s="193"/>
      <c r="Q788" s="193"/>
      <c r="R788" s="193"/>
      <c r="S788" s="193"/>
      <c r="T788" s="193"/>
      <c r="U788" s="193"/>
      <c r="V788" s="193"/>
      <c r="W788" s="193"/>
      <c r="X788" s="193"/>
      <c r="Y788" s="193"/>
      <c r="Z788" s="193"/>
      <c r="AA788" s="193"/>
      <c r="AB788" s="193"/>
      <c r="AC788" s="193"/>
      <c r="AD788" s="193"/>
      <c r="AE788" s="193"/>
    </row>
    <row r="789" ht="14.25" customHeight="1">
      <c r="A789" s="191" t="s">
        <v>3273</v>
      </c>
      <c r="B789" s="192" t="s">
        <v>3274</v>
      </c>
      <c r="C789" s="191" t="s">
        <v>3275</v>
      </c>
      <c r="D789" s="193"/>
      <c r="E789" s="193"/>
      <c r="F789" s="194" t="s">
        <v>3276</v>
      </c>
      <c r="G789" s="193"/>
      <c r="H789" s="193"/>
      <c r="I789" s="193"/>
      <c r="J789" s="193"/>
      <c r="K789" s="193"/>
      <c r="L789" s="193"/>
      <c r="M789" s="193"/>
      <c r="N789" s="193"/>
      <c r="O789" s="193"/>
      <c r="P789" s="193"/>
      <c r="Q789" s="193"/>
      <c r="R789" s="193"/>
      <c r="S789" s="193"/>
      <c r="T789" s="193"/>
      <c r="U789" s="193"/>
      <c r="V789" s="193"/>
      <c r="W789" s="193"/>
      <c r="X789" s="193"/>
      <c r="Y789" s="193"/>
      <c r="Z789" s="193"/>
      <c r="AA789" s="193"/>
      <c r="AB789" s="193"/>
      <c r="AC789" s="193"/>
      <c r="AD789" s="193"/>
      <c r="AE789" s="193"/>
    </row>
    <row r="790" ht="14.25" customHeight="1">
      <c r="A790" s="191" t="s">
        <v>3277</v>
      </c>
      <c r="B790" s="192" t="s">
        <v>3278</v>
      </c>
      <c r="C790" s="191" t="s">
        <v>3279</v>
      </c>
      <c r="D790" s="193"/>
      <c r="E790" s="193"/>
      <c r="F790" s="194" t="s">
        <v>3280</v>
      </c>
      <c r="G790" s="193"/>
      <c r="H790" s="193"/>
      <c r="I790" s="193"/>
      <c r="J790" s="193"/>
      <c r="K790" s="193"/>
      <c r="L790" s="193"/>
      <c r="M790" s="193"/>
      <c r="N790" s="193"/>
      <c r="O790" s="193"/>
      <c r="P790" s="193"/>
      <c r="Q790" s="193"/>
      <c r="R790" s="193"/>
      <c r="S790" s="193"/>
      <c r="T790" s="193"/>
      <c r="U790" s="193"/>
      <c r="V790" s="193"/>
      <c r="W790" s="193"/>
      <c r="X790" s="193"/>
      <c r="Y790" s="193"/>
      <c r="Z790" s="193"/>
      <c r="AA790" s="193"/>
      <c r="AB790" s="193"/>
      <c r="AC790" s="193"/>
      <c r="AD790" s="193"/>
      <c r="AE790" s="193"/>
    </row>
    <row r="791" ht="14.25" customHeight="1">
      <c r="A791" s="191" t="s">
        <v>3281</v>
      </c>
      <c r="B791" s="192" t="s">
        <v>3282</v>
      </c>
      <c r="C791" s="191" t="s">
        <v>3283</v>
      </c>
      <c r="D791" s="193"/>
      <c r="E791" s="193"/>
      <c r="F791" s="194" t="s">
        <v>3284</v>
      </c>
      <c r="G791" s="193"/>
      <c r="H791" s="193"/>
      <c r="I791" s="193"/>
      <c r="J791" s="193"/>
      <c r="K791" s="193"/>
      <c r="L791" s="193"/>
      <c r="M791" s="193"/>
      <c r="N791" s="193"/>
      <c r="O791" s="193"/>
      <c r="P791" s="193"/>
      <c r="Q791" s="193"/>
      <c r="R791" s="193"/>
      <c r="S791" s="193"/>
      <c r="T791" s="193"/>
      <c r="U791" s="193"/>
      <c r="V791" s="193"/>
      <c r="W791" s="193"/>
      <c r="X791" s="193"/>
      <c r="Y791" s="193"/>
      <c r="Z791" s="193"/>
      <c r="AA791" s="193"/>
      <c r="AB791" s="193"/>
      <c r="AC791" s="193"/>
      <c r="AD791" s="193"/>
      <c r="AE791" s="193"/>
    </row>
    <row r="792" ht="14.25" customHeight="1">
      <c r="A792" s="191" t="s">
        <v>3285</v>
      </c>
      <c r="B792" s="192" t="s">
        <v>3286</v>
      </c>
      <c r="C792" s="191" t="s">
        <v>3287</v>
      </c>
      <c r="D792" s="193"/>
      <c r="E792" s="193"/>
      <c r="F792" s="194" t="s">
        <v>3288</v>
      </c>
      <c r="G792" s="193"/>
      <c r="H792" s="193"/>
      <c r="I792" s="193"/>
      <c r="J792" s="193"/>
      <c r="K792" s="193"/>
      <c r="L792" s="193"/>
      <c r="M792" s="193"/>
      <c r="N792" s="193"/>
      <c r="O792" s="193"/>
      <c r="P792" s="193"/>
      <c r="Q792" s="193"/>
      <c r="R792" s="193"/>
      <c r="S792" s="193"/>
      <c r="T792" s="193"/>
      <c r="U792" s="193"/>
      <c r="V792" s="193"/>
      <c r="W792" s="193"/>
      <c r="X792" s="193"/>
      <c r="Y792" s="193"/>
      <c r="Z792" s="193"/>
      <c r="AA792" s="193"/>
      <c r="AB792" s="193"/>
      <c r="AC792" s="193"/>
      <c r="AD792" s="193"/>
      <c r="AE792" s="193"/>
    </row>
    <row r="793" ht="14.25" customHeight="1">
      <c r="A793" s="191" t="s">
        <v>3289</v>
      </c>
      <c r="B793" s="192" t="s">
        <v>3290</v>
      </c>
      <c r="C793" s="191" t="s">
        <v>3291</v>
      </c>
      <c r="D793" s="193"/>
      <c r="E793" s="193"/>
      <c r="F793" s="194" t="s">
        <v>3292</v>
      </c>
      <c r="G793" s="193"/>
      <c r="H793" s="193"/>
      <c r="I793" s="193"/>
      <c r="J793" s="193"/>
      <c r="K793" s="193"/>
      <c r="L793" s="193"/>
      <c r="M793" s="193"/>
      <c r="N793" s="193"/>
      <c r="O793" s="193"/>
      <c r="P793" s="193"/>
      <c r="Q793" s="193"/>
      <c r="R793" s="193"/>
      <c r="S793" s="193"/>
      <c r="T793" s="193"/>
      <c r="U793" s="193"/>
      <c r="V793" s="193"/>
      <c r="W793" s="193"/>
      <c r="X793" s="193"/>
      <c r="Y793" s="193"/>
      <c r="Z793" s="193"/>
      <c r="AA793" s="193"/>
      <c r="AB793" s="193"/>
      <c r="AC793" s="193"/>
      <c r="AD793" s="193"/>
      <c r="AE793" s="193"/>
    </row>
    <row r="794" ht="14.25" customHeight="1">
      <c r="A794" s="191" t="s">
        <v>3293</v>
      </c>
      <c r="B794" s="192" t="s">
        <v>3294</v>
      </c>
      <c r="C794" s="191" t="s">
        <v>3295</v>
      </c>
      <c r="D794" s="193"/>
      <c r="E794" s="193"/>
      <c r="F794" s="194" t="s">
        <v>3296</v>
      </c>
      <c r="G794" s="193"/>
      <c r="H794" s="193"/>
      <c r="I794" s="193"/>
      <c r="J794" s="193"/>
      <c r="K794" s="193"/>
      <c r="L794" s="193"/>
      <c r="M794" s="193"/>
      <c r="N794" s="193"/>
      <c r="O794" s="193"/>
      <c r="P794" s="193"/>
      <c r="Q794" s="193"/>
      <c r="R794" s="193"/>
      <c r="S794" s="193"/>
      <c r="T794" s="193"/>
      <c r="U794" s="193"/>
      <c r="V794" s="193"/>
      <c r="W794" s="193"/>
      <c r="X794" s="193"/>
      <c r="Y794" s="193"/>
      <c r="Z794" s="193"/>
      <c r="AA794" s="193"/>
      <c r="AB794" s="193"/>
      <c r="AC794" s="193"/>
      <c r="AD794" s="193"/>
      <c r="AE794" s="193"/>
    </row>
    <row r="795" ht="14.25" customHeight="1">
      <c r="A795" s="191" t="s">
        <v>3297</v>
      </c>
      <c r="B795" s="192" t="s">
        <v>3298</v>
      </c>
      <c r="C795" s="191" t="s">
        <v>3299</v>
      </c>
      <c r="D795" s="193"/>
      <c r="E795" s="193"/>
      <c r="F795" s="194" t="s">
        <v>3300</v>
      </c>
      <c r="G795" s="193"/>
      <c r="H795" s="193"/>
      <c r="I795" s="193"/>
      <c r="J795" s="193"/>
      <c r="K795" s="193"/>
      <c r="L795" s="193"/>
      <c r="M795" s="193"/>
      <c r="N795" s="193"/>
      <c r="O795" s="193"/>
      <c r="P795" s="193"/>
      <c r="Q795" s="193"/>
      <c r="R795" s="193"/>
      <c r="S795" s="193"/>
      <c r="T795" s="193"/>
      <c r="U795" s="193"/>
      <c r="V795" s="193"/>
      <c r="W795" s="193"/>
      <c r="X795" s="193"/>
      <c r="Y795" s="193"/>
      <c r="Z795" s="193"/>
      <c r="AA795" s="193"/>
      <c r="AB795" s="193"/>
      <c r="AC795" s="193"/>
      <c r="AD795" s="193"/>
      <c r="AE795" s="193"/>
    </row>
    <row r="796" ht="14.25" customHeight="1">
      <c r="A796" s="191" t="s">
        <v>3301</v>
      </c>
      <c r="B796" s="192" t="s">
        <v>3302</v>
      </c>
      <c r="C796" s="191" t="s">
        <v>3303</v>
      </c>
      <c r="D796" s="193"/>
      <c r="E796" s="193"/>
      <c r="F796" s="194" t="s">
        <v>3304</v>
      </c>
      <c r="G796" s="193"/>
      <c r="H796" s="193"/>
      <c r="I796" s="193"/>
      <c r="J796" s="193"/>
      <c r="K796" s="193"/>
      <c r="L796" s="193"/>
      <c r="M796" s="193"/>
      <c r="N796" s="193"/>
      <c r="O796" s="193"/>
      <c r="P796" s="193"/>
      <c r="Q796" s="193"/>
      <c r="R796" s="193"/>
      <c r="S796" s="193"/>
      <c r="T796" s="193"/>
      <c r="U796" s="193"/>
      <c r="V796" s="193"/>
      <c r="W796" s="193"/>
      <c r="X796" s="193"/>
      <c r="Y796" s="193"/>
      <c r="Z796" s="193"/>
      <c r="AA796" s="193"/>
      <c r="AB796" s="193"/>
      <c r="AC796" s="193"/>
      <c r="AD796" s="193"/>
      <c r="AE796" s="193"/>
    </row>
    <row r="797" ht="14.25" customHeight="1">
      <c r="A797" s="191" t="s">
        <v>3305</v>
      </c>
      <c r="B797" s="192" t="s">
        <v>3306</v>
      </c>
      <c r="C797" s="191" t="s">
        <v>3307</v>
      </c>
      <c r="D797" s="193"/>
      <c r="E797" s="193"/>
      <c r="F797" s="194" t="s">
        <v>3308</v>
      </c>
      <c r="G797" s="193"/>
      <c r="H797" s="193"/>
      <c r="I797" s="193"/>
      <c r="J797" s="193"/>
      <c r="K797" s="193"/>
      <c r="L797" s="193"/>
      <c r="M797" s="193"/>
      <c r="N797" s="193"/>
      <c r="O797" s="193"/>
      <c r="P797" s="193"/>
      <c r="Q797" s="193"/>
      <c r="R797" s="193"/>
      <c r="S797" s="193"/>
      <c r="T797" s="193"/>
      <c r="U797" s="193"/>
      <c r="V797" s="193"/>
      <c r="W797" s="193"/>
      <c r="X797" s="193"/>
      <c r="Y797" s="193"/>
      <c r="Z797" s="193"/>
      <c r="AA797" s="193"/>
      <c r="AB797" s="193"/>
      <c r="AC797" s="193"/>
      <c r="AD797" s="193"/>
      <c r="AE797" s="193"/>
    </row>
    <row r="798" ht="14.25" customHeight="1">
      <c r="A798" s="191" t="s">
        <v>3309</v>
      </c>
      <c r="B798" s="192" t="s">
        <v>3310</v>
      </c>
      <c r="C798" s="191" t="s">
        <v>3311</v>
      </c>
      <c r="D798" s="193"/>
      <c r="E798" s="193"/>
      <c r="F798" s="194" t="s">
        <v>3312</v>
      </c>
      <c r="G798" s="193"/>
      <c r="H798" s="193"/>
      <c r="I798" s="193"/>
      <c r="J798" s="193"/>
      <c r="K798" s="193"/>
      <c r="L798" s="193"/>
      <c r="M798" s="193"/>
      <c r="N798" s="193"/>
      <c r="O798" s="193"/>
      <c r="P798" s="193"/>
      <c r="Q798" s="193"/>
      <c r="R798" s="193"/>
      <c r="S798" s="193"/>
      <c r="T798" s="193"/>
      <c r="U798" s="193"/>
      <c r="V798" s="193"/>
      <c r="W798" s="193"/>
      <c r="X798" s="193"/>
      <c r="Y798" s="193"/>
      <c r="Z798" s="193"/>
      <c r="AA798" s="193"/>
      <c r="AB798" s="193"/>
      <c r="AC798" s="193"/>
      <c r="AD798" s="193"/>
      <c r="AE798" s="193"/>
    </row>
    <row r="799" ht="14.25" customHeight="1">
      <c r="A799" s="191" t="s">
        <v>3313</v>
      </c>
      <c r="B799" s="192" t="s">
        <v>3314</v>
      </c>
      <c r="C799" s="191" t="s">
        <v>3315</v>
      </c>
      <c r="D799" s="193"/>
      <c r="E799" s="193"/>
      <c r="F799" s="194" t="s">
        <v>3316</v>
      </c>
      <c r="G799" s="193"/>
      <c r="H799" s="193"/>
      <c r="I799" s="193"/>
      <c r="J799" s="193"/>
      <c r="K799" s="193"/>
      <c r="L799" s="193"/>
      <c r="M799" s="193"/>
      <c r="N799" s="193"/>
      <c r="O799" s="193"/>
      <c r="P799" s="193"/>
      <c r="Q799" s="193"/>
      <c r="R799" s="193"/>
      <c r="S799" s="193"/>
      <c r="T799" s="193"/>
      <c r="U799" s="193"/>
      <c r="V799" s="193"/>
      <c r="W799" s="193"/>
      <c r="X799" s="193"/>
      <c r="Y799" s="193"/>
      <c r="Z799" s="193"/>
      <c r="AA799" s="193"/>
      <c r="AB799" s="193"/>
      <c r="AC799" s="193"/>
      <c r="AD799" s="193"/>
      <c r="AE799" s="193"/>
    </row>
    <row r="800" ht="14.25" customHeight="1">
      <c r="A800" s="191" t="s">
        <v>3317</v>
      </c>
      <c r="B800" s="192" t="s">
        <v>3318</v>
      </c>
      <c r="C800" s="191" t="s">
        <v>3319</v>
      </c>
      <c r="D800" s="193"/>
      <c r="E800" s="193"/>
      <c r="F800" s="194" t="s">
        <v>3320</v>
      </c>
      <c r="G800" s="193"/>
      <c r="H800" s="193"/>
      <c r="I800" s="193"/>
      <c r="J800" s="193"/>
      <c r="K800" s="193"/>
      <c r="L800" s="193"/>
      <c r="M800" s="193"/>
      <c r="N800" s="193"/>
      <c r="O800" s="193"/>
      <c r="P800" s="193"/>
      <c r="Q800" s="193"/>
      <c r="R800" s="193"/>
      <c r="S800" s="193"/>
      <c r="T800" s="193"/>
      <c r="U800" s="193"/>
      <c r="V800" s="193"/>
      <c r="W800" s="193"/>
      <c r="X800" s="193"/>
      <c r="Y800" s="193"/>
      <c r="Z800" s="193"/>
      <c r="AA800" s="193"/>
      <c r="AB800" s="193"/>
      <c r="AC800" s="193"/>
      <c r="AD800" s="193"/>
      <c r="AE800" s="193"/>
    </row>
    <row r="801" ht="14.25" customHeight="1">
      <c r="A801" s="191" t="s">
        <v>3321</v>
      </c>
      <c r="B801" s="192" t="s">
        <v>3322</v>
      </c>
      <c r="C801" s="191" t="s">
        <v>3323</v>
      </c>
      <c r="D801" s="193"/>
      <c r="E801" s="193"/>
      <c r="F801" s="194" t="s">
        <v>3324</v>
      </c>
      <c r="G801" s="193"/>
      <c r="H801" s="193"/>
      <c r="I801" s="193"/>
      <c r="J801" s="193"/>
      <c r="K801" s="193"/>
      <c r="L801" s="193"/>
      <c r="M801" s="193"/>
      <c r="N801" s="193"/>
      <c r="O801" s="193"/>
      <c r="P801" s="193"/>
      <c r="Q801" s="193"/>
      <c r="R801" s="193"/>
      <c r="S801" s="193"/>
      <c r="T801" s="193"/>
      <c r="U801" s="193"/>
      <c r="V801" s="193"/>
      <c r="W801" s="193"/>
      <c r="X801" s="193"/>
      <c r="Y801" s="193"/>
      <c r="Z801" s="193"/>
      <c r="AA801" s="193"/>
      <c r="AB801" s="193"/>
      <c r="AC801" s="193"/>
      <c r="AD801" s="193"/>
      <c r="AE801" s="193"/>
    </row>
    <row r="802" ht="14.25" customHeight="1">
      <c r="A802" s="191" t="s">
        <v>3325</v>
      </c>
      <c r="B802" s="192" t="s">
        <v>3326</v>
      </c>
      <c r="C802" s="191" t="s">
        <v>3327</v>
      </c>
      <c r="D802" s="193"/>
      <c r="E802" s="193"/>
      <c r="F802" s="194" t="s">
        <v>3328</v>
      </c>
      <c r="G802" s="193"/>
      <c r="H802" s="193"/>
      <c r="I802" s="193"/>
      <c r="J802" s="193"/>
      <c r="K802" s="193"/>
      <c r="L802" s="193"/>
      <c r="M802" s="193"/>
      <c r="N802" s="193"/>
      <c r="O802" s="193"/>
      <c r="P802" s="193"/>
      <c r="Q802" s="193"/>
      <c r="R802" s="193"/>
      <c r="S802" s="193"/>
      <c r="T802" s="193"/>
      <c r="U802" s="193"/>
      <c r="V802" s="193"/>
      <c r="W802" s="193"/>
      <c r="X802" s="193"/>
      <c r="Y802" s="193"/>
      <c r="Z802" s="193"/>
      <c r="AA802" s="193"/>
      <c r="AB802" s="193"/>
      <c r="AC802" s="193"/>
      <c r="AD802" s="193"/>
      <c r="AE802" s="193"/>
    </row>
    <row r="803" ht="14.25" customHeight="1">
      <c r="A803" s="191" t="s">
        <v>3329</v>
      </c>
      <c r="B803" s="192" t="s">
        <v>3330</v>
      </c>
      <c r="C803" s="191" t="s">
        <v>3331</v>
      </c>
      <c r="D803" s="193"/>
      <c r="E803" s="193"/>
      <c r="F803" s="194" t="s">
        <v>3332</v>
      </c>
      <c r="G803" s="193"/>
      <c r="H803" s="193"/>
      <c r="I803" s="193"/>
      <c r="J803" s="193"/>
      <c r="K803" s="193"/>
      <c r="L803" s="193"/>
      <c r="M803" s="193"/>
      <c r="N803" s="193"/>
      <c r="O803" s="193"/>
      <c r="P803" s="193"/>
      <c r="Q803" s="193"/>
      <c r="R803" s="193"/>
      <c r="S803" s="193"/>
      <c r="T803" s="193"/>
      <c r="U803" s="193"/>
      <c r="V803" s="193"/>
      <c r="W803" s="193"/>
      <c r="X803" s="193"/>
      <c r="Y803" s="193"/>
      <c r="Z803" s="193"/>
      <c r="AA803" s="193"/>
      <c r="AB803" s="193"/>
      <c r="AC803" s="193"/>
      <c r="AD803" s="193"/>
      <c r="AE803" s="193"/>
    </row>
    <row r="804" ht="14.25" customHeight="1">
      <c r="A804" s="191" t="s">
        <v>3333</v>
      </c>
      <c r="B804" s="192" t="s">
        <v>3334</v>
      </c>
      <c r="C804" s="191" t="s">
        <v>3335</v>
      </c>
      <c r="D804" s="193"/>
      <c r="E804" s="193"/>
      <c r="F804" s="194"/>
      <c r="G804" s="193"/>
      <c r="H804" s="193"/>
      <c r="I804" s="193"/>
      <c r="J804" s="193"/>
      <c r="K804" s="193"/>
      <c r="L804" s="193"/>
      <c r="M804" s="193"/>
      <c r="N804" s="193"/>
      <c r="O804" s="193"/>
      <c r="P804" s="193"/>
      <c r="Q804" s="193"/>
      <c r="R804" s="193"/>
      <c r="S804" s="193"/>
      <c r="T804" s="193"/>
      <c r="U804" s="193"/>
      <c r="V804" s="193"/>
      <c r="W804" s="193"/>
      <c r="X804" s="193"/>
      <c r="Y804" s="193"/>
      <c r="Z804" s="193"/>
      <c r="AA804" s="193"/>
      <c r="AB804" s="193"/>
      <c r="AC804" s="193"/>
      <c r="AD804" s="193"/>
      <c r="AE804" s="193"/>
    </row>
    <row r="805" ht="14.25" customHeight="1">
      <c r="A805" s="191" t="s">
        <v>3336</v>
      </c>
      <c r="B805" s="192" t="s">
        <v>3337</v>
      </c>
      <c r="C805" s="191" t="s">
        <v>3338</v>
      </c>
      <c r="D805" s="193"/>
      <c r="E805" s="193"/>
      <c r="F805" s="194" t="s">
        <v>3339</v>
      </c>
      <c r="G805" s="193"/>
      <c r="H805" s="193"/>
      <c r="I805" s="193"/>
      <c r="J805" s="193"/>
      <c r="K805" s="193"/>
      <c r="L805" s="193"/>
      <c r="M805" s="193"/>
      <c r="N805" s="193"/>
      <c r="O805" s="193"/>
      <c r="P805" s="193"/>
      <c r="Q805" s="193"/>
      <c r="R805" s="193"/>
      <c r="S805" s="193"/>
      <c r="T805" s="193"/>
      <c r="U805" s="193"/>
      <c r="V805" s="193"/>
      <c r="W805" s="193"/>
      <c r="X805" s="193"/>
      <c r="Y805" s="193"/>
      <c r="Z805" s="193"/>
      <c r="AA805" s="193"/>
      <c r="AB805" s="193"/>
      <c r="AC805" s="193"/>
      <c r="AD805" s="193"/>
      <c r="AE805" s="193"/>
    </row>
    <row r="806" ht="14.25" customHeight="1">
      <c r="A806" s="191" t="s">
        <v>3340</v>
      </c>
      <c r="B806" s="192" t="s">
        <v>3341</v>
      </c>
      <c r="C806" s="191" t="s">
        <v>3342</v>
      </c>
      <c r="D806" s="193"/>
      <c r="E806" s="193"/>
      <c r="F806" s="194" t="s">
        <v>3343</v>
      </c>
      <c r="G806" s="193"/>
      <c r="H806" s="193"/>
      <c r="I806" s="193"/>
      <c r="J806" s="193"/>
      <c r="K806" s="193"/>
      <c r="L806" s="193"/>
      <c r="M806" s="193"/>
      <c r="N806" s="193"/>
      <c r="O806" s="193"/>
      <c r="P806" s="193"/>
      <c r="Q806" s="193"/>
      <c r="R806" s="193"/>
      <c r="S806" s="193"/>
      <c r="T806" s="193"/>
      <c r="U806" s="193"/>
      <c r="V806" s="193"/>
      <c r="W806" s="193"/>
      <c r="X806" s="193"/>
      <c r="Y806" s="193"/>
      <c r="Z806" s="193"/>
      <c r="AA806" s="193"/>
      <c r="AB806" s="193"/>
      <c r="AC806" s="193"/>
      <c r="AD806" s="193"/>
      <c r="AE806" s="193"/>
    </row>
    <row r="807" ht="14.25" customHeight="1">
      <c r="A807" s="191" t="s">
        <v>3344</v>
      </c>
      <c r="B807" s="192" t="s">
        <v>3345</v>
      </c>
      <c r="C807" s="191" t="s">
        <v>3346</v>
      </c>
      <c r="D807" s="193"/>
      <c r="E807" s="193"/>
      <c r="F807" s="194" t="s">
        <v>3347</v>
      </c>
      <c r="G807" s="193"/>
      <c r="H807" s="193"/>
      <c r="I807" s="193"/>
      <c r="J807" s="193"/>
      <c r="K807" s="193"/>
      <c r="L807" s="193"/>
      <c r="M807" s="193"/>
      <c r="N807" s="193"/>
      <c r="O807" s="193"/>
      <c r="P807" s="193"/>
      <c r="Q807" s="193"/>
      <c r="R807" s="193"/>
      <c r="S807" s="193"/>
      <c r="T807" s="193"/>
      <c r="U807" s="193"/>
      <c r="V807" s="193"/>
      <c r="W807" s="193"/>
      <c r="X807" s="193"/>
      <c r="Y807" s="193"/>
      <c r="Z807" s="193"/>
      <c r="AA807" s="193"/>
      <c r="AB807" s="193"/>
      <c r="AC807" s="193"/>
      <c r="AD807" s="193"/>
      <c r="AE807" s="193"/>
    </row>
    <row r="808" ht="14.25" customHeight="1">
      <c r="A808" s="191" t="s">
        <v>3348</v>
      </c>
      <c r="B808" s="192" t="s">
        <v>3349</v>
      </c>
      <c r="C808" s="191" t="s">
        <v>3350</v>
      </c>
      <c r="D808" s="193"/>
      <c r="E808" s="193"/>
      <c r="F808" s="194" t="s">
        <v>3351</v>
      </c>
      <c r="G808" s="193"/>
      <c r="H808" s="193"/>
      <c r="I808" s="193"/>
      <c r="J808" s="193"/>
      <c r="K808" s="193"/>
      <c r="L808" s="193"/>
      <c r="M808" s="193"/>
      <c r="N808" s="193"/>
      <c r="O808" s="193"/>
      <c r="P808" s="193"/>
      <c r="Q808" s="193"/>
      <c r="R808" s="193"/>
      <c r="S808" s="193"/>
      <c r="T808" s="193"/>
      <c r="U808" s="193"/>
      <c r="V808" s="193"/>
      <c r="W808" s="193"/>
      <c r="X808" s="193"/>
      <c r="Y808" s="193"/>
      <c r="Z808" s="193"/>
      <c r="AA808" s="193"/>
      <c r="AB808" s="193"/>
      <c r="AC808" s="193"/>
      <c r="AD808" s="193"/>
      <c r="AE808" s="193"/>
    </row>
    <row r="809" ht="14.25" customHeight="1">
      <c r="A809" s="191" t="s">
        <v>3352</v>
      </c>
      <c r="B809" s="192" t="s">
        <v>3353</v>
      </c>
      <c r="C809" s="191" t="s">
        <v>3354</v>
      </c>
      <c r="D809" s="193"/>
      <c r="E809" s="193"/>
      <c r="F809" s="194" t="s">
        <v>3355</v>
      </c>
      <c r="G809" s="193"/>
      <c r="H809" s="193"/>
      <c r="I809" s="193"/>
      <c r="J809" s="193"/>
      <c r="K809" s="193"/>
      <c r="L809" s="193"/>
      <c r="M809" s="193"/>
      <c r="N809" s="193"/>
      <c r="O809" s="193"/>
      <c r="P809" s="193"/>
      <c r="Q809" s="193"/>
      <c r="R809" s="193"/>
      <c r="S809" s="193"/>
      <c r="T809" s="193"/>
      <c r="U809" s="193"/>
      <c r="V809" s="193"/>
      <c r="W809" s="193"/>
      <c r="X809" s="193"/>
      <c r="Y809" s="193"/>
      <c r="Z809" s="193"/>
      <c r="AA809" s="193"/>
      <c r="AB809" s="193"/>
      <c r="AC809" s="193"/>
      <c r="AD809" s="193"/>
      <c r="AE809" s="193"/>
    </row>
    <row r="810" ht="14.25" customHeight="1">
      <c r="A810" s="191" t="s">
        <v>3356</v>
      </c>
      <c r="B810" s="192" t="s">
        <v>3357</v>
      </c>
      <c r="C810" s="191" t="s">
        <v>3358</v>
      </c>
      <c r="D810" s="193"/>
      <c r="E810" s="193"/>
      <c r="F810" s="194" t="s">
        <v>3359</v>
      </c>
      <c r="G810" s="193"/>
      <c r="H810" s="193"/>
      <c r="I810" s="193"/>
      <c r="J810" s="193"/>
      <c r="K810" s="193"/>
      <c r="L810" s="193"/>
      <c r="M810" s="193"/>
      <c r="N810" s="193"/>
      <c r="O810" s="193"/>
      <c r="P810" s="193"/>
      <c r="Q810" s="193"/>
      <c r="R810" s="193"/>
      <c r="S810" s="193"/>
      <c r="T810" s="193"/>
      <c r="U810" s="193"/>
      <c r="V810" s="193"/>
      <c r="W810" s="193"/>
      <c r="X810" s="193"/>
      <c r="Y810" s="193"/>
      <c r="Z810" s="193"/>
      <c r="AA810" s="193"/>
      <c r="AB810" s="193"/>
      <c r="AC810" s="193"/>
      <c r="AD810" s="193"/>
      <c r="AE810" s="193"/>
    </row>
    <row r="811" ht="14.25" customHeight="1">
      <c r="A811" s="191" t="s">
        <v>3360</v>
      </c>
      <c r="B811" s="192" t="s">
        <v>3361</v>
      </c>
      <c r="C811" s="191" t="s">
        <v>3362</v>
      </c>
      <c r="D811" s="193"/>
      <c r="E811" s="193"/>
      <c r="F811" s="194" t="s">
        <v>3363</v>
      </c>
      <c r="G811" s="193"/>
      <c r="H811" s="193"/>
      <c r="I811" s="193"/>
      <c r="J811" s="193"/>
      <c r="K811" s="193"/>
      <c r="L811" s="193"/>
      <c r="M811" s="193"/>
      <c r="N811" s="193"/>
      <c r="O811" s="193"/>
      <c r="P811" s="193"/>
      <c r="Q811" s="193"/>
      <c r="R811" s="193"/>
      <c r="S811" s="193"/>
      <c r="T811" s="193"/>
      <c r="U811" s="193"/>
      <c r="V811" s="193"/>
      <c r="W811" s="193"/>
      <c r="X811" s="193"/>
      <c r="Y811" s="193"/>
      <c r="Z811" s="193"/>
      <c r="AA811" s="193"/>
      <c r="AB811" s="193"/>
      <c r="AC811" s="193"/>
      <c r="AD811" s="193"/>
      <c r="AE811" s="193"/>
    </row>
    <row r="812" ht="14.25" customHeight="1">
      <c r="A812" s="191" t="s">
        <v>3364</v>
      </c>
      <c r="B812" s="192" t="s">
        <v>3365</v>
      </c>
      <c r="C812" s="191" t="s">
        <v>3366</v>
      </c>
      <c r="D812" s="193"/>
      <c r="E812" s="193"/>
      <c r="F812" s="194" t="s">
        <v>3367</v>
      </c>
      <c r="G812" s="193"/>
      <c r="H812" s="193"/>
      <c r="I812" s="193"/>
      <c r="J812" s="193"/>
      <c r="K812" s="193"/>
      <c r="L812" s="193"/>
      <c r="M812" s="193"/>
      <c r="N812" s="193"/>
      <c r="O812" s="193"/>
      <c r="P812" s="193"/>
      <c r="Q812" s="193"/>
      <c r="R812" s="193"/>
      <c r="S812" s="193"/>
      <c r="T812" s="193"/>
      <c r="U812" s="193"/>
      <c r="V812" s="193"/>
      <c r="W812" s="193"/>
      <c r="X812" s="193"/>
      <c r="Y812" s="193"/>
      <c r="Z812" s="193"/>
      <c r="AA812" s="193"/>
      <c r="AB812" s="193"/>
      <c r="AC812" s="193"/>
      <c r="AD812" s="193"/>
      <c r="AE812" s="193"/>
    </row>
    <row r="813" ht="14.25" customHeight="1">
      <c r="A813" s="191" t="s">
        <v>3368</v>
      </c>
      <c r="B813" s="192" t="s">
        <v>3369</v>
      </c>
      <c r="C813" s="191" t="s">
        <v>3370</v>
      </c>
      <c r="D813" s="193"/>
      <c r="E813" s="193"/>
      <c r="F813" s="194" t="s">
        <v>3371</v>
      </c>
      <c r="G813" s="193"/>
      <c r="H813" s="193"/>
      <c r="I813" s="193"/>
      <c r="J813" s="193"/>
      <c r="K813" s="193"/>
      <c r="L813" s="193"/>
      <c r="M813" s="193"/>
      <c r="N813" s="193"/>
      <c r="O813" s="193"/>
      <c r="P813" s="193"/>
      <c r="Q813" s="193"/>
      <c r="R813" s="193"/>
      <c r="S813" s="193"/>
      <c r="T813" s="193"/>
      <c r="U813" s="193"/>
      <c r="V813" s="193"/>
      <c r="W813" s="193"/>
      <c r="X813" s="193"/>
      <c r="Y813" s="193"/>
      <c r="Z813" s="193"/>
      <c r="AA813" s="193"/>
      <c r="AB813" s="193"/>
      <c r="AC813" s="193"/>
      <c r="AD813" s="193"/>
      <c r="AE813" s="193"/>
    </row>
    <row r="814" ht="14.25" customHeight="1">
      <c r="A814" s="191" t="s">
        <v>3372</v>
      </c>
      <c r="B814" s="192" t="s">
        <v>3373</v>
      </c>
      <c r="C814" s="191" t="s">
        <v>3374</v>
      </c>
      <c r="D814" s="193"/>
      <c r="E814" s="193"/>
      <c r="F814" s="194" t="s">
        <v>3375</v>
      </c>
      <c r="G814" s="193"/>
      <c r="H814" s="193"/>
      <c r="I814" s="193"/>
      <c r="J814" s="193"/>
      <c r="K814" s="193"/>
      <c r="L814" s="193"/>
      <c r="M814" s="193"/>
      <c r="N814" s="193"/>
      <c r="O814" s="193"/>
      <c r="P814" s="193"/>
      <c r="Q814" s="193"/>
      <c r="R814" s="193"/>
      <c r="S814" s="193"/>
      <c r="T814" s="193"/>
      <c r="U814" s="193"/>
      <c r="V814" s="193"/>
      <c r="W814" s="193"/>
      <c r="X814" s="193"/>
      <c r="Y814" s="193"/>
      <c r="Z814" s="193"/>
      <c r="AA814" s="193"/>
      <c r="AB814" s="193"/>
      <c r="AC814" s="193"/>
      <c r="AD814" s="193"/>
      <c r="AE814" s="193"/>
    </row>
    <row r="815" ht="14.25" customHeight="1">
      <c r="A815" s="191" t="s">
        <v>3376</v>
      </c>
      <c r="B815" s="192" t="s">
        <v>3377</v>
      </c>
      <c r="C815" s="191" t="s">
        <v>3378</v>
      </c>
      <c r="D815" s="193"/>
      <c r="E815" s="193"/>
      <c r="F815" s="194" t="s">
        <v>3379</v>
      </c>
      <c r="G815" s="193"/>
      <c r="H815" s="193"/>
      <c r="I815" s="193"/>
      <c r="J815" s="193"/>
      <c r="K815" s="193"/>
      <c r="L815" s="193"/>
      <c r="M815" s="193"/>
      <c r="N815" s="193"/>
      <c r="O815" s="193"/>
      <c r="P815" s="193"/>
      <c r="Q815" s="193"/>
      <c r="R815" s="193"/>
      <c r="S815" s="193"/>
      <c r="T815" s="193"/>
      <c r="U815" s="193"/>
      <c r="V815" s="193"/>
      <c r="W815" s="193"/>
      <c r="X815" s="193"/>
      <c r="Y815" s="193"/>
      <c r="Z815" s="193"/>
      <c r="AA815" s="193"/>
      <c r="AB815" s="193"/>
      <c r="AC815" s="193"/>
      <c r="AD815" s="193"/>
      <c r="AE815" s="193"/>
    </row>
    <row r="816" ht="14.25" customHeight="1">
      <c r="A816" s="191" t="s">
        <v>3380</v>
      </c>
      <c r="B816" s="192" t="s">
        <v>3381</v>
      </c>
      <c r="C816" s="191" t="s">
        <v>3382</v>
      </c>
      <c r="D816" s="193"/>
      <c r="E816" s="193"/>
      <c r="F816" s="194" t="s">
        <v>3383</v>
      </c>
      <c r="G816" s="193"/>
      <c r="H816" s="193"/>
      <c r="I816" s="193"/>
      <c r="J816" s="193"/>
      <c r="K816" s="193"/>
      <c r="L816" s="193"/>
      <c r="M816" s="193"/>
      <c r="N816" s="193"/>
      <c r="O816" s="193"/>
      <c r="P816" s="193"/>
      <c r="Q816" s="193"/>
      <c r="R816" s="193"/>
      <c r="S816" s="193"/>
      <c r="T816" s="193"/>
      <c r="U816" s="193"/>
      <c r="V816" s="193"/>
      <c r="W816" s="193"/>
      <c r="X816" s="193"/>
      <c r="Y816" s="193"/>
      <c r="Z816" s="193"/>
      <c r="AA816" s="193"/>
      <c r="AB816" s="193"/>
      <c r="AC816" s="193"/>
      <c r="AD816" s="193"/>
      <c r="AE816" s="193"/>
    </row>
    <row r="817" ht="14.25" customHeight="1">
      <c r="A817" s="191" t="s">
        <v>3384</v>
      </c>
      <c r="B817" s="192" t="s">
        <v>3385</v>
      </c>
      <c r="C817" s="191" t="s">
        <v>3386</v>
      </c>
      <c r="D817" s="193"/>
      <c r="E817" s="193"/>
      <c r="F817" s="194" t="s">
        <v>3387</v>
      </c>
      <c r="G817" s="193"/>
      <c r="H817" s="193"/>
      <c r="I817" s="193"/>
      <c r="J817" s="193"/>
      <c r="K817" s="193"/>
      <c r="L817" s="193"/>
      <c r="M817" s="193"/>
      <c r="N817" s="193"/>
      <c r="O817" s="193"/>
      <c r="P817" s="193"/>
      <c r="Q817" s="193"/>
      <c r="R817" s="193"/>
      <c r="S817" s="193"/>
      <c r="T817" s="193"/>
      <c r="U817" s="193"/>
      <c r="V817" s="193"/>
      <c r="W817" s="193"/>
      <c r="X817" s="193"/>
      <c r="Y817" s="193"/>
      <c r="Z817" s="193"/>
      <c r="AA817" s="193"/>
      <c r="AB817" s="193"/>
      <c r="AC817" s="193"/>
      <c r="AD817" s="193"/>
      <c r="AE817" s="193"/>
    </row>
    <row r="818" ht="14.25" customHeight="1">
      <c r="A818" s="191" t="s">
        <v>3388</v>
      </c>
      <c r="B818" s="192" t="s">
        <v>3389</v>
      </c>
      <c r="C818" s="191" t="s">
        <v>3390</v>
      </c>
      <c r="D818" s="193"/>
      <c r="E818" s="193"/>
      <c r="F818" s="194" t="s">
        <v>3391</v>
      </c>
      <c r="G818" s="193"/>
      <c r="H818" s="193"/>
      <c r="I818" s="193"/>
      <c r="J818" s="193"/>
      <c r="K818" s="193"/>
      <c r="L818" s="193"/>
      <c r="M818" s="193"/>
      <c r="N818" s="193"/>
      <c r="O818" s="193"/>
      <c r="P818" s="193"/>
      <c r="Q818" s="193"/>
      <c r="R818" s="193"/>
      <c r="S818" s="193"/>
      <c r="T818" s="193"/>
      <c r="U818" s="193"/>
      <c r="V818" s="193"/>
      <c r="W818" s="193"/>
      <c r="X818" s="193"/>
      <c r="Y818" s="193"/>
      <c r="Z818" s="193"/>
      <c r="AA818" s="193"/>
      <c r="AB818" s="193"/>
      <c r="AC818" s="193"/>
      <c r="AD818" s="193"/>
      <c r="AE818" s="193"/>
    </row>
    <row r="819" ht="14.25" customHeight="1">
      <c r="A819" s="191" t="s">
        <v>3392</v>
      </c>
      <c r="B819" s="192" t="s">
        <v>3393</v>
      </c>
      <c r="C819" s="191" t="s">
        <v>3394</v>
      </c>
      <c r="D819" s="193"/>
      <c r="E819" s="193"/>
      <c r="F819" s="194" t="s">
        <v>3395</v>
      </c>
      <c r="G819" s="193"/>
      <c r="H819" s="193"/>
      <c r="I819" s="193"/>
      <c r="J819" s="193"/>
      <c r="K819" s="193"/>
      <c r="L819" s="193"/>
      <c r="M819" s="193"/>
      <c r="N819" s="193"/>
      <c r="O819" s="193"/>
      <c r="P819" s="193"/>
      <c r="Q819" s="193"/>
      <c r="R819" s="193"/>
      <c r="S819" s="193"/>
      <c r="T819" s="193"/>
      <c r="U819" s="193"/>
      <c r="V819" s="193"/>
      <c r="W819" s="193"/>
      <c r="X819" s="193"/>
      <c r="Y819" s="193"/>
      <c r="Z819" s="193"/>
      <c r="AA819" s="193"/>
      <c r="AB819" s="193"/>
      <c r="AC819" s="193"/>
      <c r="AD819" s="193"/>
      <c r="AE819" s="193"/>
    </row>
    <row r="820" ht="14.25" customHeight="1">
      <c r="A820" s="191" t="s">
        <v>3396</v>
      </c>
      <c r="B820" s="192" t="s">
        <v>3397</v>
      </c>
      <c r="C820" s="191" t="s">
        <v>3398</v>
      </c>
      <c r="D820" s="193"/>
      <c r="E820" s="193"/>
      <c r="F820" s="195"/>
      <c r="G820" s="193"/>
      <c r="H820" s="193"/>
      <c r="I820" s="193"/>
      <c r="J820" s="193"/>
      <c r="K820" s="193"/>
      <c r="L820" s="193"/>
      <c r="M820" s="193"/>
      <c r="N820" s="193"/>
      <c r="O820" s="193"/>
      <c r="P820" s="193"/>
      <c r="Q820" s="193"/>
      <c r="R820" s="193"/>
      <c r="S820" s="193"/>
      <c r="T820" s="193"/>
      <c r="U820" s="193"/>
      <c r="V820" s="193"/>
      <c r="W820" s="193"/>
      <c r="X820" s="193"/>
      <c r="Y820" s="193"/>
      <c r="Z820" s="193"/>
      <c r="AA820" s="193"/>
      <c r="AB820" s="193"/>
      <c r="AC820" s="193"/>
      <c r="AD820" s="193"/>
      <c r="AE820" s="193"/>
    </row>
    <row r="821" ht="14.25" customHeight="1">
      <c r="A821" s="191" t="s">
        <v>3399</v>
      </c>
      <c r="B821" s="192" t="s">
        <v>3400</v>
      </c>
      <c r="C821" s="191" t="s">
        <v>3401</v>
      </c>
      <c r="D821" s="193"/>
      <c r="E821" s="193"/>
      <c r="F821" s="194" t="s">
        <v>3402</v>
      </c>
      <c r="G821" s="193"/>
      <c r="H821" s="193"/>
      <c r="I821" s="193"/>
      <c r="J821" s="193"/>
      <c r="K821" s="193"/>
      <c r="L821" s="193"/>
      <c r="M821" s="193"/>
      <c r="N821" s="193"/>
      <c r="O821" s="193"/>
      <c r="P821" s="193"/>
      <c r="Q821" s="193"/>
      <c r="R821" s="193"/>
      <c r="S821" s="193"/>
      <c r="T821" s="193"/>
      <c r="U821" s="193"/>
      <c r="V821" s="193"/>
      <c r="W821" s="193"/>
      <c r="X821" s="193"/>
      <c r="Y821" s="193"/>
      <c r="Z821" s="193"/>
      <c r="AA821" s="193"/>
      <c r="AB821" s="193"/>
      <c r="AC821" s="193"/>
      <c r="AD821" s="193"/>
      <c r="AE821" s="193"/>
    </row>
    <row r="822" ht="14.25" customHeight="1">
      <c r="A822" s="191" t="s">
        <v>3403</v>
      </c>
      <c r="B822" s="192" t="s">
        <v>3404</v>
      </c>
      <c r="C822" s="191" t="s">
        <v>3405</v>
      </c>
      <c r="D822" s="193"/>
      <c r="E822" s="193"/>
      <c r="F822" s="194" t="s">
        <v>3406</v>
      </c>
      <c r="G822" s="193"/>
      <c r="H822" s="193"/>
      <c r="I822" s="193"/>
      <c r="J822" s="193"/>
      <c r="K822" s="193"/>
      <c r="L822" s="193"/>
      <c r="M822" s="193"/>
      <c r="N822" s="193"/>
      <c r="O822" s="193"/>
      <c r="P822" s="193"/>
      <c r="Q822" s="193"/>
      <c r="R822" s="193"/>
      <c r="S822" s="193"/>
      <c r="T822" s="193"/>
      <c r="U822" s="193"/>
      <c r="V822" s="193"/>
      <c r="W822" s="193"/>
      <c r="X822" s="193"/>
      <c r="Y822" s="193"/>
      <c r="Z822" s="193"/>
      <c r="AA822" s="193"/>
      <c r="AB822" s="193"/>
      <c r="AC822" s="193"/>
      <c r="AD822" s="193"/>
      <c r="AE822" s="193"/>
    </row>
    <row r="823" ht="14.25" customHeight="1">
      <c r="A823" s="191" t="s">
        <v>3407</v>
      </c>
      <c r="B823" s="192" t="s">
        <v>3408</v>
      </c>
      <c r="C823" s="191" t="s">
        <v>3409</v>
      </c>
      <c r="D823" s="193"/>
      <c r="E823" s="193"/>
      <c r="F823" s="194" t="s">
        <v>3410</v>
      </c>
      <c r="G823" s="193"/>
      <c r="H823" s="193"/>
      <c r="I823" s="193"/>
      <c r="J823" s="193"/>
      <c r="K823" s="193"/>
      <c r="L823" s="193"/>
      <c r="M823" s="193"/>
      <c r="N823" s="193"/>
      <c r="O823" s="193"/>
      <c r="P823" s="193"/>
      <c r="Q823" s="193"/>
      <c r="R823" s="193"/>
      <c r="S823" s="193"/>
      <c r="T823" s="193"/>
      <c r="U823" s="193"/>
      <c r="V823" s="193"/>
      <c r="W823" s="193"/>
      <c r="X823" s="193"/>
      <c r="Y823" s="193"/>
      <c r="Z823" s="193"/>
      <c r="AA823" s="193"/>
      <c r="AB823" s="193"/>
      <c r="AC823" s="193"/>
      <c r="AD823" s="193"/>
      <c r="AE823" s="193"/>
    </row>
    <row r="824" ht="14.25" customHeight="1">
      <c r="A824" s="191" t="s">
        <v>3411</v>
      </c>
      <c r="B824" s="192" t="s">
        <v>3412</v>
      </c>
      <c r="C824" s="191" t="s">
        <v>3413</v>
      </c>
      <c r="D824" s="193"/>
      <c r="E824" s="193"/>
      <c r="F824" s="194" t="s">
        <v>3414</v>
      </c>
      <c r="G824" s="193"/>
      <c r="H824" s="193"/>
      <c r="I824" s="193"/>
      <c r="J824" s="193"/>
      <c r="K824" s="193"/>
      <c r="L824" s="193"/>
      <c r="M824" s="193"/>
      <c r="N824" s="193"/>
      <c r="O824" s="193"/>
      <c r="P824" s="193"/>
      <c r="Q824" s="193"/>
      <c r="R824" s="193"/>
      <c r="S824" s="193"/>
      <c r="T824" s="193"/>
      <c r="U824" s="193"/>
      <c r="V824" s="193"/>
      <c r="W824" s="193"/>
      <c r="X824" s="193"/>
      <c r="Y824" s="193"/>
      <c r="Z824" s="193"/>
      <c r="AA824" s="193"/>
      <c r="AB824" s="193"/>
      <c r="AC824" s="193"/>
      <c r="AD824" s="193"/>
      <c r="AE824" s="193"/>
    </row>
    <row r="825" ht="14.25" customHeight="1">
      <c r="A825" s="191" t="s">
        <v>3415</v>
      </c>
      <c r="B825" s="192" t="s">
        <v>3416</v>
      </c>
      <c r="C825" s="191" t="s">
        <v>3417</v>
      </c>
      <c r="D825" s="193"/>
      <c r="E825" s="193"/>
      <c r="F825" s="194" t="s">
        <v>3418</v>
      </c>
      <c r="G825" s="193"/>
      <c r="H825" s="193"/>
      <c r="I825" s="193"/>
      <c r="J825" s="193"/>
      <c r="K825" s="193"/>
      <c r="L825" s="193"/>
      <c r="M825" s="193"/>
      <c r="N825" s="193"/>
      <c r="O825" s="193"/>
      <c r="P825" s="193"/>
      <c r="Q825" s="193"/>
      <c r="R825" s="193"/>
      <c r="S825" s="193"/>
      <c r="T825" s="193"/>
      <c r="U825" s="193"/>
      <c r="V825" s="193"/>
      <c r="W825" s="193"/>
      <c r="X825" s="193"/>
      <c r="Y825" s="193"/>
      <c r="Z825" s="193"/>
      <c r="AA825" s="193"/>
      <c r="AB825" s="193"/>
      <c r="AC825" s="193"/>
      <c r="AD825" s="193"/>
      <c r="AE825" s="193"/>
    </row>
    <row r="826" ht="14.25" customHeight="1">
      <c r="A826" s="191" t="s">
        <v>3419</v>
      </c>
      <c r="B826" s="192" t="s">
        <v>3420</v>
      </c>
      <c r="C826" s="191" t="s">
        <v>3421</v>
      </c>
      <c r="D826" s="193"/>
      <c r="E826" s="193"/>
      <c r="F826" s="194" t="s">
        <v>3422</v>
      </c>
      <c r="G826" s="193"/>
      <c r="H826" s="193"/>
      <c r="I826" s="193"/>
      <c r="J826" s="193"/>
      <c r="K826" s="193"/>
      <c r="L826" s="193"/>
      <c r="M826" s="193"/>
      <c r="N826" s="193"/>
      <c r="O826" s="193"/>
      <c r="P826" s="193"/>
      <c r="Q826" s="193"/>
      <c r="R826" s="193"/>
      <c r="S826" s="193"/>
      <c r="T826" s="193"/>
      <c r="U826" s="193"/>
      <c r="V826" s="193"/>
      <c r="W826" s="193"/>
      <c r="X826" s="193"/>
      <c r="Y826" s="193"/>
      <c r="Z826" s="193"/>
      <c r="AA826" s="193"/>
      <c r="AB826" s="193"/>
      <c r="AC826" s="193"/>
      <c r="AD826" s="193"/>
      <c r="AE826" s="193"/>
    </row>
    <row r="827" ht="14.25" customHeight="1">
      <c r="A827" s="191" t="s">
        <v>3423</v>
      </c>
      <c r="B827" s="192" t="s">
        <v>3424</v>
      </c>
      <c r="C827" s="191" t="s">
        <v>3425</v>
      </c>
      <c r="D827" s="193"/>
      <c r="E827" s="193"/>
      <c r="F827" s="194" t="s">
        <v>3426</v>
      </c>
      <c r="G827" s="193"/>
      <c r="H827" s="193"/>
      <c r="I827" s="193"/>
      <c r="J827" s="193"/>
      <c r="K827" s="193"/>
      <c r="L827" s="193"/>
      <c r="M827" s="193"/>
      <c r="N827" s="193"/>
      <c r="O827" s="193"/>
      <c r="P827" s="193"/>
      <c r="Q827" s="193"/>
      <c r="R827" s="193"/>
      <c r="S827" s="193"/>
      <c r="T827" s="193"/>
      <c r="U827" s="193"/>
      <c r="V827" s="193"/>
      <c r="W827" s="193"/>
      <c r="X827" s="193"/>
      <c r="Y827" s="193"/>
      <c r="Z827" s="193"/>
      <c r="AA827" s="193"/>
      <c r="AB827" s="193"/>
      <c r="AC827" s="193"/>
      <c r="AD827" s="193"/>
      <c r="AE827" s="193"/>
    </row>
    <row r="828" ht="14.25" customHeight="1">
      <c r="A828" s="191" t="s">
        <v>3427</v>
      </c>
      <c r="B828" s="192" t="s">
        <v>3428</v>
      </c>
      <c r="C828" s="191" t="s">
        <v>3429</v>
      </c>
      <c r="D828" s="193"/>
      <c r="E828" s="193"/>
      <c r="F828" s="194" t="s">
        <v>3430</v>
      </c>
      <c r="G828" s="193"/>
      <c r="H828" s="193"/>
      <c r="I828" s="193"/>
      <c r="J828" s="193"/>
      <c r="K828" s="193"/>
      <c r="L828" s="193"/>
      <c r="M828" s="193"/>
      <c r="N828" s="193"/>
      <c r="O828" s="193"/>
      <c r="P828" s="193"/>
      <c r="Q828" s="193"/>
      <c r="R828" s="193"/>
      <c r="S828" s="193"/>
      <c r="T828" s="193"/>
      <c r="U828" s="193"/>
      <c r="V828" s="193"/>
      <c r="W828" s="193"/>
      <c r="X828" s="193"/>
      <c r="Y828" s="193"/>
      <c r="Z828" s="193"/>
      <c r="AA828" s="193"/>
      <c r="AB828" s="193"/>
      <c r="AC828" s="193"/>
      <c r="AD828" s="193"/>
      <c r="AE828" s="193"/>
    </row>
    <row r="829" ht="14.25" customHeight="1">
      <c r="A829" s="191" t="s">
        <v>3431</v>
      </c>
      <c r="B829" s="192" t="s">
        <v>3432</v>
      </c>
      <c r="C829" s="191" t="s">
        <v>3433</v>
      </c>
      <c r="D829" s="193"/>
      <c r="E829" s="193"/>
      <c r="F829" s="194" t="s">
        <v>3434</v>
      </c>
      <c r="G829" s="193"/>
      <c r="H829" s="193"/>
      <c r="I829" s="193"/>
      <c r="J829" s="193"/>
      <c r="K829" s="193"/>
      <c r="L829" s="193"/>
      <c r="M829" s="193"/>
      <c r="N829" s="193"/>
      <c r="O829" s="193"/>
      <c r="P829" s="193"/>
      <c r="Q829" s="193"/>
      <c r="R829" s="193"/>
      <c r="S829" s="193"/>
      <c r="T829" s="193"/>
      <c r="U829" s="193"/>
      <c r="V829" s="193"/>
      <c r="W829" s="193"/>
      <c r="X829" s="193"/>
      <c r="Y829" s="193"/>
      <c r="Z829" s="193"/>
      <c r="AA829" s="193"/>
      <c r="AB829" s="193"/>
      <c r="AC829" s="193"/>
      <c r="AD829" s="193"/>
      <c r="AE829" s="193"/>
    </row>
    <row r="830" ht="14.25" customHeight="1">
      <c r="A830" s="191" t="s">
        <v>3435</v>
      </c>
      <c r="B830" s="192" t="s">
        <v>3436</v>
      </c>
      <c r="C830" s="191" t="s">
        <v>3437</v>
      </c>
      <c r="D830" s="193"/>
      <c r="E830" s="193"/>
      <c r="F830" s="194" t="s">
        <v>3438</v>
      </c>
      <c r="G830" s="193"/>
      <c r="H830" s="193"/>
      <c r="I830" s="193"/>
      <c r="J830" s="193"/>
      <c r="K830" s="193"/>
      <c r="L830" s="193"/>
      <c r="M830" s="193"/>
      <c r="N830" s="193"/>
      <c r="O830" s="193"/>
      <c r="P830" s="193"/>
      <c r="Q830" s="193"/>
      <c r="R830" s="193"/>
      <c r="S830" s="193"/>
      <c r="T830" s="193"/>
      <c r="U830" s="193"/>
      <c r="V830" s="193"/>
      <c r="W830" s="193"/>
      <c r="X830" s="193"/>
      <c r="Y830" s="193"/>
      <c r="Z830" s="193"/>
      <c r="AA830" s="193"/>
      <c r="AB830" s="193"/>
      <c r="AC830" s="193"/>
      <c r="AD830" s="193"/>
      <c r="AE830" s="193"/>
    </row>
    <row r="831" ht="14.25" customHeight="1">
      <c r="A831" s="191" t="s">
        <v>3439</v>
      </c>
      <c r="B831" s="192" t="s">
        <v>3440</v>
      </c>
      <c r="C831" s="191" t="s">
        <v>3441</v>
      </c>
      <c r="D831" s="193"/>
      <c r="E831" s="193"/>
      <c r="F831" s="194" t="s">
        <v>3442</v>
      </c>
      <c r="G831" s="193"/>
      <c r="H831" s="193"/>
      <c r="I831" s="193"/>
      <c r="J831" s="193"/>
      <c r="K831" s="193"/>
      <c r="L831" s="193"/>
      <c r="M831" s="193"/>
      <c r="N831" s="193"/>
      <c r="O831" s="193"/>
      <c r="P831" s="193"/>
      <c r="Q831" s="193"/>
      <c r="R831" s="193"/>
      <c r="S831" s="193"/>
      <c r="T831" s="193"/>
      <c r="U831" s="193"/>
      <c r="V831" s="193"/>
      <c r="W831" s="193"/>
      <c r="X831" s="193"/>
      <c r="Y831" s="193"/>
      <c r="Z831" s="193"/>
      <c r="AA831" s="193"/>
      <c r="AB831" s="193"/>
      <c r="AC831" s="193"/>
      <c r="AD831" s="193"/>
      <c r="AE831" s="193"/>
    </row>
    <row r="832" ht="14.25" customHeight="1">
      <c r="A832" s="191" t="s">
        <v>3443</v>
      </c>
      <c r="B832" s="192" t="s">
        <v>3444</v>
      </c>
      <c r="C832" s="191" t="s">
        <v>3445</v>
      </c>
      <c r="D832" s="193"/>
      <c r="E832" s="193"/>
      <c r="F832" s="194" t="s">
        <v>3446</v>
      </c>
      <c r="G832" s="193"/>
      <c r="H832" s="193"/>
      <c r="I832" s="193"/>
      <c r="J832" s="193"/>
      <c r="K832" s="193"/>
      <c r="L832" s="193"/>
      <c r="M832" s="193"/>
      <c r="N832" s="193"/>
      <c r="O832" s="193"/>
      <c r="P832" s="193"/>
      <c r="Q832" s="193"/>
      <c r="R832" s="193"/>
      <c r="S832" s="193"/>
      <c r="T832" s="193"/>
      <c r="U832" s="193"/>
      <c r="V832" s="193"/>
      <c r="W832" s="193"/>
      <c r="X832" s="193"/>
      <c r="Y832" s="193"/>
      <c r="Z832" s="193"/>
      <c r="AA832" s="193"/>
      <c r="AB832" s="193"/>
      <c r="AC832" s="193"/>
      <c r="AD832" s="193"/>
      <c r="AE832" s="193"/>
    </row>
    <row r="833" ht="14.25" customHeight="1">
      <c r="A833" s="191" t="s">
        <v>3447</v>
      </c>
      <c r="B833" s="192" t="s">
        <v>3448</v>
      </c>
      <c r="C833" s="191" t="s">
        <v>3449</v>
      </c>
      <c r="D833" s="193"/>
      <c r="E833" s="193"/>
      <c r="F833" s="194" t="s">
        <v>3450</v>
      </c>
      <c r="G833" s="193"/>
      <c r="H833" s="193"/>
      <c r="I833" s="193"/>
      <c r="J833" s="193"/>
      <c r="K833" s="193"/>
      <c r="L833" s="193"/>
      <c r="M833" s="193"/>
      <c r="N833" s="193"/>
      <c r="O833" s="193"/>
      <c r="P833" s="193"/>
      <c r="Q833" s="193"/>
      <c r="R833" s="193"/>
      <c r="S833" s="193"/>
      <c r="T833" s="193"/>
      <c r="U833" s="193"/>
      <c r="V833" s="193"/>
      <c r="W833" s="193"/>
      <c r="X833" s="193"/>
      <c r="Y833" s="193"/>
      <c r="Z833" s="193"/>
      <c r="AA833" s="193"/>
      <c r="AB833" s="193"/>
      <c r="AC833" s="193"/>
      <c r="AD833" s="193"/>
      <c r="AE833" s="193"/>
    </row>
    <row r="834" ht="14.25" customHeight="1">
      <c r="A834" s="191" t="s">
        <v>3451</v>
      </c>
      <c r="B834" s="192" t="s">
        <v>3452</v>
      </c>
      <c r="C834" s="191" t="s">
        <v>3453</v>
      </c>
      <c r="D834" s="193"/>
      <c r="E834" s="193"/>
      <c r="F834" s="194" t="s">
        <v>3454</v>
      </c>
      <c r="G834" s="193"/>
      <c r="H834" s="193"/>
      <c r="I834" s="193"/>
      <c r="J834" s="193"/>
      <c r="K834" s="193"/>
      <c r="L834" s="193"/>
      <c r="M834" s="193"/>
      <c r="N834" s="193"/>
      <c r="O834" s="193"/>
      <c r="P834" s="193"/>
      <c r="Q834" s="193"/>
      <c r="R834" s="193"/>
      <c r="S834" s="193"/>
      <c r="T834" s="193"/>
      <c r="U834" s="193"/>
      <c r="V834" s="193"/>
      <c r="W834" s="193"/>
      <c r="X834" s="193"/>
      <c r="Y834" s="193"/>
      <c r="Z834" s="193"/>
      <c r="AA834" s="193"/>
      <c r="AB834" s="193"/>
      <c r="AC834" s="193"/>
      <c r="AD834" s="193"/>
      <c r="AE834" s="193"/>
    </row>
    <row r="835" ht="14.25" customHeight="1">
      <c r="A835" s="191" t="s">
        <v>3455</v>
      </c>
      <c r="B835" s="192" t="s">
        <v>3456</v>
      </c>
      <c r="C835" s="191" t="s">
        <v>3457</v>
      </c>
      <c r="D835" s="193"/>
      <c r="E835" s="193"/>
      <c r="F835" s="194" t="s">
        <v>3458</v>
      </c>
      <c r="G835" s="193"/>
      <c r="H835" s="193"/>
      <c r="I835" s="193"/>
      <c r="J835" s="193"/>
      <c r="K835" s="193"/>
      <c r="L835" s="193"/>
      <c r="M835" s="193"/>
      <c r="N835" s="193"/>
      <c r="O835" s="193"/>
      <c r="P835" s="193"/>
      <c r="Q835" s="193"/>
      <c r="R835" s="193"/>
      <c r="S835" s="193"/>
      <c r="T835" s="193"/>
      <c r="U835" s="193"/>
      <c r="V835" s="193"/>
      <c r="W835" s="193"/>
      <c r="X835" s="193"/>
      <c r="Y835" s="193"/>
      <c r="Z835" s="193"/>
      <c r="AA835" s="193"/>
      <c r="AB835" s="193"/>
      <c r="AC835" s="193"/>
      <c r="AD835" s="193"/>
      <c r="AE835" s="193"/>
    </row>
    <row r="836" ht="14.25" customHeight="1">
      <c r="A836" s="191" t="s">
        <v>3459</v>
      </c>
      <c r="B836" s="192" t="s">
        <v>3460</v>
      </c>
      <c r="C836" s="191" t="s">
        <v>3461</v>
      </c>
      <c r="D836" s="193"/>
      <c r="E836" s="193"/>
      <c r="F836" s="194" t="s">
        <v>3462</v>
      </c>
      <c r="G836" s="193"/>
      <c r="H836" s="193"/>
      <c r="I836" s="193"/>
      <c r="J836" s="193"/>
      <c r="K836" s="193"/>
      <c r="L836" s="193"/>
      <c r="M836" s="193"/>
      <c r="N836" s="193"/>
      <c r="O836" s="193"/>
      <c r="P836" s="193"/>
      <c r="Q836" s="193"/>
      <c r="R836" s="193"/>
      <c r="S836" s="193"/>
      <c r="T836" s="193"/>
      <c r="U836" s="193"/>
      <c r="V836" s="193"/>
      <c r="W836" s="193"/>
      <c r="X836" s="193"/>
      <c r="Y836" s="193"/>
      <c r="Z836" s="193"/>
      <c r="AA836" s="193"/>
      <c r="AB836" s="193"/>
      <c r="AC836" s="193"/>
      <c r="AD836" s="193"/>
      <c r="AE836" s="193"/>
    </row>
    <row r="837" ht="14.25" customHeight="1">
      <c r="A837" s="191" t="s">
        <v>3463</v>
      </c>
      <c r="B837" s="192" t="s">
        <v>3464</v>
      </c>
      <c r="C837" s="191" t="s">
        <v>3465</v>
      </c>
      <c r="D837" s="193"/>
      <c r="E837" s="193"/>
      <c r="F837" s="194" t="s">
        <v>3466</v>
      </c>
      <c r="G837" s="193"/>
      <c r="H837" s="193"/>
      <c r="I837" s="193"/>
      <c r="J837" s="193"/>
      <c r="K837" s="193"/>
      <c r="L837" s="193"/>
      <c r="M837" s="193"/>
      <c r="N837" s="193"/>
      <c r="O837" s="193"/>
      <c r="P837" s="193"/>
      <c r="Q837" s="193"/>
      <c r="R837" s="193"/>
      <c r="S837" s="193"/>
      <c r="T837" s="193"/>
      <c r="U837" s="193"/>
      <c r="V837" s="193"/>
      <c r="W837" s="193"/>
      <c r="X837" s="193"/>
      <c r="Y837" s="193"/>
      <c r="Z837" s="193"/>
      <c r="AA837" s="193"/>
      <c r="AB837" s="193"/>
      <c r="AC837" s="193"/>
      <c r="AD837" s="193"/>
      <c r="AE837" s="193"/>
    </row>
    <row r="838" ht="14.25" customHeight="1">
      <c r="A838" s="191" t="s">
        <v>3467</v>
      </c>
      <c r="B838" s="192" t="s">
        <v>3468</v>
      </c>
      <c r="C838" s="191" t="s">
        <v>3469</v>
      </c>
      <c r="D838" s="193"/>
      <c r="E838" s="193"/>
      <c r="F838" s="194" t="s">
        <v>3470</v>
      </c>
      <c r="G838" s="193"/>
      <c r="H838" s="193"/>
      <c r="I838" s="193"/>
      <c r="J838" s="193"/>
      <c r="K838" s="193"/>
      <c r="L838" s="193"/>
      <c r="M838" s="193"/>
      <c r="N838" s="193"/>
      <c r="O838" s="193"/>
      <c r="P838" s="193"/>
      <c r="Q838" s="193"/>
      <c r="R838" s="193"/>
      <c r="S838" s="193"/>
      <c r="T838" s="193"/>
      <c r="U838" s="193"/>
      <c r="V838" s="193"/>
      <c r="W838" s="193"/>
      <c r="X838" s="193"/>
      <c r="Y838" s="193"/>
      <c r="Z838" s="193"/>
      <c r="AA838" s="193"/>
      <c r="AB838" s="193"/>
      <c r="AC838" s="193"/>
      <c r="AD838" s="193"/>
      <c r="AE838" s="193"/>
    </row>
    <row r="839" ht="14.25" customHeight="1">
      <c r="A839" s="191" t="s">
        <v>3471</v>
      </c>
      <c r="B839" s="192" t="s">
        <v>3472</v>
      </c>
      <c r="C839" s="191" t="s">
        <v>3473</v>
      </c>
      <c r="D839" s="193"/>
      <c r="E839" s="193"/>
      <c r="F839" s="194" t="s">
        <v>3474</v>
      </c>
      <c r="G839" s="193"/>
      <c r="H839" s="193"/>
      <c r="I839" s="193"/>
      <c r="J839" s="193"/>
      <c r="K839" s="193"/>
      <c r="L839" s="193"/>
      <c r="M839" s="193"/>
      <c r="N839" s="193"/>
      <c r="O839" s="193"/>
      <c r="P839" s="193"/>
      <c r="Q839" s="193"/>
      <c r="R839" s="193"/>
      <c r="S839" s="193"/>
      <c r="T839" s="193"/>
      <c r="U839" s="193"/>
      <c r="V839" s="193"/>
      <c r="W839" s="193"/>
      <c r="X839" s="193"/>
      <c r="Y839" s="193"/>
      <c r="Z839" s="193"/>
      <c r="AA839" s="193"/>
      <c r="AB839" s="193"/>
      <c r="AC839" s="193"/>
      <c r="AD839" s="193"/>
      <c r="AE839" s="193"/>
    </row>
    <row r="840" ht="14.25" customHeight="1">
      <c r="A840" s="191" t="s">
        <v>3475</v>
      </c>
      <c r="B840" s="192" t="s">
        <v>3476</v>
      </c>
      <c r="C840" s="191" t="s">
        <v>3477</v>
      </c>
      <c r="D840" s="193"/>
      <c r="E840" s="193"/>
      <c r="F840" s="194" t="s">
        <v>3478</v>
      </c>
      <c r="G840" s="193"/>
      <c r="H840" s="193"/>
      <c r="I840" s="193"/>
      <c r="J840" s="193"/>
      <c r="K840" s="193"/>
      <c r="L840" s="193"/>
      <c r="M840" s="193"/>
      <c r="N840" s="193"/>
      <c r="O840" s="193"/>
      <c r="P840" s="193"/>
      <c r="Q840" s="193"/>
      <c r="R840" s="193"/>
      <c r="S840" s="193"/>
      <c r="T840" s="193"/>
      <c r="U840" s="193"/>
      <c r="V840" s="193"/>
      <c r="W840" s="193"/>
      <c r="X840" s="193"/>
      <c r="Y840" s="193"/>
      <c r="Z840" s="193"/>
      <c r="AA840" s="193"/>
      <c r="AB840" s="193"/>
      <c r="AC840" s="193"/>
      <c r="AD840" s="193"/>
      <c r="AE840" s="193"/>
    </row>
    <row r="841" ht="14.25" customHeight="1">
      <c r="A841" s="191" t="s">
        <v>3479</v>
      </c>
      <c r="B841" s="192" t="s">
        <v>3480</v>
      </c>
      <c r="C841" s="191" t="s">
        <v>3481</v>
      </c>
      <c r="D841" s="193"/>
      <c r="E841" s="193"/>
      <c r="F841" s="194" t="s">
        <v>3482</v>
      </c>
      <c r="G841" s="193"/>
      <c r="H841" s="193"/>
      <c r="I841" s="193"/>
      <c r="J841" s="193"/>
      <c r="K841" s="193"/>
      <c r="L841" s="193"/>
      <c r="M841" s="193"/>
      <c r="N841" s="193"/>
      <c r="O841" s="193"/>
      <c r="P841" s="193"/>
      <c r="Q841" s="193"/>
      <c r="R841" s="193"/>
      <c r="S841" s="193"/>
      <c r="T841" s="193"/>
      <c r="U841" s="193"/>
      <c r="V841" s="193"/>
      <c r="W841" s="193"/>
      <c r="X841" s="193"/>
      <c r="Y841" s="193"/>
      <c r="Z841" s="193"/>
      <c r="AA841" s="193"/>
      <c r="AB841" s="193"/>
      <c r="AC841" s="193"/>
      <c r="AD841" s="193"/>
      <c r="AE841" s="193"/>
    </row>
    <row r="842" ht="14.25" customHeight="1">
      <c r="A842" s="191" t="s">
        <v>3483</v>
      </c>
      <c r="B842" s="192" t="s">
        <v>3484</v>
      </c>
      <c r="C842" s="191" t="s">
        <v>3485</v>
      </c>
      <c r="D842" s="193"/>
      <c r="E842" s="193"/>
      <c r="F842" s="194" t="s">
        <v>3486</v>
      </c>
      <c r="G842" s="193"/>
      <c r="H842" s="193"/>
      <c r="I842" s="193"/>
      <c r="J842" s="193"/>
      <c r="K842" s="193"/>
      <c r="L842" s="193"/>
      <c r="M842" s="193"/>
      <c r="N842" s="193"/>
      <c r="O842" s="193"/>
      <c r="P842" s="193"/>
      <c r="Q842" s="193"/>
      <c r="R842" s="193"/>
      <c r="S842" s="193"/>
      <c r="T842" s="193"/>
      <c r="U842" s="193"/>
      <c r="V842" s="193"/>
      <c r="W842" s="193"/>
      <c r="X842" s="193"/>
      <c r="Y842" s="193"/>
      <c r="Z842" s="193"/>
      <c r="AA842" s="193"/>
      <c r="AB842" s="193"/>
      <c r="AC842" s="193"/>
      <c r="AD842" s="193"/>
      <c r="AE842" s="193"/>
    </row>
    <row r="843" ht="14.25" customHeight="1">
      <c r="A843" s="191" t="s">
        <v>3487</v>
      </c>
      <c r="B843" s="192" t="s">
        <v>3488</v>
      </c>
      <c r="C843" s="191" t="s">
        <v>3489</v>
      </c>
      <c r="D843" s="193"/>
      <c r="E843" s="193"/>
      <c r="F843" s="194" t="s">
        <v>3490</v>
      </c>
      <c r="G843" s="193"/>
      <c r="H843" s="193"/>
      <c r="I843" s="193"/>
      <c r="J843" s="193"/>
      <c r="K843" s="193"/>
      <c r="L843" s="193"/>
      <c r="M843" s="193"/>
      <c r="N843" s="193"/>
      <c r="O843" s="193"/>
      <c r="P843" s="193"/>
      <c r="Q843" s="193"/>
      <c r="R843" s="193"/>
      <c r="S843" s="193"/>
      <c r="T843" s="193"/>
      <c r="U843" s="193"/>
      <c r="V843" s="193"/>
      <c r="W843" s="193"/>
      <c r="X843" s="193"/>
      <c r="Y843" s="193"/>
      <c r="Z843" s="193"/>
      <c r="AA843" s="193"/>
      <c r="AB843" s="193"/>
      <c r="AC843" s="193"/>
      <c r="AD843" s="193"/>
      <c r="AE843" s="193"/>
    </row>
    <row r="844" ht="14.25" customHeight="1">
      <c r="A844" s="191" t="s">
        <v>3491</v>
      </c>
      <c r="B844" s="192" t="s">
        <v>3492</v>
      </c>
      <c r="C844" s="191" t="s">
        <v>3493</v>
      </c>
      <c r="D844" s="193"/>
      <c r="E844" s="193"/>
      <c r="F844" s="194" t="s">
        <v>3494</v>
      </c>
      <c r="G844" s="193"/>
      <c r="H844" s="193"/>
      <c r="I844" s="193"/>
      <c r="J844" s="193"/>
      <c r="K844" s="193"/>
      <c r="L844" s="193"/>
      <c r="M844" s="193"/>
      <c r="N844" s="193"/>
      <c r="O844" s="193"/>
      <c r="P844" s="193"/>
      <c r="Q844" s="193"/>
      <c r="R844" s="193"/>
      <c r="S844" s="193"/>
      <c r="T844" s="193"/>
      <c r="U844" s="193"/>
      <c r="V844" s="193"/>
      <c r="W844" s="193"/>
      <c r="X844" s="193"/>
      <c r="Y844" s="193"/>
      <c r="Z844" s="193"/>
      <c r="AA844" s="193"/>
      <c r="AB844" s="193"/>
      <c r="AC844" s="193"/>
      <c r="AD844" s="193"/>
      <c r="AE844" s="193"/>
    </row>
    <row r="845" ht="14.25" customHeight="1">
      <c r="A845" s="191" t="s">
        <v>3495</v>
      </c>
      <c r="B845" s="192" t="s">
        <v>3496</v>
      </c>
      <c r="C845" s="191" t="s">
        <v>3497</v>
      </c>
      <c r="D845" s="193"/>
      <c r="E845" s="193"/>
      <c r="F845" s="194" t="s">
        <v>3498</v>
      </c>
      <c r="G845" s="193"/>
      <c r="H845" s="193"/>
      <c r="I845" s="193"/>
      <c r="J845" s="193"/>
      <c r="K845" s="193"/>
      <c r="L845" s="193"/>
      <c r="M845" s="193"/>
      <c r="N845" s="193"/>
      <c r="O845" s="193"/>
      <c r="P845" s="193"/>
      <c r="Q845" s="193"/>
      <c r="R845" s="193"/>
      <c r="S845" s="193"/>
      <c r="T845" s="193"/>
      <c r="U845" s="193"/>
      <c r="V845" s="193"/>
      <c r="W845" s="193"/>
      <c r="X845" s="193"/>
      <c r="Y845" s="193"/>
      <c r="Z845" s="193"/>
      <c r="AA845" s="193"/>
      <c r="AB845" s="193"/>
      <c r="AC845" s="193"/>
      <c r="AD845" s="193"/>
      <c r="AE845" s="193"/>
    </row>
    <row r="846" ht="14.25" customHeight="1">
      <c r="A846" s="191" t="s">
        <v>3499</v>
      </c>
      <c r="B846" s="192" t="s">
        <v>3500</v>
      </c>
      <c r="C846" s="191" t="s">
        <v>3501</v>
      </c>
      <c r="D846" s="193"/>
      <c r="E846" s="193"/>
      <c r="F846" s="194" t="s">
        <v>3502</v>
      </c>
      <c r="G846" s="193"/>
      <c r="H846" s="193"/>
      <c r="I846" s="193"/>
      <c r="J846" s="193"/>
      <c r="K846" s="193"/>
      <c r="L846" s="193"/>
      <c r="M846" s="193"/>
      <c r="N846" s="193"/>
      <c r="O846" s="193"/>
      <c r="P846" s="193"/>
      <c r="Q846" s="193"/>
      <c r="R846" s="193"/>
      <c r="S846" s="193"/>
      <c r="T846" s="193"/>
      <c r="U846" s="193"/>
      <c r="V846" s="193"/>
      <c r="W846" s="193"/>
      <c r="X846" s="193"/>
      <c r="Y846" s="193"/>
      <c r="Z846" s="193"/>
      <c r="AA846" s="193"/>
      <c r="AB846" s="193"/>
      <c r="AC846" s="193"/>
      <c r="AD846" s="193"/>
      <c r="AE846" s="193"/>
    </row>
    <row r="847" ht="14.25" customHeight="1">
      <c r="A847" s="191" t="s">
        <v>3503</v>
      </c>
      <c r="B847" s="192" t="s">
        <v>3504</v>
      </c>
      <c r="C847" s="191" t="s">
        <v>3505</v>
      </c>
      <c r="D847" s="193"/>
      <c r="E847" s="193"/>
      <c r="F847" s="194" t="s">
        <v>3506</v>
      </c>
      <c r="G847" s="193"/>
      <c r="H847" s="193"/>
      <c r="I847" s="193"/>
      <c r="J847" s="193"/>
      <c r="K847" s="193"/>
      <c r="L847" s="193"/>
      <c r="M847" s="193"/>
      <c r="N847" s="193"/>
      <c r="O847" s="193"/>
      <c r="P847" s="193"/>
      <c r="Q847" s="193"/>
      <c r="R847" s="193"/>
      <c r="S847" s="193"/>
      <c r="T847" s="193"/>
      <c r="U847" s="193"/>
      <c r="V847" s="193"/>
      <c r="W847" s="193"/>
      <c r="X847" s="193"/>
      <c r="Y847" s="193"/>
      <c r="Z847" s="193"/>
      <c r="AA847" s="193"/>
      <c r="AB847" s="193"/>
      <c r="AC847" s="193"/>
      <c r="AD847" s="193"/>
      <c r="AE847" s="193"/>
    </row>
    <row r="848" ht="14.25" customHeight="1">
      <c r="A848" s="191" t="s">
        <v>3507</v>
      </c>
      <c r="B848" s="192" t="s">
        <v>3508</v>
      </c>
      <c r="C848" s="191" t="s">
        <v>3509</v>
      </c>
      <c r="D848" s="193"/>
      <c r="E848" s="193"/>
      <c r="F848" s="194" t="s">
        <v>3510</v>
      </c>
      <c r="G848" s="193"/>
      <c r="H848" s="193"/>
      <c r="I848" s="193"/>
      <c r="J848" s="193"/>
      <c r="K848" s="193"/>
      <c r="L848" s="193"/>
      <c r="M848" s="193"/>
      <c r="N848" s="193"/>
      <c r="O848" s="193"/>
      <c r="P848" s="193"/>
      <c r="Q848" s="193"/>
      <c r="R848" s="193"/>
      <c r="S848" s="193"/>
      <c r="T848" s="193"/>
      <c r="U848" s="193"/>
      <c r="V848" s="193"/>
      <c r="W848" s="193"/>
      <c r="X848" s="193"/>
      <c r="Y848" s="193"/>
      <c r="Z848" s="193"/>
      <c r="AA848" s="193"/>
      <c r="AB848" s="193"/>
      <c r="AC848" s="193"/>
      <c r="AD848" s="193"/>
      <c r="AE848" s="193"/>
    </row>
    <row r="849" ht="14.25" customHeight="1">
      <c r="A849" s="191" t="s">
        <v>3511</v>
      </c>
      <c r="B849" s="192" t="s">
        <v>3512</v>
      </c>
      <c r="C849" s="191" t="s">
        <v>3513</v>
      </c>
      <c r="D849" s="193"/>
      <c r="E849" s="193"/>
      <c r="F849" s="194" t="s">
        <v>3514</v>
      </c>
      <c r="G849" s="193"/>
      <c r="H849" s="193"/>
      <c r="I849" s="193"/>
      <c r="J849" s="193"/>
      <c r="K849" s="193"/>
      <c r="L849" s="193"/>
      <c r="M849" s="193"/>
      <c r="N849" s="193"/>
      <c r="O849" s="193"/>
      <c r="P849" s="193"/>
      <c r="Q849" s="193"/>
      <c r="R849" s="193"/>
      <c r="S849" s="193"/>
      <c r="T849" s="193"/>
      <c r="U849" s="193"/>
      <c r="V849" s="193"/>
      <c r="W849" s="193"/>
      <c r="X849" s="193"/>
      <c r="Y849" s="193"/>
      <c r="Z849" s="193"/>
      <c r="AA849" s="193"/>
      <c r="AB849" s="193"/>
      <c r="AC849" s="193"/>
      <c r="AD849" s="193"/>
      <c r="AE849" s="193"/>
    </row>
    <row r="850" ht="14.25" customHeight="1">
      <c r="A850" s="191" t="s">
        <v>3515</v>
      </c>
      <c r="B850" s="192" t="s">
        <v>3516</v>
      </c>
      <c r="C850" s="191" t="s">
        <v>3517</v>
      </c>
      <c r="D850" s="193"/>
      <c r="E850" s="193"/>
      <c r="F850" s="194" t="s">
        <v>3518</v>
      </c>
      <c r="G850" s="193"/>
      <c r="H850" s="193"/>
      <c r="I850" s="193"/>
      <c r="J850" s="193"/>
      <c r="K850" s="193"/>
      <c r="L850" s="193"/>
      <c r="M850" s="193"/>
      <c r="N850" s="193"/>
      <c r="O850" s="193"/>
      <c r="P850" s="193"/>
      <c r="Q850" s="193"/>
      <c r="R850" s="193"/>
      <c r="S850" s="193"/>
      <c r="T850" s="193"/>
      <c r="U850" s="193"/>
      <c r="V850" s="193"/>
      <c r="W850" s="193"/>
      <c r="X850" s="193"/>
      <c r="Y850" s="193"/>
      <c r="Z850" s="193"/>
      <c r="AA850" s="193"/>
      <c r="AB850" s="193"/>
      <c r="AC850" s="193"/>
      <c r="AD850" s="193"/>
      <c r="AE850" s="193"/>
    </row>
    <row r="851" ht="14.25" customHeight="1">
      <c r="A851" s="191" t="s">
        <v>3519</v>
      </c>
      <c r="B851" s="192" t="s">
        <v>3520</v>
      </c>
      <c r="C851" s="191" t="s">
        <v>3521</v>
      </c>
      <c r="D851" s="193"/>
      <c r="E851" s="193"/>
      <c r="F851" s="194" t="s">
        <v>3522</v>
      </c>
      <c r="G851" s="193"/>
      <c r="H851" s="193"/>
      <c r="I851" s="193"/>
      <c r="J851" s="193"/>
      <c r="K851" s="193"/>
      <c r="L851" s="193"/>
      <c r="M851" s="193"/>
      <c r="N851" s="193"/>
      <c r="O851" s="193"/>
      <c r="P851" s="193"/>
      <c r="Q851" s="193"/>
      <c r="R851" s="193"/>
      <c r="S851" s="193"/>
      <c r="T851" s="193"/>
      <c r="U851" s="193"/>
      <c r="V851" s="193"/>
      <c r="W851" s="193"/>
      <c r="X851" s="193"/>
      <c r="Y851" s="193"/>
      <c r="Z851" s="193"/>
      <c r="AA851" s="193"/>
      <c r="AB851" s="193"/>
      <c r="AC851" s="193"/>
      <c r="AD851" s="193"/>
      <c r="AE851" s="193"/>
    </row>
    <row r="852" ht="14.25" customHeight="1">
      <c r="A852" s="191" t="s">
        <v>3523</v>
      </c>
      <c r="B852" s="192" t="s">
        <v>3524</v>
      </c>
      <c r="C852" s="191" t="s">
        <v>3525</v>
      </c>
      <c r="D852" s="193"/>
      <c r="E852" s="193"/>
      <c r="F852" s="194" t="s">
        <v>3526</v>
      </c>
      <c r="G852" s="193"/>
      <c r="H852" s="193"/>
      <c r="I852" s="193"/>
      <c r="J852" s="193"/>
      <c r="K852" s="193"/>
      <c r="L852" s="193"/>
      <c r="M852" s="193"/>
      <c r="N852" s="193"/>
      <c r="O852" s="193"/>
      <c r="P852" s="193"/>
      <c r="Q852" s="193"/>
      <c r="R852" s="193"/>
      <c r="S852" s="193"/>
      <c r="T852" s="193"/>
      <c r="U852" s="193"/>
      <c r="V852" s="193"/>
      <c r="W852" s="193"/>
      <c r="X852" s="193"/>
      <c r="Y852" s="193"/>
      <c r="Z852" s="193"/>
      <c r="AA852" s="193"/>
      <c r="AB852" s="193"/>
      <c r="AC852" s="193"/>
      <c r="AD852" s="193"/>
      <c r="AE852" s="193"/>
    </row>
    <row r="853" ht="14.25" customHeight="1">
      <c r="A853" s="191" t="s">
        <v>3527</v>
      </c>
      <c r="B853" s="192" t="s">
        <v>3528</v>
      </c>
      <c r="C853" s="191" t="s">
        <v>3529</v>
      </c>
      <c r="D853" s="193"/>
      <c r="E853" s="193"/>
      <c r="F853" s="194" t="s">
        <v>3530</v>
      </c>
      <c r="G853" s="193"/>
      <c r="H853" s="193"/>
      <c r="I853" s="193"/>
      <c r="J853" s="193"/>
      <c r="K853" s="193"/>
      <c r="L853" s="193"/>
      <c r="M853" s="193"/>
      <c r="N853" s="193"/>
      <c r="O853" s="193"/>
      <c r="P853" s="193"/>
      <c r="Q853" s="193"/>
      <c r="R853" s="193"/>
      <c r="S853" s="193"/>
      <c r="T853" s="193"/>
      <c r="U853" s="193"/>
      <c r="V853" s="193"/>
      <c r="W853" s="193"/>
      <c r="X853" s="193"/>
      <c r="Y853" s="193"/>
      <c r="Z853" s="193"/>
      <c r="AA853" s="193"/>
      <c r="AB853" s="193"/>
      <c r="AC853" s="193"/>
      <c r="AD853" s="193"/>
      <c r="AE853" s="193"/>
    </row>
    <row r="854" ht="14.25" customHeight="1">
      <c r="A854" s="191" t="s">
        <v>3531</v>
      </c>
      <c r="B854" s="192" t="s">
        <v>3532</v>
      </c>
      <c r="C854" s="191" t="s">
        <v>3533</v>
      </c>
      <c r="D854" s="193"/>
      <c r="E854" s="193"/>
      <c r="F854" s="194" t="s">
        <v>3534</v>
      </c>
      <c r="G854" s="193"/>
      <c r="H854" s="193"/>
      <c r="I854" s="193"/>
      <c r="J854" s="193"/>
      <c r="K854" s="193"/>
      <c r="L854" s="193"/>
      <c r="M854" s="193"/>
      <c r="N854" s="193"/>
      <c r="O854" s="193"/>
      <c r="P854" s="193"/>
      <c r="Q854" s="193"/>
      <c r="R854" s="193"/>
      <c r="S854" s="193"/>
      <c r="T854" s="193"/>
      <c r="U854" s="193"/>
      <c r="V854" s="193"/>
      <c r="W854" s="193"/>
      <c r="X854" s="193"/>
      <c r="Y854" s="193"/>
      <c r="Z854" s="193"/>
      <c r="AA854" s="193"/>
      <c r="AB854" s="193"/>
      <c r="AC854" s="193"/>
      <c r="AD854" s="193"/>
      <c r="AE854" s="193"/>
    </row>
    <row r="855" ht="14.25" customHeight="1">
      <c r="A855" s="191" t="s">
        <v>3535</v>
      </c>
      <c r="B855" s="192" t="s">
        <v>3536</v>
      </c>
      <c r="C855" s="191" t="s">
        <v>64</v>
      </c>
      <c r="D855" s="193"/>
      <c r="E855" s="193"/>
      <c r="F855" s="194" t="s">
        <v>3537</v>
      </c>
      <c r="G855" s="193"/>
      <c r="H855" s="193"/>
      <c r="I855" s="193"/>
      <c r="J855" s="193"/>
      <c r="K855" s="193"/>
      <c r="L855" s="193"/>
      <c r="M855" s="193"/>
      <c r="N855" s="193"/>
      <c r="O855" s="193"/>
      <c r="P855" s="193"/>
      <c r="Q855" s="193"/>
      <c r="R855" s="193"/>
      <c r="S855" s="193"/>
      <c r="T855" s="193"/>
      <c r="U855" s="193"/>
      <c r="V855" s="193"/>
      <c r="W855" s="193"/>
      <c r="X855" s="193"/>
      <c r="Y855" s="193"/>
      <c r="Z855" s="193"/>
      <c r="AA855" s="193"/>
      <c r="AB855" s="193"/>
      <c r="AC855" s="193"/>
      <c r="AD855" s="193"/>
      <c r="AE855" s="193"/>
    </row>
    <row r="856" ht="14.25" customHeight="1">
      <c r="A856" s="191" t="s">
        <v>3538</v>
      </c>
      <c r="B856" s="192" t="s">
        <v>3539</v>
      </c>
      <c r="C856" s="191" t="s">
        <v>3540</v>
      </c>
      <c r="D856" s="193"/>
      <c r="E856" s="193"/>
      <c r="F856" s="194" t="s">
        <v>3541</v>
      </c>
      <c r="G856" s="193"/>
      <c r="H856" s="193"/>
      <c r="I856" s="193"/>
      <c r="J856" s="193"/>
      <c r="K856" s="193"/>
      <c r="L856" s="193"/>
      <c r="M856" s="193"/>
      <c r="N856" s="193"/>
      <c r="O856" s="193"/>
      <c r="P856" s="193"/>
      <c r="Q856" s="193"/>
      <c r="R856" s="193"/>
      <c r="S856" s="193"/>
      <c r="T856" s="193"/>
      <c r="U856" s="193"/>
      <c r="V856" s="193"/>
      <c r="W856" s="193"/>
      <c r="X856" s="193"/>
      <c r="Y856" s="193"/>
      <c r="Z856" s="193"/>
      <c r="AA856" s="193"/>
      <c r="AB856" s="193"/>
      <c r="AC856" s="193"/>
      <c r="AD856" s="193"/>
      <c r="AE856" s="193"/>
    </row>
    <row r="857" ht="14.25" customHeight="1">
      <c r="A857" s="191" t="s">
        <v>3542</v>
      </c>
      <c r="B857" s="192" t="s">
        <v>3543</v>
      </c>
      <c r="C857" s="191" t="s">
        <v>3544</v>
      </c>
      <c r="D857" s="193"/>
      <c r="E857" s="193"/>
      <c r="F857" s="194" t="s">
        <v>3545</v>
      </c>
      <c r="G857" s="193"/>
      <c r="H857" s="193"/>
      <c r="I857" s="193"/>
      <c r="J857" s="193"/>
      <c r="K857" s="193"/>
      <c r="L857" s="193"/>
      <c r="M857" s="193"/>
      <c r="N857" s="193"/>
      <c r="O857" s="193"/>
      <c r="P857" s="193"/>
      <c r="Q857" s="193"/>
      <c r="R857" s="193"/>
      <c r="S857" s="193"/>
      <c r="T857" s="193"/>
      <c r="U857" s="193"/>
      <c r="V857" s="193"/>
      <c r="W857" s="193"/>
      <c r="X857" s="193"/>
      <c r="Y857" s="193"/>
      <c r="Z857" s="193"/>
      <c r="AA857" s="193"/>
      <c r="AB857" s="193"/>
      <c r="AC857" s="193"/>
      <c r="AD857" s="193"/>
      <c r="AE857" s="193"/>
    </row>
    <row r="858" ht="14.25" customHeight="1">
      <c r="A858" s="191" t="s">
        <v>3546</v>
      </c>
      <c r="B858" s="192" t="s">
        <v>3547</v>
      </c>
      <c r="C858" s="191" t="s">
        <v>3548</v>
      </c>
      <c r="D858" s="193"/>
      <c r="E858" s="193"/>
      <c r="F858" s="194" t="s">
        <v>3549</v>
      </c>
      <c r="G858" s="193"/>
      <c r="H858" s="193"/>
      <c r="I858" s="193"/>
      <c r="J858" s="193"/>
      <c r="K858" s="193"/>
      <c r="L858" s="193"/>
      <c r="M858" s="193"/>
      <c r="N858" s="193"/>
      <c r="O858" s="193"/>
      <c r="P858" s="193"/>
      <c r="Q858" s="193"/>
      <c r="R858" s="193"/>
      <c r="S858" s="193"/>
      <c r="T858" s="193"/>
      <c r="U858" s="193"/>
      <c r="V858" s="193"/>
      <c r="W858" s="193"/>
      <c r="X858" s="193"/>
      <c r="Y858" s="193"/>
      <c r="Z858" s="193"/>
      <c r="AA858" s="193"/>
      <c r="AB858" s="193"/>
      <c r="AC858" s="193"/>
      <c r="AD858" s="193"/>
      <c r="AE858" s="193"/>
    </row>
    <row r="859" ht="14.25" customHeight="1">
      <c r="A859" s="191" t="s">
        <v>3550</v>
      </c>
      <c r="B859" s="192" t="s">
        <v>3551</v>
      </c>
      <c r="C859" s="191" t="s">
        <v>3552</v>
      </c>
      <c r="D859" s="193"/>
      <c r="E859" s="193"/>
      <c r="F859" s="194" t="s">
        <v>3553</v>
      </c>
      <c r="G859" s="193"/>
      <c r="H859" s="193"/>
      <c r="I859" s="193"/>
      <c r="J859" s="193"/>
      <c r="K859" s="193"/>
      <c r="L859" s="193"/>
      <c r="M859" s="193"/>
      <c r="N859" s="193"/>
      <c r="O859" s="193"/>
      <c r="P859" s="193"/>
      <c r="Q859" s="193"/>
      <c r="R859" s="193"/>
      <c r="S859" s="193"/>
      <c r="T859" s="193"/>
      <c r="U859" s="193"/>
      <c r="V859" s="193"/>
      <c r="W859" s="193"/>
      <c r="X859" s="193"/>
      <c r="Y859" s="193"/>
      <c r="Z859" s="193"/>
      <c r="AA859" s="193"/>
      <c r="AB859" s="193"/>
      <c r="AC859" s="193"/>
      <c r="AD859" s="193"/>
      <c r="AE859" s="193"/>
    </row>
    <row r="860" ht="14.25" customHeight="1">
      <c r="A860" s="191" t="s">
        <v>3554</v>
      </c>
      <c r="B860" s="192" t="s">
        <v>3555</v>
      </c>
      <c r="C860" s="191" t="s">
        <v>3556</v>
      </c>
      <c r="D860" s="193"/>
      <c r="E860" s="193"/>
      <c r="F860" s="194" t="s">
        <v>3557</v>
      </c>
      <c r="G860" s="193"/>
      <c r="H860" s="193"/>
      <c r="I860" s="193"/>
      <c r="J860" s="193"/>
      <c r="K860" s="193"/>
      <c r="L860" s="193"/>
      <c r="M860" s="193"/>
      <c r="N860" s="193"/>
      <c r="O860" s="193"/>
      <c r="P860" s="193"/>
      <c r="Q860" s="193"/>
      <c r="R860" s="193"/>
      <c r="S860" s="193"/>
      <c r="T860" s="193"/>
      <c r="U860" s="193"/>
      <c r="V860" s="193"/>
      <c r="W860" s="193"/>
      <c r="X860" s="193"/>
      <c r="Y860" s="193"/>
      <c r="Z860" s="193"/>
      <c r="AA860" s="193"/>
      <c r="AB860" s="193"/>
      <c r="AC860" s="193"/>
      <c r="AD860" s="193"/>
      <c r="AE860" s="193"/>
    </row>
    <row r="861" ht="14.25" customHeight="1">
      <c r="A861" s="191" t="s">
        <v>3558</v>
      </c>
      <c r="B861" s="192" t="s">
        <v>3559</v>
      </c>
      <c r="C861" s="191" t="s">
        <v>3560</v>
      </c>
      <c r="D861" s="193"/>
      <c r="E861" s="193"/>
      <c r="F861" s="194" t="s">
        <v>3561</v>
      </c>
      <c r="G861" s="193"/>
      <c r="H861" s="193"/>
      <c r="I861" s="193"/>
      <c r="J861" s="193"/>
      <c r="K861" s="193"/>
      <c r="L861" s="193"/>
      <c r="M861" s="193"/>
      <c r="N861" s="193"/>
      <c r="O861" s="193"/>
      <c r="P861" s="193"/>
      <c r="Q861" s="193"/>
      <c r="R861" s="193"/>
      <c r="S861" s="193"/>
      <c r="T861" s="193"/>
      <c r="U861" s="193"/>
      <c r="V861" s="193"/>
      <c r="W861" s="193"/>
      <c r="X861" s="193"/>
      <c r="Y861" s="193"/>
      <c r="Z861" s="193"/>
      <c r="AA861" s="193"/>
      <c r="AB861" s="193"/>
      <c r="AC861" s="193"/>
      <c r="AD861" s="193"/>
      <c r="AE861" s="193"/>
    </row>
    <row r="862" ht="14.25" customHeight="1">
      <c r="A862" s="191" t="s">
        <v>3562</v>
      </c>
      <c r="B862" s="192" t="s">
        <v>3563</v>
      </c>
      <c r="C862" s="191" t="s">
        <v>3564</v>
      </c>
      <c r="D862" s="193"/>
      <c r="E862" s="193"/>
      <c r="F862" s="194" t="s">
        <v>3565</v>
      </c>
      <c r="G862" s="193"/>
      <c r="H862" s="193"/>
      <c r="I862" s="193"/>
      <c r="J862" s="193"/>
      <c r="K862" s="193"/>
      <c r="L862" s="193"/>
      <c r="M862" s="193"/>
      <c r="N862" s="193"/>
      <c r="O862" s="193"/>
      <c r="P862" s="193"/>
      <c r="Q862" s="193"/>
      <c r="R862" s="193"/>
      <c r="S862" s="193"/>
      <c r="T862" s="193"/>
      <c r="U862" s="193"/>
      <c r="V862" s="193"/>
      <c r="W862" s="193"/>
      <c r="X862" s="193"/>
      <c r="Y862" s="193"/>
      <c r="Z862" s="193"/>
      <c r="AA862" s="193"/>
      <c r="AB862" s="193"/>
      <c r="AC862" s="193"/>
      <c r="AD862" s="193"/>
      <c r="AE862" s="193"/>
    </row>
    <row r="863" ht="14.25" customHeight="1">
      <c r="A863" s="191" t="s">
        <v>3566</v>
      </c>
      <c r="B863" s="192" t="s">
        <v>3567</v>
      </c>
      <c r="C863" s="191" t="s">
        <v>3568</v>
      </c>
      <c r="D863" s="193"/>
      <c r="E863" s="193"/>
      <c r="F863" s="194" t="s">
        <v>3569</v>
      </c>
      <c r="G863" s="193"/>
      <c r="H863" s="193"/>
      <c r="I863" s="193"/>
      <c r="J863" s="193"/>
      <c r="K863" s="193"/>
      <c r="L863" s="193"/>
      <c r="M863" s="193"/>
      <c r="N863" s="193"/>
      <c r="O863" s="193"/>
      <c r="P863" s="193"/>
      <c r="Q863" s="193"/>
      <c r="R863" s="193"/>
      <c r="S863" s="193"/>
      <c r="T863" s="193"/>
      <c r="U863" s="193"/>
      <c r="V863" s="193"/>
      <c r="W863" s="193"/>
      <c r="X863" s="193"/>
      <c r="Y863" s="193"/>
      <c r="Z863" s="193"/>
      <c r="AA863" s="193"/>
      <c r="AB863" s="193"/>
      <c r="AC863" s="193"/>
      <c r="AD863" s="193"/>
      <c r="AE863" s="193"/>
    </row>
    <row r="864" ht="14.25" customHeight="1">
      <c r="A864" s="191" t="s">
        <v>3570</v>
      </c>
      <c r="B864" s="192" t="s">
        <v>3571</v>
      </c>
      <c r="C864" s="191" t="s">
        <v>3572</v>
      </c>
      <c r="D864" s="193"/>
      <c r="E864" s="193"/>
      <c r="F864" s="194" t="s">
        <v>3573</v>
      </c>
      <c r="G864" s="193"/>
      <c r="H864" s="193"/>
      <c r="I864" s="193"/>
      <c r="J864" s="193"/>
      <c r="K864" s="193"/>
      <c r="L864" s="193"/>
      <c r="M864" s="193"/>
      <c r="N864" s="193"/>
      <c r="O864" s="193"/>
      <c r="P864" s="193"/>
      <c r="Q864" s="193"/>
      <c r="R864" s="193"/>
      <c r="S864" s="193"/>
      <c r="T864" s="193"/>
      <c r="U864" s="193"/>
      <c r="V864" s="193"/>
      <c r="W864" s="193"/>
      <c r="X864" s="193"/>
      <c r="Y864" s="193"/>
      <c r="Z864" s="193"/>
      <c r="AA864" s="193"/>
      <c r="AB864" s="193"/>
      <c r="AC864" s="193"/>
      <c r="AD864" s="193"/>
      <c r="AE864" s="193"/>
    </row>
    <row r="865" ht="14.25" customHeight="1">
      <c r="A865" s="191" t="s">
        <v>3574</v>
      </c>
      <c r="B865" s="192" t="s">
        <v>3575</v>
      </c>
      <c r="C865" s="191" t="s">
        <v>3576</v>
      </c>
      <c r="D865" s="193"/>
      <c r="E865" s="193"/>
      <c r="F865" s="194" t="s">
        <v>3577</v>
      </c>
      <c r="G865" s="193"/>
      <c r="H865" s="193"/>
      <c r="I865" s="193"/>
      <c r="J865" s="193"/>
      <c r="K865" s="193"/>
      <c r="L865" s="193"/>
      <c r="M865" s="193"/>
      <c r="N865" s="193"/>
      <c r="O865" s="193"/>
      <c r="P865" s="193"/>
      <c r="Q865" s="193"/>
      <c r="R865" s="193"/>
      <c r="S865" s="193"/>
      <c r="T865" s="193"/>
      <c r="U865" s="193"/>
      <c r="V865" s="193"/>
      <c r="W865" s="193"/>
      <c r="X865" s="193"/>
      <c r="Y865" s="193"/>
      <c r="Z865" s="193"/>
      <c r="AA865" s="193"/>
      <c r="AB865" s="193"/>
      <c r="AC865" s="193"/>
      <c r="AD865" s="193"/>
      <c r="AE865" s="193"/>
    </row>
    <row r="866" ht="14.25" customHeight="1">
      <c r="A866" s="191" t="s">
        <v>3578</v>
      </c>
      <c r="B866" s="192" t="s">
        <v>3579</v>
      </c>
      <c r="C866" s="191" t="s">
        <v>3580</v>
      </c>
      <c r="D866" s="193"/>
      <c r="E866" s="193"/>
      <c r="F866" s="194" t="s">
        <v>3581</v>
      </c>
      <c r="G866" s="193"/>
      <c r="H866" s="193"/>
      <c r="I866" s="193"/>
      <c r="J866" s="193"/>
      <c r="K866" s="193"/>
      <c r="L866" s="193"/>
      <c r="M866" s="193"/>
      <c r="N866" s="193"/>
      <c r="O866" s="193"/>
      <c r="P866" s="193"/>
      <c r="Q866" s="193"/>
      <c r="R866" s="193"/>
      <c r="S866" s="193"/>
      <c r="T866" s="193"/>
      <c r="U866" s="193"/>
      <c r="V866" s="193"/>
      <c r="W866" s="193"/>
      <c r="X866" s="193"/>
      <c r="Y866" s="193"/>
      <c r="Z866" s="193"/>
      <c r="AA866" s="193"/>
      <c r="AB866" s="193"/>
      <c r="AC866" s="193"/>
      <c r="AD866" s="193"/>
      <c r="AE866" s="193"/>
    </row>
    <row r="867" ht="14.25" customHeight="1">
      <c r="A867" s="191" t="s">
        <v>3582</v>
      </c>
      <c r="B867" s="192" t="s">
        <v>3583</v>
      </c>
      <c r="C867" s="191" t="s">
        <v>3584</v>
      </c>
      <c r="D867" s="193"/>
      <c r="E867" s="193"/>
      <c r="F867" s="194" t="s">
        <v>3585</v>
      </c>
      <c r="G867" s="193"/>
      <c r="H867" s="193"/>
      <c r="I867" s="193"/>
      <c r="J867" s="193"/>
      <c r="K867" s="193"/>
      <c r="L867" s="193"/>
      <c r="M867" s="193"/>
      <c r="N867" s="193"/>
      <c r="O867" s="193"/>
      <c r="P867" s="193"/>
      <c r="Q867" s="193"/>
      <c r="R867" s="193"/>
      <c r="S867" s="193"/>
      <c r="T867" s="193"/>
      <c r="U867" s="193"/>
      <c r="V867" s="193"/>
      <c r="W867" s="193"/>
      <c r="X867" s="193"/>
      <c r="Y867" s="193"/>
      <c r="Z867" s="193"/>
      <c r="AA867" s="193"/>
      <c r="AB867" s="193"/>
      <c r="AC867" s="193"/>
      <c r="AD867" s="193"/>
      <c r="AE867" s="193"/>
    </row>
    <row r="868" ht="14.25" customHeight="1">
      <c r="A868" s="191" t="s">
        <v>3586</v>
      </c>
      <c r="B868" s="192" t="s">
        <v>3587</v>
      </c>
      <c r="C868" s="191" t="s">
        <v>3588</v>
      </c>
      <c r="D868" s="193"/>
      <c r="E868" s="193"/>
      <c r="F868" s="194" t="s">
        <v>3589</v>
      </c>
      <c r="G868" s="193"/>
      <c r="H868" s="193"/>
      <c r="I868" s="193"/>
      <c r="J868" s="193"/>
      <c r="K868" s="193"/>
      <c r="L868" s="193"/>
      <c r="M868" s="193"/>
      <c r="N868" s="193"/>
      <c r="O868" s="193"/>
      <c r="P868" s="193"/>
      <c r="Q868" s="193"/>
      <c r="R868" s="193"/>
      <c r="S868" s="193"/>
      <c r="T868" s="193"/>
      <c r="U868" s="193"/>
      <c r="V868" s="193"/>
      <c r="W868" s="193"/>
      <c r="X868" s="193"/>
      <c r="Y868" s="193"/>
      <c r="Z868" s="193"/>
      <c r="AA868" s="193"/>
      <c r="AB868" s="193"/>
      <c r="AC868" s="193"/>
      <c r="AD868" s="193"/>
      <c r="AE868" s="193"/>
    </row>
    <row r="869" ht="14.25" customHeight="1">
      <c r="A869" s="191" t="s">
        <v>3590</v>
      </c>
      <c r="B869" s="192" t="s">
        <v>3591</v>
      </c>
      <c r="C869" s="191" t="s">
        <v>3592</v>
      </c>
      <c r="D869" s="193"/>
      <c r="E869" s="193"/>
      <c r="F869" s="194" t="s">
        <v>3593</v>
      </c>
      <c r="G869" s="193"/>
      <c r="H869" s="193"/>
      <c r="I869" s="193"/>
      <c r="J869" s="193"/>
      <c r="K869" s="193"/>
      <c r="L869" s="193"/>
      <c r="M869" s="193"/>
      <c r="N869" s="193"/>
      <c r="O869" s="193"/>
      <c r="P869" s="193"/>
      <c r="Q869" s="193"/>
      <c r="R869" s="193"/>
      <c r="S869" s="193"/>
      <c r="T869" s="193"/>
      <c r="U869" s="193"/>
      <c r="V869" s="193"/>
      <c r="W869" s="193"/>
      <c r="X869" s="193"/>
      <c r="Y869" s="193"/>
      <c r="Z869" s="193"/>
      <c r="AA869" s="193"/>
      <c r="AB869" s="193"/>
      <c r="AC869" s="193"/>
      <c r="AD869" s="193"/>
      <c r="AE869" s="193"/>
    </row>
    <row r="870" ht="14.25" customHeight="1">
      <c r="A870" s="191" t="s">
        <v>3594</v>
      </c>
      <c r="B870" s="192" t="s">
        <v>3595</v>
      </c>
      <c r="C870" s="191" t="s">
        <v>3596</v>
      </c>
      <c r="D870" s="193"/>
      <c r="E870" s="193"/>
      <c r="F870" s="194" t="s">
        <v>3597</v>
      </c>
      <c r="G870" s="193"/>
      <c r="H870" s="193"/>
      <c r="I870" s="193"/>
      <c r="J870" s="193"/>
      <c r="K870" s="193"/>
      <c r="L870" s="193"/>
      <c r="M870" s="193"/>
      <c r="N870" s="193"/>
      <c r="O870" s="193"/>
      <c r="P870" s="193"/>
      <c r="Q870" s="193"/>
      <c r="R870" s="193"/>
      <c r="S870" s="193"/>
      <c r="T870" s="193"/>
      <c r="U870" s="193"/>
      <c r="V870" s="193"/>
      <c r="W870" s="193"/>
      <c r="X870" s="193"/>
      <c r="Y870" s="193"/>
      <c r="Z870" s="193"/>
      <c r="AA870" s="193"/>
      <c r="AB870" s="193"/>
      <c r="AC870" s="193"/>
      <c r="AD870" s="193"/>
      <c r="AE870" s="193"/>
    </row>
    <row r="871" ht="14.25" customHeight="1">
      <c r="A871" s="191" t="s">
        <v>3598</v>
      </c>
      <c r="B871" s="192" t="s">
        <v>3599</v>
      </c>
      <c r="C871" s="191" t="s">
        <v>3600</v>
      </c>
      <c r="D871" s="193"/>
      <c r="E871" s="193"/>
      <c r="F871" s="194" t="s">
        <v>3601</v>
      </c>
      <c r="G871" s="193"/>
      <c r="H871" s="193"/>
      <c r="I871" s="193"/>
      <c r="J871" s="193"/>
      <c r="K871" s="193"/>
      <c r="L871" s="193"/>
      <c r="M871" s="193"/>
      <c r="N871" s="193"/>
      <c r="O871" s="193"/>
      <c r="P871" s="193"/>
      <c r="Q871" s="193"/>
      <c r="R871" s="193"/>
      <c r="S871" s="193"/>
      <c r="T871" s="193"/>
      <c r="U871" s="193"/>
      <c r="V871" s="193"/>
      <c r="W871" s="193"/>
      <c r="X871" s="193"/>
      <c r="Y871" s="193"/>
      <c r="Z871" s="193"/>
      <c r="AA871" s="193"/>
      <c r="AB871" s="193"/>
      <c r="AC871" s="193"/>
      <c r="AD871" s="193"/>
      <c r="AE871" s="193"/>
    </row>
    <row r="872" ht="14.25" customHeight="1">
      <c r="A872" s="191" t="s">
        <v>3602</v>
      </c>
      <c r="B872" s="192" t="s">
        <v>3603</v>
      </c>
      <c r="C872" s="191" t="s">
        <v>3604</v>
      </c>
      <c r="D872" s="193"/>
      <c r="E872" s="193"/>
      <c r="F872" s="194" t="s">
        <v>3605</v>
      </c>
      <c r="G872" s="193"/>
      <c r="H872" s="193"/>
      <c r="I872" s="193"/>
      <c r="J872" s="193"/>
      <c r="K872" s="193"/>
      <c r="L872" s="193"/>
      <c r="M872" s="193"/>
      <c r="N872" s="193"/>
      <c r="O872" s="193"/>
      <c r="P872" s="193"/>
      <c r="Q872" s="193"/>
      <c r="R872" s="193"/>
      <c r="S872" s="193"/>
      <c r="T872" s="193"/>
      <c r="U872" s="193"/>
      <c r="V872" s="193"/>
      <c r="W872" s="193"/>
      <c r="X872" s="193"/>
      <c r="Y872" s="193"/>
      <c r="Z872" s="193"/>
      <c r="AA872" s="193"/>
      <c r="AB872" s="193"/>
      <c r="AC872" s="193"/>
      <c r="AD872" s="193"/>
      <c r="AE872" s="193"/>
    </row>
    <row r="873" ht="14.25" customHeight="1">
      <c r="A873" s="191" t="s">
        <v>3606</v>
      </c>
      <c r="B873" s="192" t="s">
        <v>3607</v>
      </c>
      <c r="C873" s="191" t="s">
        <v>3608</v>
      </c>
      <c r="D873" s="193"/>
      <c r="E873" s="193"/>
      <c r="F873" s="194" t="s">
        <v>3609</v>
      </c>
      <c r="G873" s="193"/>
      <c r="H873" s="193"/>
      <c r="I873" s="193"/>
      <c r="J873" s="193"/>
      <c r="K873" s="193"/>
      <c r="L873" s="193"/>
      <c r="M873" s="193"/>
      <c r="N873" s="193"/>
      <c r="O873" s="193"/>
      <c r="P873" s="193"/>
      <c r="Q873" s="193"/>
      <c r="R873" s="193"/>
      <c r="S873" s="193"/>
      <c r="T873" s="193"/>
      <c r="U873" s="193"/>
      <c r="V873" s="193"/>
      <c r="W873" s="193"/>
      <c r="X873" s="193"/>
      <c r="Y873" s="193"/>
      <c r="Z873" s="193"/>
      <c r="AA873" s="193"/>
      <c r="AB873" s="193"/>
      <c r="AC873" s="193"/>
      <c r="AD873" s="193"/>
      <c r="AE873" s="193"/>
    </row>
    <row r="874" ht="14.25" customHeight="1">
      <c r="A874" s="191" t="s">
        <v>3610</v>
      </c>
      <c r="B874" s="192" t="s">
        <v>3611</v>
      </c>
      <c r="C874" s="191" t="s">
        <v>3612</v>
      </c>
      <c r="D874" s="193"/>
      <c r="E874" s="193"/>
      <c r="F874" s="194" t="s">
        <v>3613</v>
      </c>
      <c r="G874" s="193"/>
      <c r="H874" s="193"/>
      <c r="I874" s="193"/>
      <c r="J874" s="193"/>
      <c r="K874" s="193"/>
      <c r="L874" s="193"/>
      <c r="M874" s="193"/>
      <c r="N874" s="193"/>
      <c r="O874" s="193"/>
      <c r="P874" s="193"/>
      <c r="Q874" s="193"/>
      <c r="R874" s="193"/>
      <c r="S874" s="193"/>
      <c r="T874" s="193"/>
      <c r="U874" s="193"/>
      <c r="V874" s="193"/>
      <c r="W874" s="193"/>
      <c r="X874" s="193"/>
      <c r="Y874" s="193"/>
      <c r="Z874" s="193"/>
      <c r="AA874" s="193"/>
      <c r="AB874" s="193"/>
      <c r="AC874" s="193"/>
      <c r="AD874" s="193"/>
      <c r="AE874" s="193"/>
    </row>
    <row r="875" ht="14.25" customHeight="1">
      <c r="A875" s="191" t="s">
        <v>3614</v>
      </c>
      <c r="B875" s="192" t="s">
        <v>3615</v>
      </c>
      <c r="C875" s="191" t="s">
        <v>3616</v>
      </c>
      <c r="D875" s="193"/>
      <c r="E875" s="193"/>
      <c r="F875" s="194" t="s">
        <v>3617</v>
      </c>
      <c r="G875" s="193"/>
      <c r="H875" s="193"/>
      <c r="I875" s="193"/>
      <c r="J875" s="193"/>
      <c r="K875" s="193"/>
      <c r="L875" s="193"/>
      <c r="M875" s="193"/>
      <c r="N875" s="193"/>
      <c r="O875" s="193"/>
      <c r="P875" s="193"/>
      <c r="Q875" s="193"/>
      <c r="R875" s="193"/>
      <c r="S875" s="193"/>
      <c r="T875" s="193"/>
      <c r="U875" s="193"/>
      <c r="V875" s="193"/>
      <c r="W875" s="193"/>
      <c r="X875" s="193"/>
      <c r="Y875" s="193"/>
      <c r="Z875" s="193"/>
      <c r="AA875" s="193"/>
      <c r="AB875" s="193"/>
      <c r="AC875" s="193"/>
      <c r="AD875" s="193"/>
      <c r="AE875" s="193"/>
    </row>
    <row r="876" ht="14.25" customHeight="1">
      <c r="A876" s="191" t="s">
        <v>3618</v>
      </c>
      <c r="B876" s="192" t="s">
        <v>3619</v>
      </c>
      <c r="C876" s="191" t="s">
        <v>3620</v>
      </c>
      <c r="D876" s="193"/>
      <c r="E876" s="193"/>
      <c r="F876" s="194" t="s">
        <v>3621</v>
      </c>
      <c r="G876" s="193"/>
      <c r="H876" s="193"/>
      <c r="I876" s="193"/>
      <c r="J876" s="193"/>
      <c r="K876" s="193"/>
      <c r="L876" s="193"/>
      <c r="M876" s="193"/>
      <c r="N876" s="193"/>
      <c r="O876" s="193"/>
      <c r="P876" s="193"/>
      <c r="Q876" s="193"/>
      <c r="R876" s="193"/>
      <c r="S876" s="193"/>
      <c r="T876" s="193"/>
      <c r="U876" s="193"/>
      <c r="V876" s="193"/>
      <c r="W876" s="193"/>
      <c r="X876" s="193"/>
      <c r="Y876" s="193"/>
      <c r="Z876" s="193"/>
      <c r="AA876" s="193"/>
      <c r="AB876" s="193"/>
      <c r="AC876" s="193"/>
      <c r="AD876" s="193"/>
      <c r="AE876" s="193"/>
    </row>
    <row r="877" ht="14.25" customHeight="1">
      <c r="A877" s="191" t="s">
        <v>3622</v>
      </c>
      <c r="B877" s="192" t="s">
        <v>3623</v>
      </c>
      <c r="C877" s="191" t="s">
        <v>3624</v>
      </c>
      <c r="D877" s="193"/>
      <c r="E877" s="193"/>
      <c r="F877" s="194" t="s">
        <v>3625</v>
      </c>
      <c r="G877" s="193"/>
      <c r="H877" s="193"/>
      <c r="I877" s="193"/>
      <c r="J877" s="193"/>
      <c r="K877" s="193"/>
      <c r="L877" s="193"/>
      <c r="M877" s="193"/>
      <c r="N877" s="193"/>
      <c r="O877" s="193"/>
      <c r="P877" s="193"/>
      <c r="Q877" s="193"/>
      <c r="R877" s="193"/>
      <c r="S877" s="193"/>
      <c r="T877" s="193"/>
      <c r="U877" s="193"/>
      <c r="V877" s="193"/>
      <c r="W877" s="193"/>
      <c r="X877" s="193"/>
      <c r="Y877" s="193"/>
      <c r="Z877" s="193"/>
      <c r="AA877" s="193"/>
      <c r="AB877" s="193"/>
      <c r="AC877" s="193"/>
      <c r="AD877" s="193"/>
      <c r="AE877" s="193"/>
    </row>
    <row r="878" ht="14.25" customHeight="1">
      <c r="A878" s="191" t="s">
        <v>3626</v>
      </c>
      <c r="B878" s="192" t="s">
        <v>3627</v>
      </c>
      <c r="C878" s="191" t="s">
        <v>3628</v>
      </c>
      <c r="D878" s="193"/>
      <c r="E878" s="193"/>
      <c r="F878" s="194" t="s">
        <v>3629</v>
      </c>
      <c r="G878" s="193"/>
      <c r="H878" s="193"/>
      <c r="I878" s="193"/>
      <c r="J878" s="193"/>
      <c r="K878" s="193"/>
      <c r="L878" s="193"/>
      <c r="M878" s="193"/>
      <c r="N878" s="193"/>
      <c r="O878" s="193"/>
      <c r="P878" s="193"/>
      <c r="Q878" s="193"/>
      <c r="R878" s="193"/>
      <c r="S878" s="193"/>
      <c r="T878" s="193"/>
      <c r="U878" s="193"/>
      <c r="V878" s="193"/>
      <c r="W878" s="193"/>
      <c r="X878" s="193"/>
      <c r="Y878" s="193"/>
      <c r="Z878" s="193"/>
      <c r="AA878" s="193"/>
      <c r="AB878" s="193"/>
      <c r="AC878" s="193"/>
      <c r="AD878" s="193"/>
      <c r="AE878" s="193"/>
    </row>
    <row r="879" ht="14.25" customHeight="1">
      <c r="A879" s="191" t="s">
        <v>3630</v>
      </c>
      <c r="B879" s="192" t="s">
        <v>3631</v>
      </c>
      <c r="C879" s="191" t="s">
        <v>3632</v>
      </c>
      <c r="D879" s="193"/>
      <c r="E879" s="193"/>
      <c r="F879" s="194" t="s">
        <v>3633</v>
      </c>
      <c r="G879" s="193"/>
      <c r="H879" s="193"/>
      <c r="I879" s="193"/>
      <c r="J879" s="193"/>
      <c r="K879" s="193"/>
      <c r="L879" s="193"/>
      <c r="M879" s="193"/>
      <c r="N879" s="193"/>
      <c r="O879" s="193"/>
      <c r="P879" s="193"/>
      <c r="Q879" s="193"/>
      <c r="R879" s="193"/>
      <c r="S879" s="193"/>
      <c r="T879" s="193"/>
      <c r="U879" s="193"/>
      <c r="V879" s="193"/>
      <c r="W879" s="193"/>
      <c r="X879" s="193"/>
      <c r="Y879" s="193"/>
      <c r="Z879" s="193"/>
      <c r="AA879" s="193"/>
      <c r="AB879" s="193"/>
      <c r="AC879" s="193"/>
      <c r="AD879" s="193"/>
      <c r="AE879" s="193"/>
    </row>
    <row r="880" ht="14.25" customHeight="1">
      <c r="A880" s="191" t="s">
        <v>3634</v>
      </c>
      <c r="B880" s="192" t="s">
        <v>3635</v>
      </c>
      <c r="C880" s="191" t="s">
        <v>3636</v>
      </c>
      <c r="D880" s="193"/>
      <c r="E880" s="193"/>
      <c r="F880" s="194" t="s">
        <v>3637</v>
      </c>
      <c r="G880" s="193"/>
      <c r="H880" s="193"/>
      <c r="I880" s="193"/>
      <c r="J880" s="193"/>
      <c r="K880" s="193"/>
      <c r="L880" s="193"/>
      <c r="M880" s="193"/>
      <c r="N880" s="193"/>
      <c r="O880" s="193"/>
      <c r="P880" s="193"/>
      <c r="Q880" s="193"/>
      <c r="R880" s="193"/>
      <c r="S880" s="193"/>
      <c r="T880" s="193"/>
      <c r="U880" s="193"/>
      <c r="V880" s="193"/>
      <c r="W880" s="193"/>
      <c r="X880" s="193"/>
      <c r="Y880" s="193"/>
      <c r="Z880" s="193"/>
      <c r="AA880" s="193"/>
      <c r="AB880" s="193"/>
      <c r="AC880" s="193"/>
      <c r="AD880" s="193"/>
      <c r="AE880" s="193"/>
    </row>
    <row r="881" ht="14.25" customHeight="1">
      <c r="A881" s="191" t="s">
        <v>3638</v>
      </c>
      <c r="B881" s="192" t="s">
        <v>3639</v>
      </c>
      <c r="C881" s="191" t="s">
        <v>3640</v>
      </c>
      <c r="D881" s="193"/>
      <c r="E881" s="193"/>
      <c r="F881" s="194" t="s">
        <v>3641</v>
      </c>
      <c r="G881" s="193"/>
      <c r="H881" s="193"/>
      <c r="I881" s="193"/>
      <c r="J881" s="193"/>
      <c r="K881" s="193"/>
      <c r="L881" s="193"/>
      <c r="M881" s="193"/>
      <c r="N881" s="193"/>
      <c r="O881" s="193"/>
      <c r="P881" s="193"/>
      <c r="Q881" s="193"/>
      <c r="R881" s="193"/>
      <c r="S881" s="193"/>
      <c r="T881" s="193"/>
      <c r="U881" s="193"/>
      <c r="V881" s="193"/>
      <c r="W881" s="193"/>
      <c r="X881" s="193"/>
      <c r="Y881" s="193"/>
      <c r="Z881" s="193"/>
      <c r="AA881" s="193"/>
      <c r="AB881" s="193"/>
      <c r="AC881" s="193"/>
      <c r="AD881" s="193"/>
      <c r="AE881" s="193"/>
    </row>
    <row r="882" ht="14.25" customHeight="1">
      <c r="A882" s="191" t="s">
        <v>3642</v>
      </c>
      <c r="B882" s="192" t="s">
        <v>3643</v>
      </c>
      <c r="C882" s="191" t="s">
        <v>3644</v>
      </c>
      <c r="D882" s="193"/>
      <c r="E882" s="193"/>
      <c r="F882" s="194" t="s">
        <v>3645</v>
      </c>
      <c r="G882" s="193"/>
      <c r="H882" s="193"/>
      <c r="I882" s="193"/>
      <c r="J882" s="193"/>
      <c r="K882" s="193"/>
      <c r="L882" s="193"/>
      <c r="M882" s="193"/>
      <c r="N882" s="193"/>
      <c r="O882" s="193"/>
      <c r="P882" s="193"/>
      <c r="Q882" s="193"/>
      <c r="R882" s="193"/>
      <c r="S882" s="193"/>
      <c r="T882" s="193"/>
      <c r="U882" s="193"/>
      <c r="V882" s="193"/>
      <c r="W882" s="193"/>
      <c r="X882" s="193"/>
      <c r="Y882" s="193"/>
      <c r="Z882" s="193"/>
      <c r="AA882" s="193"/>
      <c r="AB882" s="193"/>
      <c r="AC882" s="193"/>
      <c r="AD882" s="193"/>
      <c r="AE882" s="193"/>
    </row>
    <row r="883" ht="14.25" customHeight="1">
      <c r="A883" s="191" t="s">
        <v>3646</v>
      </c>
      <c r="B883" s="192" t="s">
        <v>3647</v>
      </c>
      <c r="C883" s="191" t="s">
        <v>3648</v>
      </c>
      <c r="D883" s="193"/>
      <c r="E883" s="193"/>
      <c r="F883" s="194" t="s">
        <v>3649</v>
      </c>
      <c r="G883" s="193"/>
      <c r="H883" s="193"/>
      <c r="I883" s="193"/>
      <c r="J883" s="193"/>
      <c r="K883" s="193"/>
      <c r="L883" s="193"/>
      <c r="M883" s="193"/>
      <c r="N883" s="193"/>
      <c r="O883" s="193"/>
      <c r="P883" s="193"/>
      <c r="Q883" s="193"/>
      <c r="R883" s="193"/>
      <c r="S883" s="193"/>
      <c r="T883" s="193"/>
      <c r="U883" s="193"/>
      <c r="V883" s="193"/>
      <c r="W883" s="193"/>
      <c r="X883" s="193"/>
      <c r="Y883" s="193"/>
      <c r="Z883" s="193"/>
      <c r="AA883" s="193"/>
      <c r="AB883" s="193"/>
      <c r="AC883" s="193"/>
      <c r="AD883" s="193"/>
      <c r="AE883" s="193"/>
    </row>
    <row r="884" ht="14.25" customHeight="1">
      <c r="A884" s="191" t="s">
        <v>3650</v>
      </c>
      <c r="B884" s="192" t="s">
        <v>3651</v>
      </c>
      <c r="C884" s="191" t="s">
        <v>3652</v>
      </c>
      <c r="D884" s="193"/>
      <c r="E884" s="193"/>
      <c r="F884" s="194" t="s">
        <v>3653</v>
      </c>
      <c r="G884" s="193"/>
      <c r="H884" s="193"/>
      <c r="I884" s="193"/>
      <c r="J884" s="193"/>
      <c r="K884" s="193"/>
      <c r="L884" s="193"/>
      <c r="M884" s="193"/>
      <c r="N884" s="193"/>
      <c r="O884" s="193"/>
      <c r="P884" s="193"/>
      <c r="Q884" s="193"/>
      <c r="R884" s="193"/>
      <c r="S884" s="193"/>
      <c r="T884" s="193"/>
      <c r="U884" s="193"/>
      <c r="V884" s="193"/>
      <c r="W884" s="193"/>
      <c r="X884" s="193"/>
      <c r="Y884" s="193"/>
      <c r="Z884" s="193"/>
      <c r="AA884" s="193"/>
      <c r="AB884" s="193"/>
      <c r="AC884" s="193"/>
      <c r="AD884" s="193"/>
      <c r="AE884" s="193"/>
    </row>
    <row r="885" ht="14.25" customHeight="1">
      <c r="A885" s="191" t="s">
        <v>3654</v>
      </c>
      <c r="B885" s="192" t="s">
        <v>3655</v>
      </c>
      <c r="C885" s="191" t="s">
        <v>3656</v>
      </c>
      <c r="D885" s="193"/>
      <c r="E885" s="193"/>
      <c r="F885" s="194" t="s">
        <v>3657</v>
      </c>
      <c r="G885" s="193"/>
      <c r="H885" s="193"/>
      <c r="I885" s="193"/>
      <c r="J885" s="193"/>
      <c r="K885" s="193"/>
      <c r="L885" s="193"/>
      <c r="M885" s="193"/>
      <c r="N885" s="193"/>
      <c r="O885" s="193"/>
      <c r="P885" s="193"/>
      <c r="Q885" s="193"/>
      <c r="R885" s="193"/>
      <c r="S885" s="193"/>
      <c r="T885" s="193"/>
      <c r="U885" s="193"/>
      <c r="V885" s="193"/>
      <c r="W885" s="193"/>
      <c r="X885" s="193"/>
      <c r="Y885" s="193"/>
      <c r="Z885" s="193"/>
      <c r="AA885" s="193"/>
      <c r="AB885" s="193"/>
      <c r="AC885" s="193"/>
      <c r="AD885" s="193"/>
      <c r="AE885" s="193"/>
    </row>
    <row r="886" ht="14.25" customHeight="1">
      <c r="A886" s="191" t="s">
        <v>3658</v>
      </c>
      <c r="B886" s="192" t="s">
        <v>3659</v>
      </c>
      <c r="C886" s="191" t="s">
        <v>3660</v>
      </c>
      <c r="D886" s="193"/>
      <c r="E886" s="193"/>
      <c r="F886" s="194" t="s">
        <v>3661</v>
      </c>
      <c r="G886" s="193"/>
      <c r="H886" s="193"/>
      <c r="I886" s="193"/>
      <c r="J886" s="193"/>
      <c r="K886" s="193"/>
      <c r="L886" s="193"/>
      <c r="M886" s="193"/>
      <c r="N886" s="193"/>
      <c r="O886" s="193"/>
      <c r="P886" s="193"/>
      <c r="Q886" s="193"/>
      <c r="R886" s="193"/>
      <c r="S886" s="193"/>
      <c r="T886" s="193"/>
      <c r="U886" s="193"/>
      <c r="V886" s="193"/>
      <c r="W886" s="193"/>
      <c r="X886" s="193"/>
      <c r="Y886" s="193"/>
      <c r="Z886" s="193"/>
      <c r="AA886" s="193"/>
      <c r="AB886" s="193"/>
      <c r="AC886" s="193"/>
      <c r="AD886" s="193"/>
      <c r="AE886" s="193"/>
    </row>
    <row r="887" ht="14.25" customHeight="1">
      <c r="A887" s="191" t="s">
        <v>3662</v>
      </c>
      <c r="B887" s="192" t="s">
        <v>3663</v>
      </c>
      <c r="C887" s="191" t="s">
        <v>3664</v>
      </c>
      <c r="D887" s="193"/>
      <c r="E887" s="193"/>
      <c r="F887" s="195"/>
      <c r="G887" s="193"/>
      <c r="H887" s="193"/>
      <c r="I887" s="193"/>
      <c r="J887" s="193"/>
      <c r="K887" s="193"/>
      <c r="L887" s="193"/>
      <c r="M887" s="193"/>
      <c r="N887" s="193"/>
      <c r="O887" s="193"/>
      <c r="P887" s="193"/>
      <c r="Q887" s="193"/>
      <c r="R887" s="193"/>
      <c r="S887" s="193"/>
      <c r="T887" s="193"/>
      <c r="U887" s="193"/>
      <c r="V887" s="193"/>
      <c r="W887" s="193"/>
      <c r="X887" s="193"/>
      <c r="Y887" s="193"/>
      <c r="Z887" s="193"/>
      <c r="AA887" s="193"/>
      <c r="AB887" s="193"/>
      <c r="AC887" s="193"/>
      <c r="AD887" s="193"/>
      <c r="AE887" s="193"/>
    </row>
    <row r="888" ht="14.25" customHeight="1">
      <c r="A888" s="191" t="s">
        <v>3665</v>
      </c>
      <c r="B888" s="192" t="s">
        <v>3666</v>
      </c>
      <c r="C888" s="191" t="s">
        <v>3667</v>
      </c>
      <c r="D888" s="193"/>
      <c r="E888" s="193"/>
      <c r="F888" s="194" t="s">
        <v>3668</v>
      </c>
      <c r="G888" s="193"/>
      <c r="H888" s="193"/>
      <c r="I888" s="193"/>
      <c r="J888" s="193"/>
      <c r="K888" s="193"/>
      <c r="L888" s="193"/>
      <c r="M888" s="193"/>
      <c r="N888" s="193"/>
      <c r="O888" s="193"/>
      <c r="P888" s="193"/>
      <c r="Q888" s="193"/>
      <c r="R888" s="193"/>
      <c r="S888" s="193"/>
      <c r="T888" s="193"/>
      <c r="U888" s="193"/>
      <c r="V888" s="193"/>
      <c r="W888" s="193"/>
      <c r="X888" s="193"/>
      <c r="Y888" s="193"/>
      <c r="Z888" s="193"/>
      <c r="AA888" s="193"/>
      <c r="AB888" s="193"/>
      <c r="AC888" s="193"/>
      <c r="AD888" s="193"/>
      <c r="AE888" s="193"/>
    </row>
    <row r="889" ht="14.25" customHeight="1">
      <c r="A889" s="191" t="s">
        <v>3669</v>
      </c>
      <c r="B889" s="192" t="s">
        <v>3670</v>
      </c>
      <c r="C889" s="191" t="s">
        <v>3671</v>
      </c>
      <c r="D889" s="193"/>
      <c r="E889" s="193"/>
      <c r="F889" s="194" t="s">
        <v>3672</v>
      </c>
      <c r="G889" s="193"/>
      <c r="H889" s="193"/>
      <c r="I889" s="193"/>
      <c r="J889" s="193"/>
      <c r="K889" s="193"/>
      <c r="L889" s="193"/>
      <c r="M889" s="193"/>
      <c r="N889" s="193"/>
      <c r="O889" s="193"/>
      <c r="P889" s="193"/>
      <c r="Q889" s="193"/>
      <c r="R889" s="193"/>
      <c r="S889" s="193"/>
      <c r="T889" s="193"/>
      <c r="U889" s="193"/>
      <c r="V889" s="193"/>
      <c r="W889" s="193"/>
      <c r="X889" s="193"/>
      <c r="Y889" s="193"/>
      <c r="Z889" s="193"/>
      <c r="AA889" s="193"/>
      <c r="AB889" s="193"/>
      <c r="AC889" s="193"/>
      <c r="AD889" s="193"/>
      <c r="AE889" s="193"/>
    </row>
    <row r="890" ht="14.25" customHeight="1">
      <c r="A890" s="191" t="s">
        <v>3673</v>
      </c>
      <c r="B890" s="192" t="s">
        <v>3674</v>
      </c>
      <c r="C890" s="191" t="s">
        <v>3675</v>
      </c>
      <c r="D890" s="193"/>
      <c r="E890" s="193"/>
      <c r="F890" s="194" t="s">
        <v>3672</v>
      </c>
      <c r="G890" s="193"/>
      <c r="H890" s="193"/>
      <c r="I890" s="193"/>
      <c r="J890" s="193"/>
      <c r="K890" s="193"/>
      <c r="L890" s="193"/>
      <c r="M890" s="193"/>
      <c r="N890" s="193"/>
      <c r="O890" s="193"/>
      <c r="P890" s="193"/>
      <c r="Q890" s="193"/>
      <c r="R890" s="193"/>
      <c r="S890" s="193"/>
      <c r="T890" s="193"/>
      <c r="U890" s="193"/>
      <c r="V890" s="193"/>
      <c r="W890" s="193"/>
      <c r="X890" s="193"/>
      <c r="Y890" s="193"/>
      <c r="Z890" s="193"/>
      <c r="AA890" s="193"/>
      <c r="AB890" s="193"/>
      <c r="AC890" s="193"/>
      <c r="AD890" s="193"/>
      <c r="AE890" s="193"/>
    </row>
    <row r="891" ht="14.25" customHeight="1">
      <c r="A891" s="191" t="s">
        <v>3676</v>
      </c>
      <c r="B891" s="192" t="s">
        <v>3677</v>
      </c>
      <c r="C891" s="191" t="s">
        <v>3678</v>
      </c>
      <c r="D891" s="193"/>
      <c r="E891" s="193"/>
      <c r="F891" s="194" t="s">
        <v>3672</v>
      </c>
      <c r="G891" s="193"/>
      <c r="H891" s="193"/>
      <c r="I891" s="193"/>
      <c r="J891" s="193"/>
      <c r="K891" s="193"/>
      <c r="L891" s="193"/>
      <c r="M891" s="193"/>
      <c r="N891" s="193"/>
      <c r="O891" s="193"/>
      <c r="P891" s="193"/>
      <c r="Q891" s="193"/>
      <c r="R891" s="193"/>
      <c r="S891" s="193"/>
      <c r="T891" s="193"/>
      <c r="U891" s="193"/>
      <c r="V891" s="193"/>
      <c r="W891" s="193"/>
      <c r="X891" s="193"/>
      <c r="Y891" s="193"/>
      <c r="Z891" s="193"/>
      <c r="AA891" s="193"/>
      <c r="AB891" s="193"/>
      <c r="AC891" s="193"/>
      <c r="AD891" s="193"/>
      <c r="AE891" s="193"/>
    </row>
    <row r="892" ht="14.25" customHeight="1">
      <c r="A892" s="191" t="s">
        <v>3679</v>
      </c>
      <c r="B892" s="192" t="s">
        <v>3680</v>
      </c>
      <c r="C892" s="191" t="s">
        <v>3681</v>
      </c>
      <c r="D892" s="193"/>
      <c r="E892" s="193"/>
      <c r="F892" s="194" t="s">
        <v>3682</v>
      </c>
      <c r="G892" s="193"/>
      <c r="H892" s="193"/>
      <c r="I892" s="193"/>
      <c r="J892" s="193"/>
      <c r="K892" s="193"/>
      <c r="L892" s="193"/>
      <c r="M892" s="193"/>
      <c r="N892" s="193"/>
      <c r="O892" s="193"/>
      <c r="P892" s="193"/>
      <c r="Q892" s="193"/>
      <c r="R892" s="193"/>
      <c r="S892" s="193"/>
      <c r="T892" s="193"/>
      <c r="U892" s="193"/>
      <c r="V892" s="193"/>
      <c r="W892" s="193"/>
      <c r="X892" s="193"/>
      <c r="Y892" s="193"/>
      <c r="Z892" s="193"/>
      <c r="AA892" s="193"/>
      <c r="AB892" s="193"/>
      <c r="AC892" s="193"/>
      <c r="AD892" s="193"/>
      <c r="AE892" s="193"/>
    </row>
    <row r="893" ht="14.25" customHeight="1">
      <c r="A893" s="191" t="s">
        <v>3683</v>
      </c>
      <c r="B893" s="192" t="s">
        <v>3684</v>
      </c>
      <c r="C893" s="191" t="s">
        <v>3685</v>
      </c>
      <c r="D893" s="193"/>
      <c r="E893" s="193"/>
      <c r="F893" s="194" t="s">
        <v>3686</v>
      </c>
      <c r="G893" s="193"/>
      <c r="H893" s="193"/>
      <c r="I893" s="193"/>
      <c r="J893" s="193"/>
      <c r="K893" s="193"/>
      <c r="L893" s="193"/>
      <c r="M893" s="193"/>
      <c r="N893" s="193"/>
      <c r="O893" s="193"/>
      <c r="P893" s="193"/>
      <c r="Q893" s="193"/>
      <c r="R893" s="193"/>
      <c r="S893" s="193"/>
      <c r="T893" s="193"/>
      <c r="U893" s="193"/>
      <c r="V893" s="193"/>
      <c r="W893" s="193"/>
      <c r="X893" s="193"/>
      <c r="Y893" s="193"/>
      <c r="Z893" s="193"/>
      <c r="AA893" s="193"/>
      <c r="AB893" s="193"/>
      <c r="AC893" s="193"/>
      <c r="AD893" s="193"/>
      <c r="AE893" s="193"/>
    </row>
    <row r="894" ht="14.25" customHeight="1">
      <c r="A894" s="191" t="s">
        <v>3687</v>
      </c>
      <c r="B894" s="192" t="s">
        <v>3688</v>
      </c>
      <c r="C894" s="191" t="s">
        <v>3689</v>
      </c>
      <c r="D894" s="193"/>
      <c r="E894" s="193"/>
      <c r="F894" s="194" t="s">
        <v>3690</v>
      </c>
      <c r="G894" s="193"/>
      <c r="H894" s="193"/>
      <c r="I894" s="193"/>
      <c r="J894" s="193"/>
      <c r="K894" s="193"/>
      <c r="L894" s="193"/>
      <c r="M894" s="193"/>
      <c r="N894" s="193"/>
      <c r="O894" s="193"/>
      <c r="P894" s="193"/>
      <c r="Q894" s="193"/>
      <c r="R894" s="193"/>
      <c r="S894" s="193"/>
      <c r="T894" s="193"/>
      <c r="U894" s="193"/>
      <c r="V894" s="193"/>
      <c r="W894" s="193"/>
      <c r="X894" s="193"/>
      <c r="Y894" s="193"/>
      <c r="Z894" s="193"/>
      <c r="AA894" s="193"/>
      <c r="AB894" s="193"/>
      <c r="AC894" s="193"/>
      <c r="AD894" s="193"/>
      <c r="AE894" s="193"/>
    </row>
    <row r="895" ht="14.25" customHeight="1">
      <c r="A895" s="191" t="s">
        <v>3691</v>
      </c>
      <c r="B895" s="192" t="s">
        <v>3692</v>
      </c>
      <c r="C895" s="191" t="s">
        <v>3693</v>
      </c>
      <c r="D895" s="193"/>
      <c r="E895" s="193"/>
      <c r="F895" s="194" t="s">
        <v>3694</v>
      </c>
      <c r="G895" s="193"/>
      <c r="H895" s="193"/>
      <c r="I895" s="193"/>
      <c r="J895" s="193"/>
      <c r="K895" s="193"/>
      <c r="L895" s="193"/>
      <c r="M895" s="193"/>
      <c r="N895" s="193"/>
      <c r="O895" s="193"/>
      <c r="P895" s="193"/>
      <c r="Q895" s="193"/>
      <c r="R895" s="193"/>
      <c r="S895" s="193"/>
      <c r="T895" s="193"/>
      <c r="U895" s="193"/>
      <c r="V895" s="193"/>
      <c r="W895" s="193"/>
      <c r="X895" s="193"/>
      <c r="Y895" s="193"/>
      <c r="Z895" s="193"/>
      <c r="AA895" s="193"/>
      <c r="AB895" s="193"/>
      <c r="AC895" s="193"/>
      <c r="AD895" s="193"/>
      <c r="AE895" s="193"/>
    </row>
    <row r="896" ht="14.25" customHeight="1">
      <c r="A896" s="191" t="s">
        <v>3695</v>
      </c>
      <c r="B896" s="192" t="s">
        <v>3696</v>
      </c>
      <c r="C896" s="191" t="s">
        <v>3697</v>
      </c>
      <c r="D896" s="193"/>
      <c r="E896" s="193"/>
      <c r="F896" s="194" t="s">
        <v>3698</v>
      </c>
      <c r="G896" s="193"/>
      <c r="H896" s="193"/>
      <c r="I896" s="193"/>
      <c r="J896" s="193"/>
      <c r="K896" s="193"/>
      <c r="L896" s="193"/>
      <c r="M896" s="193"/>
      <c r="N896" s="193"/>
      <c r="O896" s="193"/>
      <c r="P896" s="193"/>
      <c r="Q896" s="193"/>
      <c r="R896" s="193"/>
      <c r="S896" s="193"/>
      <c r="T896" s="193"/>
      <c r="U896" s="193"/>
      <c r="V896" s="193"/>
      <c r="W896" s="193"/>
      <c r="X896" s="193"/>
      <c r="Y896" s="193"/>
      <c r="Z896" s="193"/>
      <c r="AA896" s="193"/>
      <c r="AB896" s="193"/>
      <c r="AC896" s="193"/>
      <c r="AD896" s="193"/>
      <c r="AE896" s="193"/>
    </row>
    <row r="897" ht="14.25" customHeight="1">
      <c r="A897" s="191" t="s">
        <v>3699</v>
      </c>
      <c r="B897" s="192" t="s">
        <v>3700</v>
      </c>
      <c r="C897" s="191" t="s">
        <v>3701</v>
      </c>
      <c r="D897" s="193"/>
      <c r="E897" s="193"/>
      <c r="F897" s="194" t="s">
        <v>3702</v>
      </c>
      <c r="G897" s="193"/>
      <c r="H897" s="193"/>
      <c r="I897" s="193"/>
      <c r="J897" s="193"/>
      <c r="K897" s="193"/>
      <c r="L897" s="193"/>
      <c r="M897" s="193"/>
      <c r="N897" s="193"/>
      <c r="O897" s="193"/>
      <c r="P897" s="193"/>
      <c r="Q897" s="193"/>
      <c r="R897" s="193"/>
      <c r="S897" s="193"/>
      <c r="T897" s="193"/>
      <c r="U897" s="193"/>
      <c r="V897" s="193"/>
      <c r="W897" s="193"/>
      <c r="X897" s="193"/>
      <c r="Y897" s="193"/>
      <c r="Z897" s="193"/>
      <c r="AA897" s="193"/>
      <c r="AB897" s="193"/>
      <c r="AC897" s="193"/>
      <c r="AD897" s="193"/>
      <c r="AE897" s="193"/>
    </row>
    <row r="898" ht="14.25" customHeight="1">
      <c r="A898" s="191" t="s">
        <v>3703</v>
      </c>
      <c r="B898" s="192" t="s">
        <v>3704</v>
      </c>
      <c r="C898" s="191" t="s">
        <v>3705</v>
      </c>
      <c r="D898" s="193"/>
      <c r="E898" s="193"/>
      <c r="F898" s="194" t="s">
        <v>3706</v>
      </c>
      <c r="G898" s="193"/>
      <c r="H898" s="193"/>
      <c r="I898" s="193"/>
      <c r="J898" s="193"/>
      <c r="K898" s="193"/>
      <c r="L898" s="193"/>
      <c r="M898" s="193"/>
      <c r="N898" s="193"/>
      <c r="O898" s="193"/>
      <c r="P898" s="193"/>
      <c r="Q898" s="193"/>
      <c r="R898" s="193"/>
      <c r="S898" s="193"/>
      <c r="T898" s="193"/>
      <c r="U898" s="193"/>
      <c r="V898" s="193"/>
      <c r="W898" s="193"/>
      <c r="X898" s="193"/>
      <c r="Y898" s="193"/>
      <c r="Z898" s="193"/>
      <c r="AA898" s="193"/>
      <c r="AB898" s="193"/>
      <c r="AC898" s="193"/>
      <c r="AD898" s="193"/>
      <c r="AE898" s="193"/>
    </row>
    <row r="899" ht="14.25" customHeight="1">
      <c r="A899" s="191" t="s">
        <v>3707</v>
      </c>
      <c r="B899" s="192" t="s">
        <v>3708</v>
      </c>
      <c r="C899" s="191" t="s">
        <v>3709</v>
      </c>
      <c r="D899" s="193"/>
      <c r="E899" s="193"/>
      <c r="F899" s="194" t="s">
        <v>3710</v>
      </c>
      <c r="G899" s="193"/>
      <c r="H899" s="193"/>
      <c r="I899" s="193"/>
      <c r="J899" s="193"/>
      <c r="K899" s="193"/>
      <c r="L899" s="193"/>
      <c r="M899" s="193"/>
      <c r="N899" s="193"/>
      <c r="O899" s="193"/>
      <c r="P899" s="193"/>
      <c r="Q899" s="193"/>
      <c r="R899" s="193"/>
      <c r="S899" s="193"/>
      <c r="T899" s="193"/>
      <c r="U899" s="193"/>
      <c r="V899" s="193"/>
      <c r="W899" s="193"/>
      <c r="X899" s="193"/>
      <c r="Y899" s="193"/>
      <c r="Z899" s="193"/>
      <c r="AA899" s="193"/>
      <c r="AB899" s="193"/>
      <c r="AC899" s="193"/>
      <c r="AD899" s="193"/>
      <c r="AE899" s="193"/>
    </row>
    <row r="900" ht="14.25" customHeight="1">
      <c r="A900" s="191" t="s">
        <v>3711</v>
      </c>
      <c r="B900" s="192" t="s">
        <v>3712</v>
      </c>
      <c r="C900" s="191" t="s">
        <v>3713</v>
      </c>
      <c r="D900" s="193"/>
      <c r="E900" s="193"/>
      <c r="F900" s="194" t="s">
        <v>3714</v>
      </c>
      <c r="G900" s="193"/>
      <c r="H900" s="193"/>
      <c r="I900" s="193"/>
      <c r="J900" s="193"/>
      <c r="K900" s="193"/>
      <c r="L900" s="193"/>
      <c r="M900" s="193"/>
      <c r="N900" s="193"/>
      <c r="O900" s="193"/>
      <c r="P900" s="193"/>
      <c r="Q900" s="193"/>
      <c r="R900" s="193"/>
      <c r="S900" s="193"/>
      <c r="T900" s="193"/>
      <c r="U900" s="193"/>
      <c r="V900" s="193"/>
      <c r="W900" s="193"/>
      <c r="X900" s="193"/>
      <c r="Y900" s="193"/>
      <c r="Z900" s="193"/>
      <c r="AA900" s="193"/>
      <c r="AB900" s="193"/>
      <c r="AC900" s="193"/>
      <c r="AD900" s="193"/>
      <c r="AE900" s="193"/>
    </row>
    <row r="901" ht="14.25" customHeight="1">
      <c r="A901" s="191" t="s">
        <v>3715</v>
      </c>
      <c r="B901" s="192" t="s">
        <v>3716</v>
      </c>
      <c r="C901" s="191" t="s">
        <v>3717</v>
      </c>
      <c r="D901" s="193"/>
      <c r="E901" s="193"/>
      <c r="F901" s="194" t="s">
        <v>3718</v>
      </c>
      <c r="G901" s="193"/>
      <c r="H901" s="193"/>
      <c r="I901" s="193"/>
      <c r="J901" s="193"/>
      <c r="K901" s="193"/>
      <c r="L901" s="193"/>
      <c r="M901" s="193"/>
      <c r="N901" s="193"/>
      <c r="O901" s="193"/>
      <c r="P901" s="193"/>
      <c r="Q901" s="193"/>
      <c r="R901" s="193"/>
      <c r="S901" s="193"/>
      <c r="T901" s="193"/>
      <c r="U901" s="193"/>
      <c r="V901" s="193"/>
      <c r="W901" s="193"/>
      <c r="X901" s="193"/>
      <c r="Y901" s="193"/>
      <c r="Z901" s="193"/>
      <c r="AA901" s="193"/>
      <c r="AB901" s="193"/>
      <c r="AC901" s="193"/>
      <c r="AD901" s="193"/>
      <c r="AE901" s="193"/>
    </row>
    <row r="902" ht="14.25" customHeight="1">
      <c r="A902" s="191" t="s">
        <v>3719</v>
      </c>
      <c r="B902" s="192" t="s">
        <v>3720</v>
      </c>
      <c r="C902" s="191" t="s">
        <v>3721</v>
      </c>
      <c r="D902" s="193"/>
      <c r="E902" s="193"/>
      <c r="F902" s="194" t="s">
        <v>3722</v>
      </c>
      <c r="G902" s="193"/>
      <c r="H902" s="193"/>
      <c r="I902" s="193"/>
      <c r="J902" s="193"/>
      <c r="K902" s="193"/>
      <c r="L902" s="193"/>
      <c r="M902" s="193"/>
      <c r="N902" s="193"/>
      <c r="O902" s="193"/>
      <c r="P902" s="193"/>
      <c r="Q902" s="193"/>
      <c r="R902" s="193"/>
      <c r="S902" s="193"/>
      <c r="T902" s="193"/>
      <c r="U902" s="193"/>
      <c r="V902" s="193"/>
      <c r="W902" s="193"/>
      <c r="X902" s="193"/>
      <c r="Y902" s="193"/>
      <c r="Z902" s="193"/>
      <c r="AA902" s="193"/>
      <c r="AB902" s="193"/>
      <c r="AC902" s="193"/>
      <c r="AD902" s="193"/>
      <c r="AE902" s="193"/>
    </row>
    <row r="903" ht="14.25" customHeight="1">
      <c r="A903" s="191" t="s">
        <v>3723</v>
      </c>
      <c r="B903" s="192" t="s">
        <v>3724</v>
      </c>
      <c r="C903" s="191" t="s">
        <v>3725</v>
      </c>
      <c r="D903" s="193"/>
      <c r="E903" s="193"/>
      <c r="F903" s="194" t="s">
        <v>3726</v>
      </c>
      <c r="G903" s="193"/>
      <c r="H903" s="193"/>
      <c r="I903" s="193"/>
      <c r="J903" s="193"/>
      <c r="K903" s="193"/>
      <c r="L903" s="193"/>
      <c r="M903" s="193"/>
      <c r="N903" s="193"/>
      <c r="O903" s="193"/>
      <c r="P903" s="193"/>
      <c r="Q903" s="193"/>
      <c r="R903" s="193"/>
      <c r="S903" s="193"/>
      <c r="T903" s="193"/>
      <c r="U903" s="193"/>
      <c r="V903" s="193"/>
      <c r="W903" s="193"/>
      <c r="X903" s="193"/>
      <c r="Y903" s="193"/>
      <c r="Z903" s="193"/>
      <c r="AA903" s="193"/>
      <c r="AB903" s="193"/>
      <c r="AC903" s="193"/>
      <c r="AD903" s="193"/>
      <c r="AE903" s="193"/>
    </row>
    <row r="904" ht="14.25" customHeight="1">
      <c r="A904" s="191" t="s">
        <v>3727</v>
      </c>
      <c r="B904" s="192" t="s">
        <v>3728</v>
      </c>
      <c r="C904" s="191" t="s">
        <v>3729</v>
      </c>
      <c r="D904" s="193"/>
      <c r="E904" s="193"/>
      <c r="F904" s="194" t="s">
        <v>3730</v>
      </c>
      <c r="G904" s="193"/>
      <c r="H904" s="193"/>
      <c r="I904" s="193"/>
      <c r="J904" s="193"/>
      <c r="K904" s="193"/>
      <c r="L904" s="193"/>
      <c r="M904" s="193"/>
      <c r="N904" s="193"/>
      <c r="O904" s="193"/>
      <c r="P904" s="193"/>
      <c r="Q904" s="193"/>
      <c r="R904" s="193"/>
      <c r="S904" s="193"/>
      <c r="T904" s="193"/>
      <c r="U904" s="193"/>
      <c r="V904" s="193"/>
      <c r="W904" s="193"/>
      <c r="X904" s="193"/>
      <c r="Y904" s="193"/>
      <c r="Z904" s="193"/>
      <c r="AA904" s="193"/>
      <c r="AB904" s="193"/>
      <c r="AC904" s="193"/>
      <c r="AD904" s="193"/>
      <c r="AE904" s="193"/>
    </row>
    <row r="905" ht="14.25" customHeight="1">
      <c r="A905" s="191" t="s">
        <v>3731</v>
      </c>
      <c r="B905" s="192" t="s">
        <v>3732</v>
      </c>
      <c r="C905" s="191" t="s">
        <v>3733</v>
      </c>
      <c r="D905" s="193"/>
      <c r="E905" s="193"/>
      <c r="F905" s="194" t="s">
        <v>3734</v>
      </c>
      <c r="G905" s="193"/>
      <c r="H905" s="193"/>
      <c r="I905" s="193"/>
      <c r="J905" s="193"/>
      <c r="K905" s="193"/>
      <c r="L905" s="193"/>
      <c r="M905" s="193"/>
      <c r="N905" s="193"/>
      <c r="O905" s="193"/>
      <c r="P905" s="193"/>
      <c r="Q905" s="193"/>
      <c r="R905" s="193"/>
      <c r="S905" s="193"/>
      <c r="T905" s="193"/>
      <c r="U905" s="193"/>
      <c r="V905" s="193"/>
      <c r="W905" s="193"/>
      <c r="X905" s="193"/>
      <c r="Y905" s="193"/>
      <c r="Z905" s="193"/>
      <c r="AA905" s="193"/>
      <c r="AB905" s="193"/>
      <c r="AC905" s="193"/>
      <c r="AD905" s="193"/>
      <c r="AE905" s="193"/>
    </row>
    <row r="906" ht="14.25" customHeight="1">
      <c r="A906" s="191" t="s">
        <v>3735</v>
      </c>
      <c r="B906" s="192" t="s">
        <v>3736</v>
      </c>
      <c r="C906" s="191" t="s">
        <v>3737</v>
      </c>
      <c r="D906" s="193"/>
      <c r="E906" s="193"/>
      <c r="F906" s="194" t="s">
        <v>3738</v>
      </c>
      <c r="G906" s="193"/>
      <c r="H906" s="193"/>
      <c r="I906" s="193"/>
      <c r="J906" s="193"/>
      <c r="K906" s="193"/>
      <c r="L906" s="193"/>
      <c r="M906" s="193"/>
      <c r="N906" s="193"/>
      <c r="O906" s="193"/>
      <c r="P906" s="193"/>
      <c r="Q906" s="193"/>
      <c r="R906" s="193"/>
      <c r="S906" s="193"/>
      <c r="T906" s="193"/>
      <c r="U906" s="193"/>
      <c r="V906" s="193"/>
      <c r="W906" s="193"/>
      <c r="X906" s="193"/>
      <c r="Y906" s="193"/>
      <c r="Z906" s="193"/>
      <c r="AA906" s="193"/>
      <c r="AB906" s="193"/>
      <c r="AC906" s="193"/>
      <c r="AD906" s="193"/>
      <c r="AE906" s="193"/>
    </row>
    <row r="907" ht="14.25" customHeight="1">
      <c r="A907" s="191" t="s">
        <v>3739</v>
      </c>
      <c r="B907" s="192" t="s">
        <v>3740</v>
      </c>
      <c r="C907" s="191" t="s">
        <v>3741</v>
      </c>
      <c r="D907" s="193"/>
      <c r="E907" s="193"/>
      <c r="F907" s="194" t="s">
        <v>3742</v>
      </c>
      <c r="G907" s="193"/>
      <c r="H907" s="193"/>
      <c r="I907" s="193"/>
      <c r="J907" s="193"/>
      <c r="K907" s="193"/>
      <c r="L907" s="193"/>
      <c r="M907" s="193"/>
      <c r="N907" s="193"/>
      <c r="O907" s="193"/>
      <c r="P907" s="193"/>
      <c r="Q907" s="193"/>
      <c r="R907" s="193"/>
      <c r="S907" s="193"/>
      <c r="T907" s="193"/>
      <c r="U907" s="193"/>
      <c r="V907" s="193"/>
      <c r="W907" s="193"/>
      <c r="X907" s="193"/>
      <c r="Y907" s="193"/>
      <c r="Z907" s="193"/>
      <c r="AA907" s="193"/>
      <c r="AB907" s="193"/>
      <c r="AC907" s="193"/>
      <c r="AD907" s="193"/>
      <c r="AE907" s="193"/>
    </row>
    <row r="908" ht="14.25" customHeight="1">
      <c r="A908" s="191" t="s">
        <v>3743</v>
      </c>
      <c r="B908" s="192" t="s">
        <v>3744</v>
      </c>
      <c r="C908" s="191" t="s">
        <v>3745</v>
      </c>
      <c r="D908" s="193"/>
      <c r="E908" s="193"/>
      <c r="F908" s="194" t="s">
        <v>3746</v>
      </c>
      <c r="G908" s="193"/>
      <c r="H908" s="193"/>
      <c r="I908" s="193"/>
      <c r="J908" s="193"/>
      <c r="K908" s="193"/>
      <c r="L908" s="193"/>
      <c r="M908" s="193"/>
      <c r="N908" s="193"/>
      <c r="O908" s="193"/>
      <c r="P908" s="193"/>
      <c r="Q908" s="193"/>
      <c r="R908" s="193"/>
      <c r="S908" s="193"/>
      <c r="T908" s="193"/>
      <c r="U908" s="193"/>
      <c r="V908" s="193"/>
      <c r="W908" s="193"/>
      <c r="X908" s="193"/>
      <c r="Y908" s="193"/>
      <c r="Z908" s="193"/>
      <c r="AA908" s="193"/>
      <c r="AB908" s="193"/>
      <c r="AC908" s="193"/>
      <c r="AD908" s="193"/>
      <c r="AE908" s="193"/>
    </row>
    <row r="909" ht="14.25" customHeight="1">
      <c r="A909" s="191" t="s">
        <v>3747</v>
      </c>
      <c r="B909" s="192" t="s">
        <v>3748</v>
      </c>
      <c r="C909" s="191" t="s">
        <v>3749</v>
      </c>
      <c r="D909" s="193"/>
      <c r="E909" s="193"/>
      <c r="F909" s="194" t="s">
        <v>3750</v>
      </c>
      <c r="G909" s="193"/>
      <c r="H909" s="193"/>
      <c r="I909" s="193"/>
      <c r="J909" s="193"/>
      <c r="K909" s="193"/>
      <c r="L909" s="193"/>
      <c r="M909" s="193"/>
      <c r="N909" s="193"/>
      <c r="O909" s="193"/>
      <c r="P909" s="193"/>
      <c r="Q909" s="193"/>
      <c r="R909" s="193"/>
      <c r="S909" s="193"/>
      <c r="T909" s="193"/>
      <c r="U909" s="193"/>
      <c r="V909" s="193"/>
      <c r="W909" s="193"/>
      <c r="X909" s="193"/>
      <c r="Y909" s="193"/>
      <c r="Z909" s="193"/>
      <c r="AA909" s="193"/>
      <c r="AB909" s="193"/>
      <c r="AC909" s="193"/>
      <c r="AD909" s="193"/>
      <c r="AE909" s="193"/>
    </row>
    <row r="910" ht="14.25" customHeight="1">
      <c r="A910" s="191" t="s">
        <v>3751</v>
      </c>
      <c r="B910" s="192" t="s">
        <v>3752</v>
      </c>
      <c r="C910" s="191" t="s">
        <v>3753</v>
      </c>
      <c r="D910" s="193"/>
      <c r="E910" s="193"/>
      <c r="F910" s="194" t="s">
        <v>3754</v>
      </c>
      <c r="G910" s="193"/>
      <c r="H910" s="193"/>
      <c r="I910" s="193"/>
      <c r="J910" s="193"/>
      <c r="K910" s="193"/>
      <c r="L910" s="193"/>
      <c r="M910" s="193"/>
      <c r="N910" s="193"/>
      <c r="O910" s="193"/>
      <c r="P910" s="193"/>
      <c r="Q910" s="193"/>
      <c r="R910" s="193"/>
      <c r="S910" s="193"/>
      <c r="T910" s="193"/>
      <c r="U910" s="193"/>
      <c r="V910" s="193"/>
      <c r="W910" s="193"/>
      <c r="X910" s="193"/>
      <c r="Y910" s="193"/>
      <c r="Z910" s="193"/>
      <c r="AA910" s="193"/>
      <c r="AB910" s="193"/>
      <c r="AC910" s="193"/>
      <c r="AD910" s="193"/>
      <c r="AE910" s="193"/>
    </row>
    <row r="911" ht="14.25" customHeight="1">
      <c r="A911" s="191" t="s">
        <v>3755</v>
      </c>
      <c r="B911" s="192" t="s">
        <v>3756</v>
      </c>
      <c r="C911" s="191" t="s">
        <v>3757</v>
      </c>
      <c r="D911" s="193"/>
      <c r="E911" s="193"/>
      <c r="F911" s="194" t="s">
        <v>3758</v>
      </c>
      <c r="G911" s="193"/>
      <c r="H911" s="193"/>
      <c r="I911" s="193"/>
      <c r="J911" s="193"/>
      <c r="K911" s="193"/>
      <c r="L911" s="193"/>
      <c r="M911" s="193"/>
      <c r="N911" s="193"/>
      <c r="O911" s="193"/>
      <c r="P911" s="193"/>
      <c r="Q911" s="193"/>
      <c r="R911" s="193"/>
      <c r="S911" s="193"/>
      <c r="T911" s="193"/>
      <c r="U911" s="193"/>
      <c r="V911" s="193"/>
      <c r="W911" s="193"/>
      <c r="X911" s="193"/>
      <c r="Y911" s="193"/>
      <c r="Z911" s="193"/>
      <c r="AA911" s="193"/>
      <c r="AB911" s="193"/>
      <c r="AC911" s="193"/>
      <c r="AD911" s="193"/>
      <c r="AE911" s="193"/>
    </row>
    <row r="912" ht="14.25" customHeight="1">
      <c r="A912" s="191" t="s">
        <v>3759</v>
      </c>
      <c r="B912" s="192" t="s">
        <v>3760</v>
      </c>
      <c r="C912" s="191" t="s">
        <v>3761</v>
      </c>
      <c r="D912" s="193"/>
      <c r="E912" s="193"/>
      <c r="F912" s="194" t="s">
        <v>3762</v>
      </c>
      <c r="G912" s="193"/>
      <c r="H912" s="193"/>
      <c r="I912" s="193"/>
      <c r="J912" s="193"/>
      <c r="K912" s="193"/>
      <c r="L912" s="193"/>
      <c r="M912" s="193"/>
      <c r="N912" s="193"/>
      <c r="O912" s="193"/>
      <c r="P912" s="193"/>
      <c r="Q912" s="193"/>
      <c r="R912" s="193"/>
      <c r="S912" s="193"/>
      <c r="T912" s="193"/>
      <c r="U912" s="193"/>
      <c r="V912" s="193"/>
      <c r="W912" s="193"/>
      <c r="X912" s="193"/>
      <c r="Y912" s="193"/>
      <c r="Z912" s="193"/>
      <c r="AA912" s="193"/>
      <c r="AB912" s="193"/>
      <c r="AC912" s="193"/>
      <c r="AD912" s="193"/>
      <c r="AE912" s="193"/>
    </row>
    <row r="913" ht="14.25" customHeight="1">
      <c r="A913" s="191" t="s">
        <v>3763</v>
      </c>
      <c r="B913" s="192" t="s">
        <v>3764</v>
      </c>
      <c r="C913" s="191" t="s">
        <v>3765</v>
      </c>
      <c r="D913" s="193"/>
      <c r="E913" s="193"/>
      <c r="F913" s="194" t="s">
        <v>3766</v>
      </c>
      <c r="G913" s="193"/>
      <c r="H913" s="193"/>
      <c r="I913" s="193"/>
      <c r="J913" s="193"/>
      <c r="K913" s="193"/>
      <c r="L913" s="193"/>
      <c r="M913" s="193"/>
      <c r="N913" s="193"/>
      <c r="O913" s="193"/>
      <c r="P913" s="193"/>
      <c r="Q913" s="193"/>
      <c r="R913" s="193"/>
      <c r="S913" s="193"/>
      <c r="T913" s="193"/>
      <c r="U913" s="193"/>
      <c r="V913" s="193"/>
      <c r="W913" s="193"/>
      <c r="X913" s="193"/>
      <c r="Y913" s="193"/>
      <c r="Z913" s="193"/>
      <c r="AA913" s="193"/>
      <c r="AB913" s="193"/>
      <c r="AC913" s="193"/>
      <c r="AD913" s="193"/>
      <c r="AE913" s="193"/>
    </row>
    <row r="914" ht="14.25" customHeight="1">
      <c r="A914" s="191" t="s">
        <v>3767</v>
      </c>
      <c r="B914" s="192" t="s">
        <v>3768</v>
      </c>
      <c r="C914" s="191" t="s">
        <v>3769</v>
      </c>
      <c r="D914" s="193"/>
      <c r="E914" s="193"/>
      <c r="F914" s="194" t="s">
        <v>3770</v>
      </c>
      <c r="G914" s="193"/>
      <c r="H914" s="193"/>
      <c r="I914" s="193"/>
      <c r="J914" s="193"/>
      <c r="K914" s="193"/>
      <c r="L914" s="193"/>
      <c r="M914" s="193"/>
      <c r="N914" s="193"/>
      <c r="O914" s="193"/>
      <c r="P914" s="193"/>
      <c r="Q914" s="193"/>
      <c r="R914" s="193"/>
      <c r="S914" s="193"/>
      <c r="T914" s="193"/>
      <c r="U914" s="193"/>
      <c r="V914" s="193"/>
      <c r="W914" s="193"/>
      <c r="X914" s="193"/>
      <c r="Y914" s="193"/>
      <c r="Z914" s="193"/>
      <c r="AA914" s="193"/>
      <c r="AB914" s="193"/>
      <c r="AC914" s="193"/>
      <c r="AD914" s="193"/>
      <c r="AE914" s="193"/>
    </row>
    <row r="915" ht="14.25" customHeight="1">
      <c r="A915" s="191" t="s">
        <v>3771</v>
      </c>
      <c r="B915" s="192" t="s">
        <v>3772</v>
      </c>
      <c r="C915" s="191" t="s">
        <v>3773</v>
      </c>
      <c r="D915" s="193"/>
      <c r="E915" s="193"/>
      <c r="F915" s="194" t="s">
        <v>3774</v>
      </c>
      <c r="G915" s="193"/>
      <c r="H915" s="193"/>
      <c r="I915" s="193"/>
      <c r="J915" s="193"/>
      <c r="K915" s="193"/>
      <c r="L915" s="193"/>
      <c r="M915" s="193"/>
      <c r="N915" s="193"/>
      <c r="O915" s="193"/>
      <c r="P915" s="193"/>
      <c r="Q915" s="193"/>
      <c r="R915" s="193"/>
      <c r="S915" s="193"/>
      <c r="T915" s="193"/>
      <c r="U915" s="193"/>
      <c r="V915" s="193"/>
      <c r="W915" s="193"/>
      <c r="X915" s="193"/>
      <c r="Y915" s="193"/>
      <c r="Z915" s="193"/>
      <c r="AA915" s="193"/>
      <c r="AB915" s="193"/>
      <c r="AC915" s="193"/>
      <c r="AD915" s="193"/>
      <c r="AE915" s="193"/>
    </row>
    <row r="916" ht="14.25" customHeight="1">
      <c r="A916" s="191" t="s">
        <v>3775</v>
      </c>
      <c r="B916" s="192" t="s">
        <v>3776</v>
      </c>
      <c r="C916" s="191" t="s">
        <v>3777</v>
      </c>
      <c r="D916" s="193"/>
      <c r="E916" s="193"/>
      <c r="F916" s="194" t="s">
        <v>3778</v>
      </c>
      <c r="G916" s="193"/>
      <c r="H916" s="193"/>
      <c r="I916" s="193"/>
      <c r="J916" s="193"/>
      <c r="K916" s="193"/>
      <c r="L916" s="193"/>
      <c r="M916" s="193"/>
      <c r="N916" s="193"/>
      <c r="O916" s="193"/>
      <c r="P916" s="193"/>
      <c r="Q916" s="193"/>
      <c r="R916" s="193"/>
      <c r="S916" s="193"/>
      <c r="T916" s="193"/>
      <c r="U916" s="193"/>
      <c r="V916" s="193"/>
      <c r="W916" s="193"/>
      <c r="X916" s="193"/>
      <c r="Y916" s="193"/>
      <c r="Z916" s="193"/>
      <c r="AA916" s="193"/>
      <c r="AB916" s="193"/>
      <c r="AC916" s="193"/>
      <c r="AD916" s="193"/>
      <c r="AE916" s="193"/>
    </row>
    <row r="917" ht="14.25" customHeight="1">
      <c r="A917" s="191" t="s">
        <v>3779</v>
      </c>
      <c r="B917" s="192" t="s">
        <v>3780</v>
      </c>
      <c r="C917" s="191" t="s">
        <v>3781</v>
      </c>
      <c r="D917" s="193"/>
      <c r="E917" s="193"/>
      <c r="F917" s="194" t="s">
        <v>3782</v>
      </c>
      <c r="G917" s="193"/>
      <c r="H917" s="193"/>
      <c r="I917" s="193"/>
      <c r="J917" s="193"/>
      <c r="K917" s="193"/>
      <c r="L917" s="193"/>
      <c r="M917" s="193"/>
      <c r="N917" s="193"/>
      <c r="O917" s="193"/>
      <c r="P917" s="193"/>
      <c r="Q917" s="193"/>
      <c r="R917" s="193"/>
      <c r="S917" s="193"/>
      <c r="T917" s="193"/>
      <c r="U917" s="193"/>
      <c r="V917" s="193"/>
      <c r="W917" s="193"/>
      <c r="X917" s="193"/>
      <c r="Y917" s="193"/>
      <c r="Z917" s="193"/>
      <c r="AA917" s="193"/>
      <c r="AB917" s="193"/>
      <c r="AC917" s="193"/>
      <c r="AD917" s="193"/>
      <c r="AE917" s="193"/>
    </row>
    <row r="918" ht="14.25" customHeight="1">
      <c r="A918" s="191" t="s">
        <v>3783</v>
      </c>
      <c r="B918" s="192" t="s">
        <v>3784</v>
      </c>
      <c r="C918" s="191" t="s">
        <v>3785</v>
      </c>
      <c r="D918" s="193"/>
      <c r="E918" s="193"/>
      <c r="F918" s="194" t="s">
        <v>3786</v>
      </c>
      <c r="G918" s="193"/>
      <c r="H918" s="193"/>
      <c r="I918" s="193"/>
      <c r="J918" s="193"/>
      <c r="K918" s="193"/>
      <c r="L918" s="193"/>
      <c r="M918" s="193"/>
      <c r="N918" s="193"/>
      <c r="O918" s="193"/>
      <c r="P918" s="193"/>
      <c r="Q918" s="193"/>
      <c r="R918" s="193"/>
      <c r="S918" s="193"/>
      <c r="T918" s="193"/>
      <c r="U918" s="193"/>
      <c r="V918" s="193"/>
      <c r="W918" s="193"/>
      <c r="X918" s="193"/>
      <c r="Y918" s="193"/>
      <c r="Z918" s="193"/>
      <c r="AA918" s="193"/>
      <c r="AB918" s="193"/>
      <c r="AC918" s="193"/>
      <c r="AD918" s="193"/>
      <c r="AE918" s="193"/>
    </row>
    <row r="919" ht="14.25" customHeight="1">
      <c r="A919" s="191" t="s">
        <v>3787</v>
      </c>
      <c r="B919" s="192" t="s">
        <v>3788</v>
      </c>
      <c r="C919" s="191" t="s">
        <v>3789</v>
      </c>
      <c r="D919" s="193"/>
      <c r="E919" s="193"/>
      <c r="F919" s="194" t="s">
        <v>3790</v>
      </c>
      <c r="G919" s="193"/>
      <c r="H919" s="193"/>
      <c r="I919" s="193"/>
      <c r="J919" s="193"/>
      <c r="K919" s="193"/>
      <c r="L919" s="193"/>
      <c r="M919" s="193"/>
      <c r="N919" s="193"/>
      <c r="O919" s="193"/>
      <c r="P919" s="193"/>
      <c r="Q919" s="193"/>
      <c r="R919" s="193"/>
      <c r="S919" s="193"/>
      <c r="T919" s="193"/>
      <c r="U919" s="193"/>
      <c r="V919" s="193"/>
      <c r="W919" s="193"/>
      <c r="X919" s="193"/>
      <c r="Y919" s="193"/>
      <c r="Z919" s="193"/>
      <c r="AA919" s="193"/>
      <c r="AB919" s="193"/>
      <c r="AC919" s="193"/>
      <c r="AD919" s="193"/>
      <c r="AE919" s="193"/>
    </row>
    <row r="920" ht="14.25" customHeight="1">
      <c r="A920" s="191" t="s">
        <v>3791</v>
      </c>
      <c r="B920" s="192" t="s">
        <v>3792</v>
      </c>
      <c r="C920" s="191" t="s">
        <v>3793</v>
      </c>
      <c r="D920" s="193"/>
      <c r="E920" s="193"/>
      <c r="F920" s="194" t="s">
        <v>3794</v>
      </c>
      <c r="G920" s="193"/>
      <c r="H920" s="193"/>
      <c r="I920" s="193"/>
      <c r="J920" s="193"/>
      <c r="K920" s="193"/>
      <c r="L920" s="193"/>
      <c r="M920" s="193"/>
      <c r="N920" s="193"/>
      <c r="O920" s="193"/>
      <c r="P920" s="193"/>
      <c r="Q920" s="193"/>
      <c r="R920" s="193"/>
      <c r="S920" s="193"/>
      <c r="T920" s="193"/>
      <c r="U920" s="193"/>
      <c r="V920" s="193"/>
      <c r="W920" s="193"/>
      <c r="X920" s="193"/>
      <c r="Y920" s="193"/>
      <c r="Z920" s="193"/>
      <c r="AA920" s="193"/>
      <c r="AB920" s="193"/>
      <c r="AC920" s="193"/>
      <c r="AD920" s="193"/>
      <c r="AE920" s="193"/>
    </row>
    <row r="921" ht="14.25" customHeight="1">
      <c r="A921" s="191" t="s">
        <v>3795</v>
      </c>
      <c r="B921" s="192" t="s">
        <v>3796</v>
      </c>
      <c r="C921" s="191" t="s">
        <v>172</v>
      </c>
      <c r="D921" s="193"/>
      <c r="E921" s="193"/>
      <c r="F921" s="194" t="s">
        <v>3797</v>
      </c>
      <c r="G921" s="193"/>
      <c r="H921" s="193"/>
      <c r="I921" s="193"/>
      <c r="J921" s="193"/>
      <c r="K921" s="193"/>
      <c r="L921" s="193"/>
      <c r="M921" s="193"/>
      <c r="N921" s="193"/>
      <c r="O921" s="193"/>
      <c r="P921" s="193"/>
      <c r="Q921" s="193"/>
      <c r="R921" s="193"/>
      <c r="S921" s="193"/>
      <c r="T921" s="193"/>
      <c r="U921" s="193"/>
      <c r="V921" s="193"/>
      <c r="W921" s="193"/>
      <c r="X921" s="193"/>
      <c r="Y921" s="193"/>
      <c r="Z921" s="193"/>
      <c r="AA921" s="193"/>
      <c r="AB921" s="193"/>
      <c r="AC921" s="193"/>
      <c r="AD921" s="193"/>
      <c r="AE921" s="193"/>
    </row>
    <row r="922" ht="14.25" customHeight="1">
      <c r="A922" s="191" t="s">
        <v>3798</v>
      </c>
      <c r="B922" s="192" t="s">
        <v>3799</v>
      </c>
      <c r="C922" s="191" t="s">
        <v>3800</v>
      </c>
      <c r="D922" s="193"/>
      <c r="E922" s="193"/>
      <c r="F922" s="194" t="s">
        <v>3801</v>
      </c>
      <c r="G922" s="193"/>
      <c r="H922" s="193"/>
      <c r="I922" s="193"/>
      <c r="J922" s="193"/>
      <c r="K922" s="193"/>
      <c r="L922" s="193"/>
      <c r="M922" s="193"/>
      <c r="N922" s="193"/>
      <c r="O922" s="193"/>
      <c r="P922" s="193"/>
      <c r="Q922" s="193"/>
      <c r="R922" s="193"/>
      <c r="S922" s="193"/>
      <c r="T922" s="193"/>
      <c r="U922" s="193"/>
      <c r="V922" s="193"/>
      <c r="W922" s="193"/>
      <c r="X922" s="193"/>
      <c r="Y922" s="193"/>
      <c r="Z922" s="193"/>
      <c r="AA922" s="193"/>
      <c r="AB922" s="193"/>
      <c r="AC922" s="193"/>
      <c r="AD922" s="193"/>
      <c r="AE922" s="193"/>
    </row>
    <row r="923" ht="14.25" customHeight="1">
      <c r="A923" s="191" t="s">
        <v>3802</v>
      </c>
      <c r="B923" s="192" t="s">
        <v>3803</v>
      </c>
      <c r="C923" s="191" t="s">
        <v>3804</v>
      </c>
      <c r="D923" s="193"/>
      <c r="E923" s="193"/>
      <c r="F923" s="194" t="s">
        <v>3805</v>
      </c>
      <c r="G923" s="193"/>
      <c r="H923" s="193"/>
      <c r="I923" s="193"/>
      <c r="J923" s="193"/>
      <c r="K923" s="193"/>
      <c r="L923" s="193"/>
      <c r="M923" s="193"/>
      <c r="N923" s="193"/>
      <c r="O923" s="193"/>
      <c r="P923" s="193"/>
      <c r="Q923" s="193"/>
      <c r="R923" s="193"/>
      <c r="S923" s="193"/>
      <c r="T923" s="193"/>
      <c r="U923" s="193"/>
      <c r="V923" s="193"/>
      <c r="W923" s="193"/>
      <c r="X923" s="193"/>
      <c r="Y923" s="193"/>
      <c r="Z923" s="193"/>
      <c r="AA923" s="193"/>
      <c r="AB923" s="193"/>
      <c r="AC923" s="193"/>
      <c r="AD923" s="193"/>
      <c r="AE923" s="193"/>
    </row>
    <row r="924" ht="14.25" customHeight="1">
      <c r="A924" s="191" t="s">
        <v>3806</v>
      </c>
      <c r="B924" s="192" t="s">
        <v>3807</v>
      </c>
      <c r="C924" s="191" t="s">
        <v>3808</v>
      </c>
      <c r="D924" s="193"/>
      <c r="E924" s="193"/>
      <c r="F924" s="194" t="s">
        <v>3809</v>
      </c>
      <c r="G924" s="193"/>
      <c r="H924" s="193"/>
      <c r="I924" s="193"/>
      <c r="J924" s="193"/>
      <c r="K924" s="193"/>
      <c r="L924" s="193"/>
      <c r="M924" s="193"/>
      <c r="N924" s="193"/>
      <c r="O924" s="193"/>
      <c r="P924" s="193"/>
      <c r="Q924" s="193"/>
      <c r="R924" s="193"/>
      <c r="S924" s="193"/>
      <c r="T924" s="193"/>
      <c r="U924" s="193"/>
      <c r="V924" s="193"/>
      <c r="W924" s="193"/>
      <c r="X924" s="193"/>
      <c r="Y924" s="193"/>
      <c r="Z924" s="193"/>
      <c r="AA924" s="193"/>
      <c r="AB924" s="193"/>
      <c r="AC924" s="193"/>
      <c r="AD924" s="193"/>
      <c r="AE924" s="193"/>
    </row>
    <row r="925" ht="14.25" customHeight="1">
      <c r="A925" s="191" t="s">
        <v>3810</v>
      </c>
      <c r="B925" s="192" t="s">
        <v>3811</v>
      </c>
      <c r="C925" s="191" t="s">
        <v>3812</v>
      </c>
      <c r="D925" s="193"/>
      <c r="E925" s="193"/>
      <c r="F925" s="194" t="s">
        <v>3813</v>
      </c>
      <c r="G925" s="193"/>
      <c r="H925" s="193"/>
      <c r="I925" s="193"/>
      <c r="J925" s="193"/>
      <c r="K925" s="193"/>
      <c r="L925" s="193"/>
      <c r="M925" s="193"/>
      <c r="N925" s="193"/>
      <c r="O925" s="193"/>
      <c r="P925" s="193"/>
      <c r="Q925" s="193"/>
      <c r="R925" s="193"/>
      <c r="S925" s="193"/>
      <c r="T925" s="193"/>
      <c r="U925" s="193"/>
      <c r="V925" s="193"/>
      <c r="W925" s="193"/>
      <c r="X925" s="193"/>
      <c r="Y925" s="193"/>
      <c r="Z925" s="193"/>
      <c r="AA925" s="193"/>
      <c r="AB925" s="193"/>
      <c r="AC925" s="193"/>
      <c r="AD925" s="193"/>
      <c r="AE925" s="193"/>
    </row>
    <row r="926" ht="14.25" customHeight="1">
      <c r="A926" s="191" t="s">
        <v>3814</v>
      </c>
      <c r="B926" s="192" t="s">
        <v>3815</v>
      </c>
      <c r="C926" s="191" t="s">
        <v>3816</v>
      </c>
      <c r="D926" s="193"/>
      <c r="E926" s="193"/>
      <c r="F926" s="194" t="s">
        <v>3817</v>
      </c>
      <c r="G926" s="193"/>
      <c r="H926" s="193"/>
      <c r="I926" s="193"/>
      <c r="J926" s="193"/>
      <c r="K926" s="193"/>
      <c r="L926" s="193"/>
      <c r="M926" s="193"/>
      <c r="N926" s="193"/>
      <c r="O926" s="193"/>
      <c r="P926" s="193"/>
      <c r="Q926" s="193"/>
      <c r="R926" s="193"/>
      <c r="S926" s="193"/>
      <c r="T926" s="193"/>
      <c r="U926" s="193"/>
      <c r="V926" s="193"/>
      <c r="W926" s="193"/>
      <c r="X926" s="193"/>
      <c r="Y926" s="193"/>
      <c r="Z926" s="193"/>
      <c r="AA926" s="193"/>
      <c r="AB926" s="193"/>
      <c r="AC926" s="193"/>
      <c r="AD926" s="193"/>
      <c r="AE926" s="193"/>
    </row>
    <row r="927" ht="14.25" customHeight="1">
      <c r="A927" s="191" t="s">
        <v>3818</v>
      </c>
      <c r="B927" s="192" t="s">
        <v>3819</v>
      </c>
      <c r="C927" s="191" t="s">
        <v>3820</v>
      </c>
      <c r="D927" s="193"/>
      <c r="E927" s="193"/>
      <c r="F927" s="194" t="s">
        <v>3821</v>
      </c>
      <c r="G927" s="193"/>
      <c r="H927" s="193"/>
      <c r="I927" s="193"/>
      <c r="J927" s="193"/>
      <c r="K927" s="193"/>
      <c r="L927" s="193"/>
      <c r="M927" s="193"/>
      <c r="N927" s="193"/>
      <c r="O927" s="193"/>
      <c r="P927" s="193"/>
      <c r="Q927" s="193"/>
      <c r="R927" s="193"/>
      <c r="S927" s="193"/>
      <c r="T927" s="193"/>
      <c r="U927" s="193"/>
      <c r="V927" s="193"/>
      <c r="W927" s="193"/>
      <c r="X927" s="193"/>
      <c r="Y927" s="193"/>
      <c r="Z927" s="193"/>
      <c r="AA927" s="193"/>
      <c r="AB927" s="193"/>
      <c r="AC927" s="193"/>
      <c r="AD927" s="193"/>
      <c r="AE927" s="193"/>
    </row>
    <row r="928" ht="14.25" customHeight="1">
      <c r="A928" s="191" t="s">
        <v>3822</v>
      </c>
      <c r="B928" s="192" t="s">
        <v>3823</v>
      </c>
      <c r="C928" s="191" t="s">
        <v>3824</v>
      </c>
      <c r="D928" s="193"/>
      <c r="E928" s="193"/>
      <c r="F928" s="194" t="s">
        <v>3825</v>
      </c>
      <c r="G928" s="193"/>
      <c r="H928" s="193"/>
      <c r="I928" s="193"/>
      <c r="J928" s="193"/>
      <c r="K928" s="193"/>
      <c r="L928" s="193"/>
      <c r="M928" s="193"/>
      <c r="N928" s="193"/>
      <c r="O928" s="193"/>
      <c r="P928" s="193"/>
      <c r="Q928" s="193"/>
      <c r="R928" s="193"/>
      <c r="S928" s="193"/>
      <c r="T928" s="193"/>
      <c r="U928" s="193"/>
      <c r="V928" s="193"/>
      <c r="W928" s="193"/>
      <c r="X928" s="193"/>
      <c r="Y928" s="193"/>
      <c r="Z928" s="193"/>
      <c r="AA928" s="193"/>
      <c r="AB928" s="193"/>
      <c r="AC928" s="193"/>
      <c r="AD928" s="193"/>
      <c r="AE928" s="193"/>
    </row>
    <row r="929" ht="14.25" customHeight="1">
      <c r="A929" s="191" t="s">
        <v>3826</v>
      </c>
      <c r="B929" s="192" t="s">
        <v>3827</v>
      </c>
      <c r="C929" s="191" t="s">
        <v>3828</v>
      </c>
      <c r="D929" s="193"/>
      <c r="E929" s="193"/>
      <c r="F929" s="194" t="s">
        <v>3829</v>
      </c>
      <c r="G929" s="193"/>
      <c r="H929" s="193"/>
      <c r="I929" s="193"/>
      <c r="J929" s="193"/>
      <c r="K929" s="193"/>
      <c r="L929" s="193"/>
      <c r="M929" s="193"/>
      <c r="N929" s="193"/>
      <c r="O929" s="193"/>
      <c r="P929" s="193"/>
      <c r="Q929" s="193"/>
      <c r="R929" s="193"/>
      <c r="S929" s="193"/>
      <c r="T929" s="193"/>
      <c r="U929" s="193"/>
      <c r="V929" s="193"/>
      <c r="W929" s="193"/>
      <c r="X929" s="193"/>
      <c r="Y929" s="193"/>
      <c r="Z929" s="193"/>
      <c r="AA929" s="193"/>
      <c r="AB929" s="193"/>
      <c r="AC929" s="193"/>
      <c r="AD929" s="193"/>
      <c r="AE929" s="193"/>
    </row>
    <row r="930" ht="14.25" customHeight="1">
      <c r="A930" s="191" t="s">
        <v>3830</v>
      </c>
      <c r="B930" s="192" t="s">
        <v>3831</v>
      </c>
      <c r="C930" s="191" t="s">
        <v>3832</v>
      </c>
      <c r="D930" s="193"/>
      <c r="E930" s="193"/>
      <c r="F930" s="194" t="s">
        <v>3833</v>
      </c>
      <c r="G930" s="193"/>
      <c r="H930" s="193"/>
      <c r="I930" s="193"/>
      <c r="J930" s="193"/>
      <c r="K930" s="193"/>
      <c r="L930" s="193"/>
      <c r="M930" s="193"/>
      <c r="N930" s="193"/>
      <c r="O930" s="193"/>
      <c r="P930" s="193"/>
      <c r="Q930" s="193"/>
      <c r="R930" s="193"/>
      <c r="S930" s="193"/>
      <c r="T930" s="193"/>
      <c r="U930" s="193"/>
      <c r="V930" s="193"/>
      <c r="W930" s="193"/>
      <c r="X930" s="193"/>
      <c r="Y930" s="193"/>
      <c r="Z930" s="193"/>
      <c r="AA930" s="193"/>
      <c r="AB930" s="193"/>
      <c r="AC930" s="193"/>
      <c r="AD930" s="193"/>
      <c r="AE930" s="193"/>
    </row>
    <row r="931" ht="14.25" customHeight="1">
      <c r="A931" s="191" t="s">
        <v>3834</v>
      </c>
      <c r="B931" s="192" t="s">
        <v>3835</v>
      </c>
      <c r="C931" s="191" t="s">
        <v>3836</v>
      </c>
      <c r="D931" s="193"/>
      <c r="E931" s="193"/>
      <c r="F931" s="194" t="s">
        <v>3837</v>
      </c>
      <c r="G931" s="193"/>
      <c r="H931" s="193"/>
      <c r="I931" s="193"/>
      <c r="J931" s="193"/>
      <c r="K931" s="193"/>
      <c r="L931" s="193"/>
      <c r="M931" s="193"/>
      <c r="N931" s="193"/>
      <c r="O931" s="193"/>
      <c r="P931" s="193"/>
      <c r="Q931" s="193"/>
      <c r="R931" s="193"/>
      <c r="S931" s="193"/>
      <c r="T931" s="193"/>
      <c r="U931" s="193"/>
      <c r="V931" s="193"/>
      <c r="W931" s="193"/>
      <c r="X931" s="193"/>
      <c r="Y931" s="193"/>
      <c r="Z931" s="193"/>
      <c r="AA931" s="193"/>
      <c r="AB931" s="193"/>
      <c r="AC931" s="193"/>
      <c r="AD931" s="193"/>
      <c r="AE931" s="193"/>
    </row>
    <row r="932" ht="14.25" customHeight="1">
      <c r="A932" s="191" t="s">
        <v>3838</v>
      </c>
      <c r="B932" s="192" t="s">
        <v>3839</v>
      </c>
      <c r="C932" s="191" t="s">
        <v>3840</v>
      </c>
      <c r="D932" s="193"/>
      <c r="E932" s="193"/>
      <c r="F932" s="194" t="s">
        <v>3833</v>
      </c>
      <c r="G932" s="193"/>
      <c r="H932" s="193"/>
      <c r="I932" s="193"/>
      <c r="J932" s="193"/>
      <c r="K932" s="193"/>
      <c r="L932" s="193"/>
      <c r="M932" s="193"/>
      <c r="N932" s="193"/>
      <c r="O932" s="193"/>
      <c r="P932" s="193"/>
      <c r="Q932" s="193"/>
      <c r="R932" s="193"/>
      <c r="S932" s="193"/>
      <c r="T932" s="193"/>
      <c r="U932" s="193"/>
      <c r="V932" s="193"/>
      <c r="W932" s="193"/>
      <c r="X932" s="193"/>
      <c r="Y932" s="193"/>
      <c r="Z932" s="193"/>
      <c r="AA932" s="193"/>
      <c r="AB932" s="193"/>
      <c r="AC932" s="193"/>
      <c r="AD932" s="193"/>
      <c r="AE932" s="193"/>
    </row>
    <row r="933" ht="14.25" customHeight="1">
      <c r="A933" s="191" t="s">
        <v>3841</v>
      </c>
      <c r="B933" s="192" t="s">
        <v>3842</v>
      </c>
      <c r="C933" s="191" t="s">
        <v>3843</v>
      </c>
      <c r="D933" s="193"/>
      <c r="E933" s="193"/>
      <c r="F933" s="194" t="s">
        <v>3844</v>
      </c>
      <c r="G933" s="193"/>
      <c r="H933" s="193"/>
      <c r="I933" s="193"/>
      <c r="J933" s="193"/>
      <c r="K933" s="193"/>
      <c r="L933" s="193"/>
      <c r="M933" s="193"/>
      <c r="N933" s="193"/>
      <c r="O933" s="193"/>
      <c r="P933" s="193"/>
      <c r="Q933" s="193"/>
      <c r="R933" s="193"/>
      <c r="S933" s="193"/>
      <c r="T933" s="193"/>
      <c r="U933" s="193"/>
      <c r="V933" s="193"/>
      <c r="W933" s="193"/>
      <c r="X933" s="193"/>
      <c r="Y933" s="193"/>
      <c r="Z933" s="193"/>
      <c r="AA933" s="193"/>
      <c r="AB933" s="193"/>
      <c r="AC933" s="193"/>
      <c r="AD933" s="193"/>
      <c r="AE933" s="193"/>
    </row>
    <row r="934" ht="14.25" customHeight="1">
      <c r="A934" s="191" t="s">
        <v>3845</v>
      </c>
      <c r="B934" s="192" t="s">
        <v>3846</v>
      </c>
      <c r="C934" s="191" t="s">
        <v>3847</v>
      </c>
      <c r="D934" s="193"/>
      <c r="E934" s="193"/>
      <c r="F934" s="195"/>
      <c r="G934" s="193"/>
      <c r="H934" s="193"/>
      <c r="I934" s="193"/>
      <c r="J934" s="193"/>
      <c r="K934" s="193"/>
      <c r="L934" s="193"/>
      <c r="M934" s="193"/>
      <c r="N934" s="193"/>
      <c r="O934" s="193"/>
      <c r="P934" s="193"/>
      <c r="Q934" s="193"/>
      <c r="R934" s="193"/>
      <c r="S934" s="193"/>
      <c r="T934" s="193"/>
      <c r="U934" s="193"/>
      <c r="V934" s="193"/>
      <c r="W934" s="193"/>
      <c r="X934" s="193"/>
      <c r="Y934" s="193"/>
      <c r="Z934" s="193"/>
      <c r="AA934" s="193"/>
      <c r="AB934" s="193"/>
      <c r="AC934" s="193"/>
      <c r="AD934" s="193"/>
      <c r="AE934" s="193"/>
    </row>
    <row r="935" ht="14.25" customHeight="1">
      <c r="A935" s="191" t="s">
        <v>3848</v>
      </c>
      <c r="B935" s="192" t="s">
        <v>3849</v>
      </c>
      <c r="C935" s="191" t="s">
        <v>3850</v>
      </c>
      <c r="D935" s="193"/>
      <c r="E935" s="193"/>
      <c r="F935" s="195"/>
      <c r="G935" s="193"/>
      <c r="H935" s="193"/>
      <c r="I935" s="193"/>
      <c r="J935" s="193"/>
      <c r="K935" s="193"/>
      <c r="L935" s="193"/>
      <c r="M935" s="193"/>
      <c r="N935" s="193"/>
      <c r="O935" s="193"/>
      <c r="P935" s="193"/>
      <c r="Q935" s="193"/>
      <c r="R935" s="193"/>
      <c r="S935" s="193"/>
      <c r="T935" s="193"/>
      <c r="U935" s="193"/>
      <c r="V935" s="193"/>
      <c r="W935" s="193"/>
      <c r="X935" s="193"/>
      <c r="Y935" s="193"/>
      <c r="Z935" s="193"/>
      <c r="AA935" s="193"/>
      <c r="AB935" s="193"/>
      <c r="AC935" s="193"/>
      <c r="AD935" s="193"/>
      <c r="AE935" s="193"/>
    </row>
    <row r="936" ht="14.25" customHeight="1">
      <c r="A936" s="191" t="s">
        <v>3851</v>
      </c>
      <c r="B936" s="192" t="s">
        <v>3852</v>
      </c>
      <c r="C936" s="191" t="s">
        <v>3853</v>
      </c>
      <c r="D936" s="193"/>
      <c r="E936" s="193"/>
      <c r="F936" s="195"/>
      <c r="G936" s="193"/>
      <c r="H936" s="193"/>
      <c r="I936" s="193"/>
      <c r="J936" s="193"/>
      <c r="K936" s="193"/>
      <c r="L936" s="193"/>
      <c r="M936" s="193"/>
      <c r="N936" s="193"/>
      <c r="O936" s="193"/>
      <c r="P936" s="193"/>
      <c r="Q936" s="193"/>
      <c r="R936" s="193"/>
      <c r="S936" s="193"/>
      <c r="T936" s="193"/>
      <c r="U936" s="193"/>
      <c r="V936" s="193"/>
      <c r="W936" s="193"/>
      <c r="X936" s="193"/>
      <c r="Y936" s="193"/>
      <c r="Z936" s="193"/>
      <c r="AA936" s="193"/>
      <c r="AB936" s="193"/>
      <c r="AC936" s="193"/>
      <c r="AD936" s="193"/>
      <c r="AE936" s="193"/>
    </row>
    <row r="937" ht="14.25" customHeight="1">
      <c r="A937" s="191" t="s">
        <v>3854</v>
      </c>
      <c r="B937" s="192" t="s">
        <v>3855</v>
      </c>
      <c r="C937" s="191" t="s">
        <v>3856</v>
      </c>
      <c r="D937" s="193"/>
      <c r="E937" s="193"/>
      <c r="F937" s="195"/>
      <c r="G937" s="193"/>
      <c r="H937" s="193"/>
      <c r="I937" s="193"/>
      <c r="J937" s="193"/>
      <c r="K937" s="193"/>
      <c r="L937" s="193"/>
      <c r="M937" s="193"/>
      <c r="N937" s="193"/>
      <c r="O937" s="193"/>
      <c r="P937" s="193"/>
      <c r="Q937" s="193"/>
      <c r="R937" s="193"/>
      <c r="S937" s="193"/>
      <c r="T937" s="193"/>
      <c r="U937" s="193"/>
      <c r="V937" s="193"/>
      <c r="W937" s="193"/>
      <c r="X937" s="193"/>
      <c r="Y937" s="193"/>
      <c r="Z937" s="193"/>
      <c r="AA937" s="193"/>
      <c r="AB937" s="193"/>
      <c r="AC937" s="193"/>
      <c r="AD937" s="193"/>
      <c r="AE937" s="193"/>
    </row>
    <row r="938" ht="14.25" customHeight="1">
      <c r="A938" s="191" t="s">
        <v>3857</v>
      </c>
      <c r="B938" s="192" t="s">
        <v>3858</v>
      </c>
      <c r="C938" s="191" t="s">
        <v>3859</v>
      </c>
      <c r="D938" s="193"/>
      <c r="E938" s="193"/>
      <c r="F938" s="195"/>
      <c r="G938" s="193"/>
      <c r="H938" s="193"/>
      <c r="I938" s="193"/>
      <c r="J938" s="193"/>
      <c r="K938" s="193"/>
      <c r="L938" s="193"/>
      <c r="M938" s="193"/>
      <c r="N938" s="193"/>
      <c r="O938" s="193"/>
      <c r="P938" s="193"/>
      <c r="Q938" s="193"/>
      <c r="R938" s="193"/>
      <c r="S938" s="193"/>
      <c r="T938" s="193"/>
      <c r="U938" s="193"/>
      <c r="V938" s="193"/>
      <c r="W938" s="193"/>
      <c r="X938" s="193"/>
      <c r="Y938" s="193"/>
      <c r="Z938" s="193"/>
      <c r="AA938" s="193"/>
      <c r="AB938" s="193"/>
      <c r="AC938" s="193"/>
      <c r="AD938" s="193"/>
      <c r="AE938" s="193"/>
    </row>
    <row r="939" ht="14.25" customHeight="1">
      <c r="A939" s="191" t="s">
        <v>3860</v>
      </c>
      <c r="B939" s="192" t="s">
        <v>3861</v>
      </c>
      <c r="C939" s="191" t="s">
        <v>3862</v>
      </c>
      <c r="D939" s="193"/>
      <c r="E939" s="193"/>
      <c r="F939" s="195"/>
      <c r="G939" s="193"/>
      <c r="H939" s="193"/>
      <c r="I939" s="193"/>
      <c r="J939" s="193"/>
      <c r="K939" s="193"/>
      <c r="L939" s="193"/>
      <c r="M939" s="193"/>
      <c r="N939" s="193"/>
      <c r="O939" s="193"/>
      <c r="P939" s="193"/>
      <c r="Q939" s="193"/>
      <c r="R939" s="193"/>
      <c r="S939" s="193"/>
      <c r="T939" s="193"/>
      <c r="U939" s="193"/>
      <c r="V939" s="193"/>
      <c r="W939" s="193"/>
      <c r="X939" s="193"/>
      <c r="Y939" s="193"/>
      <c r="Z939" s="193"/>
      <c r="AA939" s="193"/>
      <c r="AB939" s="193"/>
      <c r="AC939" s="193"/>
      <c r="AD939" s="193"/>
      <c r="AE939" s="193"/>
    </row>
    <row r="940" ht="14.25" customHeight="1">
      <c r="A940" s="191" t="s">
        <v>3863</v>
      </c>
      <c r="B940" s="192" t="s">
        <v>3864</v>
      </c>
      <c r="C940" s="191" t="s">
        <v>3865</v>
      </c>
      <c r="D940" s="193"/>
      <c r="E940" s="193"/>
      <c r="F940" s="194" t="s">
        <v>2577</v>
      </c>
      <c r="G940" s="193"/>
      <c r="H940" s="193"/>
      <c r="I940" s="193"/>
      <c r="J940" s="193"/>
      <c r="K940" s="193"/>
      <c r="L940" s="193"/>
      <c r="M940" s="193"/>
      <c r="N940" s="193"/>
      <c r="O940" s="193"/>
      <c r="P940" s="193"/>
      <c r="Q940" s="193"/>
      <c r="R940" s="193"/>
      <c r="S940" s="193"/>
      <c r="T940" s="193"/>
      <c r="U940" s="193"/>
      <c r="V940" s="193"/>
      <c r="W940" s="193"/>
      <c r="X940" s="193"/>
      <c r="Y940" s="193"/>
      <c r="Z940" s="193"/>
      <c r="AA940" s="193"/>
      <c r="AB940" s="193"/>
      <c r="AC940" s="193"/>
      <c r="AD940" s="193"/>
      <c r="AE940" s="193"/>
    </row>
    <row r="941" ht="14.25" customHeight="1">
      <c r="A941" s="191" t="s">
        <v>3866</v>
      </c>
      <c r="B941" s="192" t="s">
        <v>3867</v>
      </c>
      <c r="C941" s="191" t="s">
        <v>3868</v>
      </c>
      <c r="D941" s="193"/>
      <c r="E941" s="193"/>
      <c r="F941" s="194" t="s">
        <v>3869</v>
      </c>
      <c r="G941" s="193"/>
      <c r="H941" s="193"/>
      <c r="I941" s="193"/>
      <c r="J941" s="193"/>
      <c r="K941" s="193"/>
      <c r="L941" s="193"/>
      <c r="M941" s="193"/>
      <c r="N941" s="193"/>
      <c r="O941" s="193"/>
      <c r="P941" s="193"/>
      <c r="Q941" s="193"/>
      <c r="R941" s="193"/>
      <c r="S941" s="193"/>
      <c r="T941" s="193"/>
      <c r="U941" s="193"/>
      <c r="V941" s="193"/>
      <c r="W941" s="193"/>
      <c r="X941" s="193"/>
      <c r="Y941" s="193"/>
      <c r="Z941" s="193"/>
      <c r="AA941" s="193"/>
      <c r="AB941" s="193"/>
      <c r="AC941" s="193"/>
      <c r="AD941" s="193"/>
      <c r="AE941" s="193"/>
    </row>
    <row r="942" ht="14.25" customHeight="1">
      <c r="A942" s="191" t="s">
        <v>3870</v>
      </c>
      <c r="B942" s="192" t="s">
        <v>3871</v>
      </c>
      <c r="C942" s="191" t="s">
        <v>3872</v>
      </c>
      <c r="D942" s="193"/>
      <c r="E942" s="193"/>
      <c r="F942" s="194" t="s">
        <v>3873</v>
      </c>
      <c r="G942" s="193"/>
      <c r="H942" s="193"/>
      <c r="I942" s="193"/>
      <c r="J942" s="193"/>
      <c r="K942" s="193"/>
      <c r="L942" s="193"/>
      <c r="M942" s="193"/>
      <c r="N942" s="193"/>
      <c r="O942" s="193"/>
      <c r="P942" s="193"/>
      <c r="Q942" s="193"/>
      <c r="R942" s="193"/>
      <c r="S942" s="193"/>
      <c r="T942" s="193"/>
      <c r="U942" s="193"/>
      <c r="V942" s="193"/>
      <c r="W942" s="193"/>
      <c r="X942" s="193"/>
      <c r="Y942" s="193"/>
      <c r="Z942" s="193"/>
      <c r="AA942" s="193"/>
      <c r="AB942" s="193"/>
      <c r="AC942" s="193"/>
      <c r="AD942" s="193"/>
      <c r="AE942" s="193"/>
    </row>
    <row r="943" ht="14.25" customHeight="1">
      <c r="A943" s="191" t="s">
        <v>3874</v>
      </c>
      <c r="B943" s="192" t="s">
        <v>3875</v>
      </c>
      <c r="C943" s="191" t="s">
        <v>3876</v>
      </c>
      <c r="D943" s="193"/>
      <c r="E943" s="193"/>
      <c r="F943" s="194" t="s">
        <v>3877</v>
      </c>
      <c r="G943" s="193"/>
      <c r="H943" s="193"/>
      <c r="I943" s="193"/>
      <c r="J943" s="193"/>
      <c r="K943" s="193"/>
      <c r="L943" s="193"/>
      <c r="M943" s="193"/>
      <c r="N943" s="193"/>
      <c r="O943" s="193"/>
      <c r="P943" s="193"/>
      <c r="Q943" s="193"/>
      <c r="R943" s="193"/>
      <c r="S943" s="193"/>
      <c r="T943" s="193"/>
      <c r="U943" s="193"/>
      <c r="V943" s="193"/>
      <c r="W943" s="193"/>
      <c r="X943" s="193"/>
      <c r="Y943" s="193"/>
      <c r="Z943" s="193"/>
      <c r="AA943" s="193"/>
      <c r="AB943" s="193"/>
      <c r="AC943" s="193"/>
      <c r="AD943" s="193"/>
      <c r="AE943" s="193"/>
    </row>
    <row r="944" ht="14.25" customHeight="1">
      <c r="A944" s="191" t="s">
        <v>3878</v>
      </c>
      <c r="B944" s="192" t="s">
        <v>3879</v>
      </c>
      <c r="C944" s="191" t="s">
        <v>3880</v>
      </c>
      <c r="D944" s="193"/>
      <c r="E944" s="193"/>
      <c r="F944" s="194" t="s">
        <v>3881</v>
      </c>
      <c r="G944" s="193"/>
      <c r="H944" s="193"/>
      <c r="I944" s="193"/>
      <c r="J944" s="193"/>
      <c r="K944" s="193"/>
      <c r="L944" s="193"/>
      <c r="M944" s="193"/>
      <c r="N944" s="193"/>
      <c r="O944" s="193"/>
      <c r="P944" s="193"/>
      <c r="Q944" s="193"/>
      <c r="R944" s="193"/>
      <c r="S944" s="193"/>
      <c r="T944" s="193"/>
      <c r="U944" s="193"/>
      <c r="V944" s="193"/>
      <c r="W944" s="193"/>
      <c r="X944" s="193"/>
      <c r="Y944" s="193"/>
      <c r="Z944" s="193"/>
      <c r="AA944" s="193"/>
      <c r="AB944" s="193"/>
      <c r="AC944" s="193"/>
      <c r="AD944" s="193"/>
      <c r="AE944" s="193"/>
    </row>
    <row r="945" ht="14.25" customHeight="1">
      <c r="A945" s="191" t="s">
        <v>3882</v>
      </c>
      <c r="B945" s="192" t="s">
        <v>3883</v>
      </c>
      <c r="C945" s="191" t="s">
        <v>3884</v>
      </c>
      <c r="D945" s="193"/>
      <c r="E945" s="193"/>
      <c r="F945" s="194" t="s">
        <v>3885</v>
      </c>
      <c r="G945" s="193"/>
      <c r="H945" s="193"/>
      <c r="I945" s="193"/>
      <c r="J945" s="193"/>
      <c r="K945" s="193"/>
      <c r="L945" s="193"/>
      <c r="M945" s="193"/>
      <c r="N945" s="193"/>
      <c r="O945" s="193"/>
      <c r="P945" s="193"/>
      <c r="Q945" s="193"/>
      <c r="R945" s="193"/>
      <c r="S945" s="193"/>
      <c r="T945" s="193"/>
      <c r="U945" s="193"/>
      <c r="V945" s="193"/>
      <c r="W945" s="193"/>
      <c r="X945" s="193"/>
      <c r="Y945" s="193"/>
      <c r="Z945" s="193"/>
      <c r="AA945" s="193"/>
      <c r="AB945" s="193"/>
      <c r="AC945" s="193"/>
      <c r="AD945" s="193"/>
      <c r="AE945" s="193"/>
    </row>
    <row r="946" ht="14.25" customHeight="1">
      <c r="A946" s="191" t="s">
        <v>3886</v>
      </c>
      <c r="B946" s="192" t="s">
        <v>3887</v>
      </c>
      <c r="C946" s="191" t="s">
        <v>3888</v>
      </c>
      <c r="D946" s="193"/>
      <c r="E946" s="193"/>
      <c r="F946" s="194" t="s">
        <v>3889</v>
      </c>
      <c r="G946" s="193"/>
      <c r="H946" s="193"/>
      <c r="I946" s="193"/>
      <c r="J946" s="193"/>
      <c r="K946" s="193"/>
      <c r="L946" s="193"/>
      <c r="M946" s="193"/>
      <c r="N946" s="193"/>
      <c r="O946" s="193"/>
      <c r="P946" s="193"/>
      <c r="Q946" s="193"/>
      <c r="R946" s="193"/>
      <c r="S946" s="193"/>
      <c r="T946" s="193"/>
      <c r="U946" s="193"/>
      <c r="V946" s="193"/>
      <c r="W946" s="193"/>
      <c r="X946" s="193"/>
      <c r="Y946" s="193"/>
      <c r="Z946" s="193"/>
      <c r="AA946" s="193"/>
      <c r="AB946" s="193"/>
      <c r="AC946" s="193"/>
      <c r="AD946" s="193"/>
      <c r="AE946" s="193"/>
    </row>
    <row r="947" ht="14.25" customHeight="1">
      <c r="A947" s="191" t="s">
        <v>3890</v>
      </c>
      <c r="B947" s="192" t="s">
        <v>3891</v>
      </c>
      <c r="C947" s="191" t="s">
        <v>3892</v>
      </c>
      <c r="D947" s="193"/>
      <c r="E947" s="193"/>
      <c r="F947" s="194" t="s">
        <v>3893</v>
      </c>
      <c r="G947" s="193"/>
      <c r="H947" s="193"/>
      <c r="I947" s="193"/>
      <c r="J947" s="193"/>
      <c r="K947" s="193"/>
      <c r="L947" s="193"/>
      <c r="M947" s="193"/>
      <c r="N947" s="193"/>
      <c r="O947" s="193"/>
      <c r="P947" s="193"/>
      <c r="Q947" s="193"/>
      <c r="R947" s="193"/>
      <c r="S947" s="193"/>
      <c r="T947" s="193"/>
      <c r="U947" s="193"/>
      <c r="V947" s="193"/>
      <c r="W947" s="193"/>
      <c r="X947" s="193"/>
      <c r="Y947" s="193"/>
      <c r="Z947" s="193"/>
      <c r="AA947" s="193"/>
      <c r="AB947" s="193"/>
      <c r="AC947" s="193"/>
      <c r="AD947" s="193"/>
      <c r="AE947" s="193"/>
    </row>
    <row r="948" ht="14.25" customHeight="1">
      <c r="A948" s="191" t="s">
        <v>3894</v>
      </c>
      <c r="B948" s="192" t="s">
        <v>3895</v>
      </c>
      <c r="C948" s="191" t="s">
        <v>3896</v>
      </c>
      <c r="D948" s="193"/>
      <c r="E948" s="193"/>
      <c r="F948" s="194" t="s">
        <v>3897</v>
      </c>
      <c r="G948" s="193"/>
      <c r="H948" s="193"/>
      <c r="I948" s="193"/>
      <c r="J948" s="193"/>
      <c r="K948" s="193"/>
      <c r="L948" s="193"/>
      <c r="M948" s="193"/>
      <c r="N948" s="193"/>
      <c r="O948" s="193"/>
      <c r="P948" s="193"/>
      <c r="Q948" s="193"/>
      <c r="R948" s="193"/>
      <c r="S948" s="193"/>
      <c r="T948" s="193"/>
      <c r="U948" s="193"/>
      <c r="V948" s="193"/>
      <c r="W948" s="193"/>
      <c r="X948" s="193"/>
      <c r="Y948" s="193"/>
      <c r="Z948" s="193"/>
      <c r="AA948" s="193"/>
      <c r="AB948" s="193"/>
      <c r="AC948" s="193"/>
      <c r="AD948" s="193"/>
      <c r="AE948" s="193"/>
    </row>
    <row r="949" ht="14.25" customHeight="1">
      <c r="A949" s="191" t="s">
        <v>3898</v>
      </c>
      <c r="B949" s="192" t="s">
        <v>3899</v>
      </c>
      <c r="C949" s="191" t="s">
        <v>3900</v>
      </c>
      <c r="D949" s="193"/>
      <c r="E949" s="193"/>
      <c r="F949" s="194" t="s">
        <v>3897</v>
      </c>
      <c r="G949" s="193"/>
      <c r="H949" s="193"/>
      <c r="I949" s="193"/>
      <c r="J949" s="193"/>
      <c r="K949" s="193"/>
      <c r="L949" s="193"/>
      <c r="M949" s="193"/>
      <c r="N949" s="193"/>
      <c r="O949" s="193"/>
      <c r="P949" s="193"/>
      <c r="Q949" s="193"/>
      <c r="R949" s="193"/>
      <c r="S949" s="193"/>
      <c r="T949" s="193"/>
      <c r="U949" s="193"/>
      <c r="V949" s="193"/>
      <c r="W949" s="193"/>
      <c r="X949" s="193"/>
      <c r="Y949" s="193"/>
      <c r="Z949" s="193"/>
      <c r="AA949" s="193"/>
      <c r="AB949" s="193"/>
      <c r="AC949" s="193"/>
      <c r="AD949" s="193"/>
      <c r="AE949" s="193"/>
    </row>
    <row r="950" ht="14.25" customHeight="1">
      <c r="A950" s="191" t="s">
        <v>3901</v>
      </c>
      <c r="B950" s="192" t="s">
        <v>3902</v>
      </c>
      <c r="C950" s="191" t="s">
        <v>3903</v>
      </c>
      <c r="D950" s="193"/>
      <c r="E950" s="193"/>
      <c r="F950" s="194" t="s">
        <v>3904</v>
      </c>
      <c r="G950" s="193"/>
      <c r="H950" s="193"/>
      <c r="I950" s="193"/>
      <c r="J950" s="193"/>
      <c r="K950" s="193"/>
      <c r="L950" s="193"/>
      <c r="M950" s="193"/>
      <c r="N950" s="193"/>
      <c r="O950" s="193"/>
      <c r="P950" s="193"/>
      <c r="Q950" s="193"/>
      <c r="R950" s="193"/>
      <c r="S950" s="193"/>
      <c r="T950" s="193"/>
      <c r="U950" s="193"/>
      <c r="V950" s="193"/>
      <c r="W950" s="193"/>
      <c r="X950" s="193"/>
      <c r="Y950" s="193"/>
      <c r="Z950" s="193"/>
      <c r="AA950" s="193"/>
      <c r="AB950" s="193"/>
      <c r="AC950" s="193"/>
      <c r="AD950" s="193"/>
      <c r="AE950" s="193"/>
    </row>
    <row r="951" ht="14.25" customHeight="1">
      <c r="A951" s="191" t="s">
        <v>3905</v>
      </c>
      <c r="B951" s="192" t="s">
        <v>3906</v>
      </c>
      <c r="C951" s="191" t="s">
        <v>3907</v>
      </c>
      <c r="D951" s="193"/>
      <c r="E951" s="193"/>
      <c r="F951" s="194" t="s">
        <v>3908</v>
      </c>
      <c r="G951" s="193"/>
      <c r="H951" s="193"/>
      <c r="I951" s="193"/>
      <c r="J951" s="193"/>
      <c r="K951" s="193"/>
      <c r="L951" s="193"/>
      <c r="M951" s="193"/>
      <c r="N951" s="193"/>
      <c r="O951" s="193"/>
      <c r="P951" s="193"/>
      <c r="Q951" s="193"/>
      <c r="R951" s="193"/>
      <c r="S951" s="193"/>
      <c r="T951" s="193"/>
      <c r="U951" s="193"/>
      <c r="V951" s="193"/>
      <c r="W951" s="193"/>
      <c r="X951" s="193"/>
      <c r="Y951" s="193"/>
      <c r="Z951" s="193"/>
      <c r="AA951" s="193"/>
      <c r="AB951" s="193"/>
      <c r="AC951" s="193"/>
      <c r="AD951" s="193"/>
      <c r="AE951" s="193"/>
    </row>
    <row r="952" ht="14.25" customHeight="1">
      <c r="A952" s="191" t="s">
        <v>3909</v>
      </c>
      <c r="B952" s="192" t="s">
        <v>3910</v>
      </c>
      <c r="C952" s="191" t="s">
        <v>3911</v>
      </c>
      <c r="D952" s="193"/>
      <c r="E952" s="193"/>
      <c r="F952" s="194" t="s">
        <v>3912</v>
      </c>
      <c r="G952" s="193"/>
      <c r="H952" s="193"/>
      <c r="I952" s="193"/>
      <c r="J952" s="193"/>
      <c r="K952" s="193"/>
      <c r="L952" s="193"/>
      <c r="M952" s="193"/>
      <c r="N952" s="193"/>
      <c r="O952" s="193"/>
      <c r="P952" s="193"/>
      <c r="Q952" s="193"/>
      <c r="R952" s="193"/>
      <c r="S952" s="193"/>
      <c r="T952" s="193"/>
      <c r="U952" s="193"/>
      <c r="V952" s="193"/>
      <c r="W952" s="193"/>
      <c r="X952" s="193"/>
      <c r="Y952" s="193"/>
      <c r="Z952" s="193"/>
      <c r="AA952" s="193"/>
      <c r="AB952" s="193"/>
      <c r="AC952" s="193"/>
      <c r="AD952" s="193"/>
      <c r="AE952" s="193"/>
    </row>
    <row r="953" ht="14.25" customHeight="1">
      <c r="A953" s="191" t="s">
        <v>3913</v>
      </c>
      <c r="B953" s="192" t="s">
        <v>3914</v>
      </c>
      <c r="C953" s="191" t="s">
        <v>3915</v>
      </c>
      <c r="D953" s="193"/>
      <c r="E953" s="193"/>
      <c r="F953" s="194" t="s">
        <v>3916</v>
      </c>
      <c r="G953" s="193"/>
      <c r="H953" s="193"/>
      <c r="I953" s="193"/>
      <c r="J953" s="193"/>
      <c r="K953" s="193"/>
      <c r="L953" s="193"/>
      <c r="M953" s="193"/>
      <c r="N953" s="193"/>
      <c r="O953" s="193"/>
      <c r="P953" s="193"/>
      <c r="Q953" s="193"/>
      <c r="R953" s="193"/>
      <c r="S953" s="193"/>
      <c r="T953" s="193"/>
      <c r="U953" s="193"/>
      <c r="V953" s="193"/>
      <c r="W953" s="193"/>
      <c r="X953" s="193"/>
      <c r="Y953" s="193"/>
      <c r="Z953" s="193"/>
      <c r="AA953" s="193"/>
      <c r="AB953" s="193"/>
      <c r="AC953" s="193"/>
      <c r="AD953" s="193"/>
      <c r="AE953" s="193"/>
    </row>
    <row r="954" ht="14.25" customHeight="1">
      <c r="A954" s="191" t="s">
        <v>3917</v>
      </c>
      <c r="B954" s="192" t="s">
        <v>3918</v>
      </c>
      <c r="C954" s="191" t="s">
        <v>3919</v>
      </c>
      <c r="D954" s="193"/>
      <c r="E954" s="193"/>
      <c r="F954" s="194" t="s">
        <v>3920</v>
      </c>
      <c r="G954" s="193"/>
      <c r="H954" s="193"/>
      <c r="I954" s="193"/>
      <c r="J954" s="193"/>
      <c r="K954" s="193"/>
      <c r="L954" s="193"/>
      <c r="M954" s="193"/>
      <c r="N954" s="193"/>
      <c r="O954" s="193"/>
      <c r="P954" s="193"/>
      <c r="Q954" s="193"/>
      <c r="R954" s="193"/>
      <c r="S954" s="193"/>
      <c r="T954" s="193"/>
      <c r="U954" s="193"/>
      <c r="V954" s="193"/>
      <c r="W954" s="193"/>
      <c r="X954" s="193"/>
      <c r="Y954" s="193"/>
      <c r="Z954" s="193"/>
      <c r="AA954" s="193"/>
      <c r="AB954" s="193"/>
      <c r="AC954" s="193"/>
      <c r="AD954" s="193"/>
      <c r="AE954" s="193"/>
    </row>
    <row r="955" ht="14.25" customHeight="1">
      <c r="A955" s="191" t="s">
        <v>3921</v>
      </c>
      <c r="B955" s="192" t="s">
        <v>3922</v>
      </c>
      <c r="C955" s="191" t="s">
        <v>3923</v>
      </c>
      <c r="D955" s="193"/>
      <c r="E955" s="193"/>
      <c r="F955" s="194" t="s">
        <v>3924</v>
      </c>
      <c r="G955" s="193"/>
      <c r="H955" s="193"/>
      <c r="I955" s="193"/>
      <c r="J955" s="193"/>
      <c r="K955" s="193"/>
      <c r="L955" s="193"/>
      <c r="M955" s="193"/>
      <c r="N955" s="193"/>
      <c r="O955" s="193"/>
      <c r="P955" s="193"/>
      <c r="Q955" s="193"/>
      <c r="R955" s="193"/>
      <c r="S955" s="193"/>
      <c r="T955" s="193"/>
      <c r="U955" s="193"/>
      <c r="V955" s="193"/>
      <c r="W955" s="193"/>
      <c r="X955" s="193"/>
      <c r="Y955" s="193"/>
      <c r="Z955" s="193"/>
      <c r="AA955" s="193"/>
      <c r="AB955" s="193"/>
      <c r="AC955" s="193"/>
      <c r="AD955" s="193"/>
      <c r="AE955" s="193"/>
    </row>
    <row r="956" ht="14.25" customHeight="1">
      <c r="A956" s="191" t="s">
        <v>3925</v>
      </c>
      <c r="B956" s="192" t="s">
        <v>3926</v>
      </c>
      <c r="C956" s="191" t="s">
        <v>3927</v>
      </c>
      <c r="D956" s="193"/>
      <c r="E956" s="193"/>
      <c r="F956" s="194" t="s">
        <v>3928</v>
      </c>
      <c r="G956" s="193"/>
      <c r="H956" s="193"/>
      <c r="I956" s="193"/>
      <c r="J956" s="193"/>
      <c r="K956" s="193"/>
      <c r="L956" s="193"/>
      <c r="M956" s="193"/>
      <c r="N956" s="193"/>
      <c r="O956" s="193"/>
      <c r="P956" s="193"/>
      <c r="Q956" s="193"/>
      <c r="R956" s="193"/>
      <c r="S956" s="193"/>
      <c r="T956" s="193"/>
      <c r="U956" s="193"/>
      <c r="V956" s="193"/>
      <c r="W956" s="193"/>
      <c r="X956" s="193"/>
      <c r="Y956" s="193"/>
      <c r="Z956" s="193"/>
      <c r="AA956" s="193"/>
      <c r="AB956" s="193"/>
      <c r="AC956" s="193"/>
      <c r="AD956" s="193"/>
      <c r="AE956" s="193"/>
    </row>
    <row r="957" ht="14.25" customHeight="1">
      <c r="A957" s="191" t="s">
        <v>3929</v>
      </c>
      <c r="B957" s="192" t="s">
        <v>3930</v>
      </c>
      <c r="C957" s="191" t="s">
        <v>3931</v>
      </c>
      <c r="D957" s="193"/>
      <c r="E957" s="193"/>
      <c r="F957" s="194" t="s">
        <v>3932</v>
      </c>
      <c r="G957" s="193"/>
      <c r="H957" s="193"/>
      <c r="I957" s="193"/>
      <c r="J957" s="193"/>
      <c r="K957" s="193"/>
      <c r="L957" s="193"/>
      <c r="M957" s="193"/>
      <c r="N957" s="193"/>
      <c r="O957" s="193"/>
      <c r="P957" s="193"/>
      <c r="Q957" s="193"/>
      <c r="R957" s="193"/>
      <c r="S957" s="193"/>
      <c r="T957" s="193"/>
      <c r="U957" s="193"/>
      <c r="V957" s="193"/>
      <c r="W957" s="193"/>
      <c r="X957" s="193"/>
      <c r="Y957" s="193"/>
      <c r="Z957" s="193"/>
      <c r="AA957" s="193"/>
      <c r="AB957" s="193"/>
      <c r="AC957" s="193"/>
      <c r="AD957" s="193"/>
      <c r="AE957" s="193"/>
    </row>
    <row r="958" ht="14.25" customHeight="1">
      <c r="A958" s="191" t="s">
        <v>3933</v>
      </c>
      <c r="B958" s="192" t="s">
        <v>3934</v>
      </c>
      <c r="C958" s="191" t="s">
        <v>3935</v>
      </c>
      <c r="D958" s="193"/>
      <c r="E958" s="193"/>
      <c r="F958" s="194" t="s">
        <v>3936</v>
      </c>
      <c r="G958" s="193"/>
      <c r="H958" s="193"/>
      <c r="I958" s="193"/>
      <c r="J958" s="193"/>
      <c r="K958" s="193"/>
      <c r="L958" s="193"/>
      <c r="M958" s="193"/>
      <c r="N958" s="193"/>
      <c r="O958" s="193"/>
      <c r="P958" s="193"/>
      <c r="Q958" s="193"/>
      <c r="R958" s="193"/>
      <c r="S958" s="193"/>
      <c r="T958" s="193"/>
      <c r="U958" s="193"/>
      <c r="V958" s="193"/>
      <c r="W958" s="193"/>
      <c r="X958" s="193"/>
      <c r="Y958" s="193"/>
      <c r="Z958" s="193"/>
      <c r="AA958" s="193"/>
      <c r="AB958" s="193"/>
      <c r="AC958" s="193"/>
      <c r="AD958" s="193"/>
      <c r="AE958" s="193"/>
    </row>
    <row r="959" ht="14.25" customHeight="1">
      <c r="A959" s="191" t="s">
        <v>3937</v>
      </c>
      <c r="B959" s="192" t="s">
        <v>3938</v>
      </c>
      <c r="C959" s="191" t="s">
        <v>3939</v>
      </c>
      <c r="D959" s="193"/>
      <c r="E959" s="193"/>
      <c r="F959" s="194" t="s">
        <v>3940</v>
      </c>
      <c r="G959" s="193"/>
      <c r="H959" s="193"/>
      <c r="I959" s="193"/>
      <c r="J959" s="193"/>
      <c r="K959" s="193"/>
      <c r="L959" s="193"/>
      <c r="M959" s="193"/>
      <c r="N959" s="193"/>
      <c r="O959" s="193"/>
      <c r="P959" s="193"/>
      <c r="Q959" s="193"/>
      <c r="R959" s="193"/>
      <c r="S959" s="193"/>
      <c r="T959" s="193"/>
      <c r="U959" s="193"/>
      <c r="V959" s="193"/>
      <c r="W959" s="193"/>
      <c r="X959" s="193"/>
      <c r="Y959" s="193"/>
      <c r="Z959" s="193"/>
      <c r="AA959" s="193"/>
      <c r="AB959" s="193"/>
      <c r="AC959" s="193"/>
      <c r="AD959" s="193"/>
      <c r="AE959" s="193"/>
    </row>
    <row r="960" ht="14.25" customHeight="1">
      <c r="A960" s="191" t="s">
        <v>3941</v>
      </c>
      <c r="B960" s="192" t="s">
        <v>3942</v>
      </c>
      <c r="C960" s="191" t="s">
        <v>3943</v>
      </c>
      <c r="D960" s="193"/>
      <c r="E960" s="193"/>
      <c r="F960" s="194" t="s">
        <v>3944</v>
      </c>
      <c r="G960" s="193"/>
      <c r="H960" s="193"/>
      <c r="I960" s="193"/>
      <c r="J960" s="193"/>
      <c r="K960" s="193"/>
      <c r="L960" s="193"/>
      <c r="M960" s="193"/>
      <c r="N960" s="193"/>
      <c r="O960" s="193"/>
      <c r="P960" s="193"/>
      <c r="Q960" s="193"/>
      <c r="R960" s="193"/>
      <c r="S960" s="193"/>
      <c r="T960" s="193"/>
      <c r="U960" s="193"/>
      <c r="V960" s="193"/>
      <c r="W960" s="193"/>
      <c r="X960" s="193"/>
      <c r="Y960" s="193"/>
      <c r="Z960" s="193"/>
      <c r="AA960" s="193"/>
      <c r="AB960" s="193"/>
      <c r="AC960" s="193"/>
      <c r="AD960" s="193"/>
      <c r="AE960" s="193"/>
    </row>
    <row r="961" ht="14.25" customHeight="1">
      <c r="A961" s="191" t="s">
        <v>3945</v>
      </c>
      <c r="B961" s="192" t="s">
        <v>3946</v>
      </c>
      <c r="C961" s="191" t="s">
        <v>3947</v>
      </c>
      <c r="D961" s="193"/>
      <c r="E961" s="193"/>
      <c r="F961" s="194" t="s">
        <v>3948</v>
      </c>
      <c r="G961" s="193"/>
      <c r="H961" s="193"/>
      <c r="I961" s="193"/>
      <c r="J961" s="193"/>
      <c r="K961" s="193"/>
      <c r="L961" s="193"/>
      <c r="M961" s="193"/>
      <c r="N961" s="193"/>
      <c r="O961" s="193"/>
      <c r="P961" s="193"/>
      <c r="Q961" s="193"/>
      <c r="R961" s="193"/>
      <c r="S961" s="193"/>
      <c r="T961" s="193"/>
      <c r="U961" s="193"/>
      <c r="V961" s="193"/>
      <c r="W961" s="193"/>
      <c r="X961" s="193"/>
      <c r="Y961" s="193"/>
      <c r="Z961" s="193"/>
      <c r="AA961" s="193"/>
      <c r="AB961" s="193"/>
      <c r="AC961" s="193"/>
      <c r="AD961" s="193"/>
      <c r="AE961" s="193"/>
    </row>
    <row r="962" ht="14.25" customHeight="1">
      <c r="A962" s="191" t="s">
        <v>3949</v>
      </c>
      <c r="B962" s="192" t="s">
        <v>3950</v>
      </c>
      <c r="C962" s="191" t="s">
        <v>3951</v>
      </c>
      <c r="D962" s="193"/>
      <c r="E962" s="193"/>
      <c r="F962" s="194" t="s">
        <v>3952</v>
      </c>
      <c r="G962" s="193"/>
      <c r="H962" s="193"/>
      <c r="I962" s="193"/>
      <c r="J962" s="193"/>
      <c r="K962" s="193"/>
      <c r="L962" s="193"/>
      <c r="M962" s="193"/>
      <c r="N962" s="193"/>
      <c r="O962" s="193"/>
      <c r="P962" s="193"/>
      <c r="Q962" s="193"/>
      <c r="R962" s="193"/>
      <c r="S962" s="193"/>
      <c r="T962" s="193"/>
      <c r="U962" s="193"/>
      <c r="V962" s="193"/>
      <c r="W962" s="193"/>
      <c r="X962" s="193"/>
      <c r="Y962" s="193"/>
      <c r="Z962" s="193"/>
      <c r="AA962" s="193"/>
      <c r="AB962" s="193"/>
      <c r="AC962" s="193"/>
      <c r="AD962" s="193"/>
      <c r="AE962" s="193"/>
    </row>
    <row r="963" ht="14.25" customHeight="1">
      <c r="A963" s="191" t="s">
        <v>3953</v>
      </c>
      <c r="B963" s="192" t="s">
        <v>3954</v>
      </c>
      <c r="C963" s="191" t="s">
        <v>3955</v>
      </c>
      <c r="D963" s="193"/>
      <c r="E963" s="193"/>
      <c r="F963" s="194" t="s">
        <v>3956</v>
      </c>
      <c r="G963" s="193"/>
      <c r="H963" s="193"/>
      <c r="I963" s="193"/>
      <c r="J963" s="193"/>
      <c r="K963" s="193"/>
      <c r="L963" s="193"/>
      <c r="M963" s="193"/>
      <c r="N963" s="193"/>
      <c r="O963" s="193"/>
      <c r="P963" s="193"/>
      <c r="Q963" s="193"/>
      <c r="R963" s="193"/>
      <c r="S963" s="193"/>
      <c r="T963" s="193"/>
      <c r="U963" s="193"/>
      <c r="V963" s="193"/>
      <c r="W963" s="193"/>
      <c r="X963" s="193"/>
      <c r="Y963" s="193"/>
      <c r="Z963" s="193"/>
      <c r="AA963" s="193"/>
      <c r="AB963" s="193"/>
      <c r="AC963" s="193"/>
      <c r="AD963" s="193"/>
      <c r="AE963" s="193"/>
    </row>
    <row r="964" ht="14.25" customHeight="1">
      <c r="A964" s="191" t="s">
        <v>3957</v>
      </c>
      <c r="B964" s="192" t="s">
        <v>3958</v>
      </c>
      <c r="C964" s="191" t="s">
        <v>3959</v>
      </c>
      <c r="D964" s="193"/>
      <c r="E964" s="193"/>
      <c r="F964" s="194" t="s">
        <v>3960</v>
      </c>
      <c r="G964" s="193"/>
      <c r="H964" s="193"/>
      <c r="I964" s="193"/>
      <c r="J964" s="193"/>
      <c r="K964" s="193"/>
      <c r="L964" s="193"/>
      <c r="M964" s="193"/>
      <c r="N964" s="193"/>
      <c r="O964" s="193"/>
      <c r="P964" s="193"/>
      <c r="Q964" s="193"/>
      <c r="R964" s="193"/>
      <c r="S964" s="193"/>
      <c r="T964" s="193"/>
      <c r="U964" s="193"/>
      <c r="V964" s="193"/>
      <c r="W964" s="193"/>
      <c r="X964" s="193"/>
      <c r="Y964" s="193"/>
      <c r="Z964" s="193"/>
      <c r="AA964" s="193"/>
      <c r="AB964" s="193"/>
      <c r="AC964" s="193"/>
      <c r="AD964" s="193"/>
      <c r="AE964" s="193"/>
    </row>
    <row r="965" ht="14.25" customHeight="1">
      <c r="A965" s="191" t="s">
        <v>3961</v>
      </c>
      <c r="B965" s="192" t="s">
        <v>3962</v>
      </c>
      <c r="C965" s="191" t="s">
        <v>3963</v>
      </c>
      <c r="D965" s="193"/>
      <c r="E965" s="193"/>
      <c r="F965" s="194" t="s">
        <v>3964</v>
      </c>
      <c r="G965" s="193"/>
      <c r="H965" s="193"/>
      <c r="I965" s="193"/>
      <c r="J965" s="193"/>
      <c r="K965" s="193"/>
      <c r="L965" s="193"/>
      <c r="M965" s="193"/>
      <c r="N965" s="193"/>
      <c r="O965" s="193"/>
      <c r="P965" s="193"/>
      <c r="Q965" s="193"/>
      <c r="R965" s="193"/>
      <c r="S965" s="193"/>
      <c r="T965" s="193"/>
      <c r="U965" s="193"/>
      <c r="V965" s="193"/>
      <c r="W965" s="193"/>
      <c r="X965" s="193"/>
      <c r="Y965" s="193"/>
      <c r="Z965" s="193"/>
      <c r="AA965" s="193"/>
      <c r="AB965" s="193"/>
      <c r="AC965" s="193"/>
      <c r="AD965" s="193"/>
      <c r="AE965" s="193"/>
    </row>
    <row r="966" ht="14.25" customHeight="1">
      <c r="A966" s="191" t="s">
        <v>3965</v>
      </c>
      <c r="B966" s="192" t="s">
        <v>3966</v>
      </c>
      <c r="C966" s="191" t="s">
        <v>3967</v>
      </c>
      <c r="D966" s="193"/>
      <c r="E966" s="193"/>
      <c r="F966" s="194" t="s">
        <v>3968</v>
      </c>
      <c r="G966" s="193"/>
      <c r="H966" s="193"/>
      <c r="I966" s="193"/>
      <c r="J966" s="193"/>
      <c r="K966" s="193"/>
      <c r="L966" s="193"/>
      <c r="M966" s="193"/>
      <c r="N966" s="193"/>
      <c r="O966" s="193"/>
      <c r="P966" s="193"/>
      <c r="Q966" s="193"/>
      <c r="R966" s="193"/>
      <c r="S966" s="193"/>
      <c r="T966" s="193"/>
      <c r="U966" s="193"/>
      <c r="V966" s="193"/>
      <c r="W966" s="193"/>
      <c r="X966" s="193"/>
      <c r="Y966" s="193"/>
      <c r="Z966" s="193"/>
      <c r="AA966" s="193"/>
      <c r="AB966" s="193"/>
      <c r="AC966" s="193"/>
      <c r="AD966" s="193"/>
      <c r="AE966" s="193"/>
    </row>
    <row r="967" ht="14.25" customHeight="1">
      <c r="A967" s="191" t="s">
        <v>3969</v>
      </c>
      <c r="B967" s="192" t="s">
        <v>3970</v>
      </c>
      <c r="C967" s="191" t="s">
        <v>3971</v>
      </c>
      <c r="D967" s="193"/>
      <c r="E967" s="193"/>
      <c r="F967" s="194" t="s">
        <v>3972</v>
      </c>
      <c r="G967" s="193"/>
      <c r="H967" s="193"/>
      <c r="I967" s="193"/>
      <c r="J967" s="193"/>
      <c r="K967" s="193"/>
      <c r="L967" s="193"/>
      <c r="M967" s="193"/>
      <c r="N967" s="193"/>
      <c r="O967" s="193"/>
      <c r="P967" s="193"/>
      <c r="Q967" s="193"/>
      <c r="R967" s="193"/>
      <c r="S967" s="193"/>
      <c r="T967" s="193"/>
      <c r="U967" s="193"/>
      <c r="V967" s="193"/>
      <c r="W967" s="193"/>
      <c r="X967" s="193"/>
      <c r="Y967" s="193"/>
      <c r="Z967" s="193"/>
      <c r="AA967" s="193"/>
      <c r="AB967" s="193"/>
      <c r="AC967" s="193"/>
      <c r="AD967" s="193"/>
      <c r="AE967" s="193"/>
    </row>
    <row r="968" ht="14.25" customHeight="1">
      <c r="A968" s="191" t="s">
        <v>3973</v>
      </c>
      <c r="B968" s="192" t="s">
        <v>3974</v>
      </c>
      <c r="C968" s="191" t="s">
        <v>3975</v>
      </c>
      <c r="D968" s="193"/>
      <c r="E968" s="193"/>
      <c r="F968" s="194" t="s">
        <v>3976</v>
      </c>
      <c r="G968" s="193"/>
      <c r="H968" s="193"/>
      <c r="I968" s="193"/>
      <c r="J968" s="193"/>
      <c r="K968" s="193"/>
      <c r="L968" s="193"/>
      <c r="M968" s="193"/>
      <c r="N968" s="193"/>
      <c r="O968" s="193"/>
      <c r="P968" s="193"/>
      <c r="Q968" s="193"/>
      <c r="R968" s="193"/>
      <c r="S968" s="193"/>
      <c r="T968" s="193"/>
      <c r="U968" s="193"/>
      <c r="V968" s="193"/>
      <c r="W968" s="193"/>
      <c r="X968" s="193"/>
      <c r="Y968" s="193"/>
      <c r="Z968" s="193"/>
      <c r="AA968" s="193"/>
      <c r="AB968" s="193"/>
      <c r="AC968" s="193"/>
      <c r="AD968" s="193"/>
      <c r="AE968" s="193"/>
    </row>
    <row r="969" ht="14.25" customHeight="1">
      <c r="A969" s="191" t="s">
        <v>3977</v>
      </c>
      <c r="B969" s="192" t="s">
        <v>3978</v>
      </c>
      <c r="C969" s="191" t="s">
        <v>3979</v>
      </c>
      <c r="D969" s="193"/>
      <c r="E969" s="193"/>
      <c r="F969" s="194" t="s">
        <v>3980</v>
      </c>
      <c r="G969" s="193"/>
      <c r="H969" s="193"/>
      <c r="I969" s="193"/>
      <c r="J969" s="193"/>
      <c r="K969" s="193"/>
      <c r="L969" s="193"/>
      <c r="M969" s="193"/>
      <c r="N969" s="193"/>
      <c r="O969" s="193"/>
      <c r="P969" s="193"/>
      <c r="Q969" s="193"/>
      <c r="R969" s="193"/>
      <c r="S969" s="193"/>
      <c r="T969" s="193"/>
      <c r="U969" s="193"/>
      <c r="V969" s="193"/>
      <c r="W969" s="193"/>
      <c r="X969" s="193"/>
      <c r="Y969" s="193"/>
      <c r="Z969" s="193"/>
      <c r="AA969" s="193"/>
      <c r="AB969" s="193"/>
      <c r="AC969" s="193"/>
      <c r="AD969" s="193"/>
      <c r="AE969" s="193"/>
    </row>
    <row r="970" ht="14.25" customHeight="1">
      <c r="A970" s="191" t="s">
        <v>3981</v>
      </c>
      <c r="B970" s="192" t="s">
        <v>3982</v>
      </c>
      <c r="C970" s="191" t="s">
        <v>3983</v>
      </c>
      <c r="D970" s="193"/>
      <c r="E970" s="193"/>
      <c r="F970" s="194" t="s">
        <v>3984</v>
      </c>
      <c r="G970" s="193"/>
      <c r="H970" s="193"/>
      <c r="I970" s="193"/>
      <c r="J970" s="193"/>
      <c r="K970" s="193"/>
      <c r="L970" s="193"/>
      <c r="M970" s="193"/>
      <c r="N970" s="193"/>
      <c r="O970" s="193"/>
      <c r="P970" s="193"/>
      <c r="Q970" s="193"/>
      <c r="R970" s="193"/>
      <c r="S970" s="193"/>
      <c r="T970" s="193"/>
      <c r="U970" s="193"/>
      <c r="V970" s="193"/>
      <c r="W970" s="193"/>
      <c r="X970" s="193"/>
      <c r="Y970" s="193"/>
      <c r="Z970" s="193"/>
      <c r="AA970" s="193"/>
      <c r="AB970" s="193"/>
      <c r="AC970" s="193"/>
      <c r="AD970" s="193"/>
      <c r="AE970" s="193"/>
    </row>
    <row r="971" ht="14.25" customHeight="1">
      <c r="A971" s="191" t="s">
        <v>3985</v>
      </c>
      <c r="B971" s="192" t="s">
        <v>3986</v>
      </c>
      <c r="C971" s="191" t="s">
        <v>3987</v>
      </c>
      <c r="D971" s="193"/>
      <c r="E971" s="193"/>
      <c r="F971" s="194" t="s">
        <v>3988</v>
      </c>
      <c r="G971" s="193"/>
      <c r="H971" s="193"/>
      <c r="I971" s="193"/>
      <c r="J971" s="193"/>
      <c r="K971" s="193"/>
      <c r="L971" s="193"/>
      <c r="M971" s="193"/>
      <c r="N971" s="193"/>
      <c r="O971" s="193"/>
      <c r="P971" s="193"/>
      <c r="Q971" s="193"/>
      <c r="R971" s="193"/>
      <c r="S971" s="193"/>
      <c r="T971" s="193"/>
      <c r="U971" s="193"/>
      <c r="V971" s="193"/>
      <c r="W971" s="193"/>
      <c r="X971" s="193"/>
      <c r="Y971" s="193"/>
      <c r="Z971" s="193"/>
      <c r="AA971" s="193"/>
      <c r="AB971" s="193"/>
      <c r="AC971" s="193"/>
      <c r="AD971" s="193"/>
      <c r="AE971" s="193"/>
    </row>
    <row r="972" ht="14.25" customHeight="1">
      <c r="A972" s="191" t="s">
        <v>3989</v>
      </c>
      <c r="B972" s="192" t="s">
        <v>3990</v>
      </c>
      <c r="C972" s="191" t="s">
        <v>3991</v>
      </c>
      <c r="D972" s="193"/>
      <c r="E972" s="193"/>
      <c r="F972" s="194" t="s">
        <v>3992</v>
      </c>
      <c r="G972" s="193"/>
      <c r="H972" s="193"/>
      <c r="I972" s="193"/>
      <c r="J972" s="193"/>
      <c r="K972" s="193"/>
      <c r="L972" s="193"/>
      <c r="M972" s="193"/>
      <c r="N972" s="193"/>
      <c r="O972" s="193"/>
      <c r="P972" s="193"/>
      <c r="Q972" s="193"/>
      <c r="R972" s="193"/>
      <c r="S972" s="193"/>
      <c r="T972" s="193"/>
      <c r="U972" s="193"/>
      <c r="V972" s="193"/>
      <c r="W972" s="193"/>
      <c r="X972" s="193"/>
      <c r="Y972" s="193"/>
      <c r="Z972" s="193"/>
      <c r="AA972" s="193"/>
      <c r="AB972" s="193"/>
      <c r="AC972" s="193"/>
      <c r="AD972" s="193"/>
      <c r="AE972" s="193"/>
    </row>
    <row r="973" ht="14.25" customHeight="1">
      <c r="A973" s="191" t="s">
        <v>3993</v>
      </c>
      <c r="B973" s="192" t="s">
        <v>3994</v>
      </c>
      <c r="C973" s="191" t="s">
        <v>3947</v>
      </c>
      <c r="D973" s="193"/>
      <c r="E973" s="193"/>
      <c r="F973" s="194" t="s">
        <v>3948</v>
      </c>
      <c r="G973" s="193"/>
      <c r="H973" s="193"/>
      <c r="I973" s="193"/>
      <c r="J973" s="193"/>
      <c r="K973" s="193"/>
      <c r="L973" s="193"/>
      <c r="M973" s="193"/>
      <c r="N973" s="193"/>
      <c r="O973" s="193"/>
      <c r="P973" s="193"/>
      <c r="Q973" s="193"/>
      <c r="R973" s="193"/>
      <c r="S973" s="193"/>
      <c r="T973" s="193"/>
      <c r="U973" s="193"/>
      <c r="V973" s="193"/>
      <c r="W973" s="193"/>
      <c r="X973" s="193"/>
      <c r="Y973" s="193"/>
      <c r="Z973" s="193"/>
      <c r="AA973" s="193"/>
      <c r="AB973" s="193"/>
      <c r="AC973" s="193"/>
      <c r="AD973" s="193"/>
      <c r="AE973" s="193"/>
    </row>
    <row r="974" ht="14.25" customHeight="1">
      <c r="A974" s="191" t="s">
        <v>3995</v>
      </c>
      <c r="B974" s="192" t="s">
        <v>3996</v>
      </c>
      <c r="C974" s="191" t="s">
        <v>3997</v>
      </c>
      <c r="D974" s="193"/>
      <c r="E974" s="193"/>
      <c r="F974" s="195"/>
      <c r="G974" s="193"/>
      <c r="H974" s="193"/>
      <c r="I974" s="193"/>
      <c r="J974" s="193"/>
      <c r="K974" s="193"/>
      <c r="L974" s="193"/>
      <c r="M974" s="193"/>
      <c r="N974" s="193"/>
      <c r="O974" s="193"/>
      <c r="P974" s="193"/>
      <c r="Q974" s="193"/>
      <c r="R974" s="193"/>
      <c r="S974" s="193"/>
      <c r="T974" s="193"/>
      <c r="U974" s="193"/>
      <c r="V974" s="193"/>
      <c r="W974" s="193"/>
      <c r="X974" s="193"/>
      <c r="Y974" s="193"/>
      <c r="Z974" s="193"/>
      <c r="AA974" s="193"/>
      <c r="AB974" s="193"/>
      <c r="AC974" s="193"/>
      <c r="AD974" s="193"/>
      <c r="AE974" s="193"/>
    </row>
    <row r="975" ht="14.25" customHeight="1">
      <c r="A975" s="191" t="s">
        <v>3998</v>
      </c>
      <c r="B975" s="192" t="s">
        <v>3999</v>
      </c>
      <c r="C975" s="191" t="s">
        <v>4000</v>
      </c>
      <c r="D975" s="193"/>
      <c r="E975" s="193"/>
      <c r="F975" s="195"/>
      <c r="G975" s="193"/>
      <c r="H975" s="193"/>
      <c r="I975" s="193"/>
      <c r="J975" s="193"/>
      <c r="K975" s="193"/>
      <c r="L975" s="193"/>
      <c r="M975" s="193"/>
      <c r="N975" s="193"/>
      <c r="O975" s="193"/>
      <c r="P975" s="193"/>
      <c r="Q975" s="193"/>
      <c r="R975" s="193"/>
      <c r="S975" s="193"/>
      <c r="T975" s="193"/>
      <c r="U975" s="193"/>
      <c r="V975" s="193"/>
      <c r="W975" s="193"/>
      <c r="X975" s="193"/>
      <c r="Y975" s="193"/>
      <c r="Z975" s="193"/>
      <c r="AA975" s="193"/>
      <c r="AB975" s="193"/>
      <c r="AC975" s="193"/>
      <c r="AD975" s="193"/>
      <c r="AE975" s="193"/>
    </row>
    <row r="976" ht="14.25" customHeight="1">
      <c r="A976" s="191" t="s">
        <v>4001</v>
      </c>
      <c r="B976" s="192" t="s">
        <v>4002</v>
      </c>
      <c r="C976" s="191" t="s">
        <v>4003</v>
      </c>
      <c r="D976" s="193"/>
      <c r="E976" s="193"/>
      <c r="F976" s="195"/>
      <c r="G976" s="193"/>
      <c r="H976" s="193"/>
      <c r="I976" s="193"/>
      <c r="J976" s="193"/>
      <c r="K976" s="193"/>
      <c r="L976" s="193"/>
      <c r="M976" s="193"/>
      <c r="N976" s="193"/>
      <c r="O976" s="193"/>
      <c r="P976" s="193"/>
      <c r="Q976" s="193"/>
      <c r="R976" s="193"/>
      <c r="S976" s="193"/>
      <c r="T976" s="193"/>
      <c r="U976" s="193"/>
      <c r="V976" s="193"/>
      <c r="W976" s="193"/>
      <c r="X976" s="193"/>
      <c r="Y976" s="193"/>
      <c r="Z976" s="193"/>
      <c r="AA976" s="193"/>
      <c r="AB976" s="193"/>
      <c r="AC976" s="193"/>
      <c r="AD976" s="193"/>
      <c r="AE976" s="193"/>
    </row>
    <row r="977" ht="14.25" customHeight="1">
      <c r="A977" s="191" t="s">
        <v>4004</v>
      </c>
      <c r="B977" s="192" t="s">
        <v>4005</v>
      </c>
      <c r="C977" s="191" t="s">
        <v>4006</v>
      </c>
      <c r="D977" s="193"/>
      <c r="E977" s="193"/>
      <c r="F977" s="194" t="s">
        <v>4007</v>
      </c>
      <c r="G977" s="193"/>
      <c r="H977" s="193"/>
      <c r="I977" s="193"/>
      <c r="J977" s="193"/>
      <c r="K977" s="193"/>
      <c r="L977" s="193"/>
      <c r="M977" s="193"/>
      <c r="N977" s="193"/>
      <c r="O977" s="193"/>
      <c r="P977" s="193"/>
      <c r="Q977" s="193"/>
      <c r="R977" s="193"/>
      <c r="S977" s="193"/>
      <c r="T977" s="193"/>
      <c r="U977" s="193"/>
      <c r="V977" s="193"/>
      <c r="W977" s="193"/>
      <c r="X977" s="193"/>
      <c r="Y977" s="193"/>
      <c r="Z977" s="193"/>
      <c r="AA977" s="193"/>
      <c r="AB977" s="193"/>
      <c r="AC977" s="193"/>
      <c r="AD977" s="193"/>
      <c r="AE977" s="193"/>
    </row>
    <row r="978" ht="14.25" customHeight="1">
      <c r="A978" s="191" t="s">
        <v>4008</v>
      </c>
      <c r="B978" s="192" t="s">
        <v>4009</v>
      </c>
      <c r="C978" s="191" t="s">
        <v>4010</v>
      </c>
      <c r="D978" s="193"/>
      <c r="E978" s="193"/>
      <c r="F978" s="194" t="s">
        <v>4011</v>
      </c>
      <c r="G978" s="193"/>
      <c r="H978" s="193"/>
      <c r="I978" s="193"/>
      <c r="J978" s="193"/>
      <c r="K978" s="193"/>
      <c r="L978" s="193"/>
      <c r="M978" s="193"/>
      <c r="N978" s="193"/>
      <c r="O978" s="193"/>
      <c r="P978" s="193"/>
      <c r="Q978" s="193"/>
      <c r="R978" s="193"/>
      <c r="S978" s="193"/>
      <c r="T978" s="193"/>
      <c r="U978" s="193"/>
      <c r="V978" s="193"/>
      <c r="W978" s="193"/>
      <c r="X978" s="193"/>
      <c r="Y978" s="193"/>
      <c r="Z978" s="193"/>
      <c r="AA978" s="193"/>
      <c r="AB978" s="193"/>
      <c r="AC978" s="193"/>
      <c r="AD978" s="193"/>
      <c r="AE978" s="193"/>
    </row>
    <row r="979" ht="14.25" customHeight="1">
      <c r="A979" s="191" t="s">
        <v>4012</v>
      </c>
      <c r="B979" s="192" t="s">
        <v>4013</v>
      </c>
      <c r="C979" s="191" t="s">
        <v>4014</v>
      </c>
      <c r="D979" s="193"/>
      <c r="E979" s="193"/>
      <c r="F979" s="194" t="s">
        <v>4015</v>
      </c>
      <c r="G979" s="193"/>
      <c r="H979" s="193"/>
      <c r="I979" s="193"/>
      <c r="J979" s="193"/>
      <c r="K979" s="193"/>
      <c r="L979" s="193"/>
      <c r="M979" s="193"/>
      <c r="N979" s="193"/>
      <c r="O979" s="193"/>
      <c r="P979" s="193"/>
      <c r="Q979" s="193"/>
      <c r="R979" s="193"/>
      <c r="S979" s="193"/>
      <c r="T979" s="193"/>
      <c r="U979" s="193"/>
      <c r="V979" s="193"/>
      <c r="W979" s="193"/>
      <c r="X979" s="193"/>
      <c r="Y979" s="193"/>
      <c r="Z979" s="193"/>
      <c r="AA979" s="193"/>
      <c r="AB979" s="193"/>
      <c r="AC979" s="193"/>
      <c r="AD979" s="193"/>
      <c r="AE979" s="193"/>
    </row>
    <row r="980" ht="14.25" customHeight="1">
      <c r="A980" s="191" t="s">
        <v>4016</v>
      </c>
      <c r="B980" s="192" t="s">
        <v>4017</v>
      </c>
      <c r="C980" s="191" t="s">
        <v>4018</v>
      </c>
      <c r="D980" s="193"/>
      <c r="E980" s="193"/>
      <c r="F980" s="195"/>
      <c r="G980" s="193"/>
      <c r="H980" s="193"/>
      <c r="I980" s="193"/>
      <c r="J980" s="193"/>
      <c r="K980" s="193"/>
      <c r="L980" s="193"/>
      <c r="M980" s="193"/>
      <c r="N980" s="193"/>
      <c r="O980" s="193"/>
      <c r="P980" s="193"/>
      <c r="Q980" s="193"/>
      <c r="R980" s="193"/>
      <c r="S980" s="193"/>
      <c r="T980" s="193"/>
      <c r="U980" s="193"/>
      <c r="V980" s="193"/>
      <c r="W980" s="193"/>
      <c r="X980" s="193"/>
      <c r="Y980" s="193"/>
      <c r="Z980" s="193"/>
      <c r="AA980" s="193"/>
      <c r="AB980" s="193"/>
      <c r="AC980" s="193"/>
      <c r="AD980" s="193"/>
      <c r="AE980" s="193"/>
    </row>
    <row r="981" ht="14.25" customHeight="1">
      <c r="A981" s="191" t="s">
        <v>4019</v>
      </c>
      <c r="B981" s="192" t="s">
        <v>4020</v>
      </c>
      <c r="C981" s="191" t="s">
        <v>4021</v>
      </c>
      <c r="D981" s="193"/>
      <c r="E981" s="193"/>
      <c r="F981" s="195"/>
      <c r="G981" s="193"/>
      <c r="H981" s="193"/>
      <c r="I981" s="193"/>
      <c r="J981" s="193"/>
      <c r="K981" s="193"/>
      <c r="L981" s="193"/>
      <c r="M981" s="193"/>
      <c r="N981" s="193"/>
      <c r="O981" s="193"/>
      <c r="P981" s="193"/>
      <c r="Q981" s="193"/>
      <c r="R981" s="193"/>
      <c r="S981" s="193"/>
      <c r="T981" s="193"/>
      <c r="U981" s="193"/>
      <c r="V981" s="193"/>
      <c r="W981" s="193"/>
      <c r="X981" s="193"/>
      <c r="Y981" s="193"/>
      <c r="Z981" s="193"/>
      <c r="AA981" s="193"/>
      <c r="AB981" s="193"/>
      <c r="AC981" s="193"/>
      <c r="AD981" s="193"/>
      <c r="AE981" s="193"/>
    </row>
    <row r="982" ht="14.25" customHeight="1">
      <c r="A982" s="191" t="s">
        <v>4022</v>
      </c>
      <c r="B982" s="192" t="s">
        <v>4023</v>
      </c>
      <c r="C982" s="191" t="s">
        <v>4024</v>
      </c>
      <c r="D982" s="193"/>
      <c r="E982" s="193"/>
      <c r="F982" s="195"/>
      <c r="G982" s="193"/>
      <c r="H982" s="193"/>
      <c r="I982" s="193"/>
      <c r="J982" s="193"/>
      <c r="K982" s="193"/>
      <c r="L982" s="193"/>
      <c r="M982" s="193"/>
      <c r="N982" s="193"/>
      <c r="O982" s="193"/>
      <c r="P982" s="193"/>
      <c r="Q982" s="193"/>
      <c r="R982" s="193"/>
      <c r="S982" s="193"/>
      <c r="T982" s="193"/>
      <c r="U982" s="193"/>
      <c r="V982" s="193"/>
      <c r="W982" s="193"/>
      <c r="X982" s="193"/>
      <c r="Y982" s="193"/>
      <c r="Z982" s="193"/>
      <c r="AA982" s="193"/>
      <c r="AB982" s="193"/>
      <c r="AC982" s="193"/>
      <c r="AD982" s="193"/>
      <c r="AE982" s="193"/>
    </row>
    <row r="983" ht="14.25" customHeight="1">
      <c r="A983" s="191" t="s">
        <v>4025</v>
      </c>
      <c r="B983" s="192" t="s">
        <v>4026</v>
      </c>
      <c r="C983" s="191" t="s">
        <v>4027</v>
      </c>
      <c r="D983" s="193"/>
      <c r="E983" s="193"/>
      <c r="F983" s="194" t="s">
        <v>4028</v>
      </c>
      <c r="G983" s="193"/>
      <c r="H983" s="193"/>
      <c r="I983" s="193"/>
      <c r="J983" s="193"/>
      <c r="K983" s="193"/>
      <c r="L983" s="193"/>
      <c r="M983" s="193"/>
      <c r="N983" s="193"/>
      <c r="O983" s="193"/>
      <c r="P983" s="193"/>
      <c r="Q983" s="193"/>
      <c r="R983" s="193"/>
      <c r="S983" s="193"/>
      <c r="T983" s="193"/>
      <c r="U983" s="193"/>
      <c r="V983" s="193"/>
      <c r="W983" s="193"/>
      <c r="X983" s="193"/>
      <c r="Y983" s="193"/>
      <c r="Z983" s="193"/>
      <c r="AA983" s="193"/>
      <c r="AB983" s="193"/>
      <c r="AC983" s="193"/>
      <c r="AD983" s="193"/>
      <c r="AE983" s="193"/>
    </row>
    <row r="984" ht="14.25" customHeight="1">
      <c r="A984" s="191" t="s">
        <v>4029</v>
      </c>
      <c r="B984" s="192" t="s">
        <v>4030</v>
      </c>
      <c r="C984" s="191" t="s">
        <v>4031</v>
      </c>
      <c r="D984" s="193"/>
      <c r="E984" s="193"/>
      <c r="F984" s="194" t="s">
        <v>4032</v>
      </c>
      <c r="G984" s="193"/>
      <c r="H984" s="193"/>
      <c r="I984" s="193"/>
      <c r="J984" s="193"/>
      <c r="K984" s="193"/>
      <c r="L984" s="193"/>
      <c r="M984" s="193"/>
      <c r="N984" s="193"/>
      <c r="O984" s="193"/>
      <c r="P984" s="193"/>
      <c r="Q984" s="193"/>
      <c r="R984" s="193"/>
      <c r="S984" s="193"/>
      <c r="T984" s="193"/>
      <c r="U984" s="193"/>
      <c r="V984" s="193"/>
      <c r="W984" s="193"/>
      <c r="X984" s="193"/>
      <c r="Y984" s="193"/>
      <c r="Z984" s="193"/>
      <c r="AA984" s="193"/>
      <c r="AB984" s="193"/>
      <c r="AC984" s="193"/>
      <c r="AD984" s="193"/>
      <c r="AE984" s="193"/>
    </row>
    <row r="985" ht="14.25" customHeight="1">
      <c r="A985" s="191" t="s">
        <v>4033</v>
      </c>
      <c r="B985" s="192" t="s">
        <v>4034</v>
      </c>
      <c r="C985" s="191" t="s">
        <v>4035</v>
      </c>
      <c r="D985" s="193"/>
      <c r="E985" s="193"/>
      <c r="F985" s="194" t="s">
        <v>4036</v>
      </c>
      <c r="G985" s="193"/>
      <c r="H985" s="193"/>
      <c r="I985" s="193"/>
      <c r="J985" s="193"/>
      <c r="K985" s="193"/>
      <c r="L985" s="193"/>
      <c r="M985" s="193"/>
      <c r="N985" s="193"/>
      <c r="O985" s="193"/>
      <c r="P985" s="193"/>
      <c r="Q985" s="193"/>
      <c r="R985" s="193"/>
      <c r="S985" s="193"/>
      <c r="T985" s="193"/>
      <c r="U985" s="193"/>
      <c r="V985" s="193"/>
      <c r="W985" s="193"/>
      <c r="X985" s="193"/>
      <c r="Y985" s="193"/>
      <c r="Z985" s="193"/>
      <c r="AA985" s="193"/>
      <c r="AB985" s="193"/>
      <c r="AC985" s="193"/>
      <c r="AD985" s="193"/>
      <c r="AE985" s="193"/>
    </row>
    <row r="986" ht="14.25" customHeight="1">
      <c r="A986" s="191" t="s">
        <v>4037</v>
      </c>
      <c r="B986" s="192" t="s">
        <v>4038</v>
      </c>
      <c r="C986" s="191" t="s">
        <v>4039</v>
      </c>
      <c r="D986" s="193"/>
      <c r="E986" s="193"/>
      <c r="F986" s="194" t="s">
        <v>4040</v>
      </c>
      <c r="G986" s="193"/>
      <c r="H986" s="193"/>
      <c r="I986" s="193"/>
      <c r="J986" s="193"/>
      <c r="K986" s="193"/>
      <c r="L986" s="193"/>
      <c r="M986" s="193"/>
      <c r="N986" s="193"/>
      <c r="O986" s="193"/>
      <c r="P986" s="193"/>
      <c r="Q986" s="193"/>
      <c r="R986" s="193"/>
      <c r="S986" s="193"/>
      <c r="T986" s="193"/>
      <c r="U986" s="193"/>
      <c r="V986" s="193"/>
      <c r="W986" s="193"/>
      <c r="X986" s="193"/>
      <c r="Y986" s="193"/>
      <c r="Z986" s="193"/>
      <c r="AA986" s="193"/>
      <c r="AB986" s="193"/>
      <c r="AC986" s="193"/>
      <c r="AD986" s="193"/>
      <c r="AE986" s="193"/>
    </row>
    <row r="987" ht="14.25" customHeight="1">
      <c r="A987" s="191" t="s">
        <v>4041</v>
      </c>
      <c r="B987" s="192" t="s">
        <v>4042</v>
      </c>
      <c r="C987" s="191" t="s">
        <v>4043</v>
      </c>
      <c r="D987" s="193"/>
      <c r="E987" s="193"/>
      <c r="F987" s="194" t="s">
        <v>4044</v>
      </c>
      <c r="G987" s="193"/>
      <c r="H987" s="193"/>
      <c r="I987" s="193"/>
      <c r="J987" s="193"/>
      <c r="K987" s="193"/>
      <c r="L987" s="193"/>
      <c r="M987" s="193"/>
      <c r="N987" s="193"/>
      <c r="O987" s="193"/>
      <c r="P987" s="193"/>
      <c r="Q987" s="193"/>
      <c r="R987" s="193"/>
      <c r="S987" s="193"/>
      <c r="T987" s="193"/>
      <c r="U987" s="193"/>
      <c r="V987" s="193"/>
      <c r="W987" s="193"/>
      <c r="X987" s="193"/>
      <c r="Y987" s="193"/>
      <c r="Z987" s="193"/>
      <c r="AA987" s="193"/>
      <c r="AB987" s="193"/>
      <c r="AC987" s="193"/>
      <c r="AD987" s="193"/>
      <c r="AE987" s="193"/>
    </row>
    <row r="988" ht="14.25" customHeight="1">
      <c r="A988" s="191" t="s">
        <v>4045</v>
      </c>
      <c r="B988" s="192" t="s">
        <v>4046</v>
      </c>
      <c r="C988" s="191" t="s">
        <v>4047</v>
      </c>
      <c r="D988" s="193"/>
      <c r="E988" s="193"/>
      <c r="F988" s="194" t="s">
        <v>4048</v>
      </c>
      <c r="G988" s="193"/>
      <c r="H988" s="193"/>
      <c r="I988" s="193"/>
      <c r="J988" s="193"/>
      <c r="K988" s="193"/>
      <c r="L988" s="193"/>
      <c r="M988" s="193"/>
      <c r="N988" s="193"/>
      <c r="O988" s="193"/>
      <c r="P988" s="193"/>
      <c r="Q988" s="193"/>
      <c r="R988" s="193"/>
      <c r="S988" s="193"/>
      <c r="T988" s="193"/>
      <c r="U988" s="193"/>
      <c r="V988" s="193"/>
      <c r="W988" s="193"/>
      <c r="X988" s="193"/>
      <c r="Y988" s="193"/>
      <c r="Z988" s="193"/>
      <c r="AA988" s="193"/>
      <c r="AB988" s="193"/>
      <c r="AC988" s="193"/>
      <c r="AD988" s="193"/>
      <c r="AE988" s="193"/>
    </row>
    <row r="989" ht="14.25" customHeight="1">
      <c r="A989" s="191" t="s">
        <v>4049</v>
      </c>
      <c r="B989" s="192" t="s">
        <v>4050</v>
      </c>
      <c r="C989" s="191" t="s">
        <v>4051</v>
      </c>
      <c r="D989" s="193"/>
      <c r="E989" s="193"/>
      <c r="F989" s="194" t="s">
        <v>4052</v>
      </c>
      <c r="G989" s="193"/>
      <c r="H989" s="193"/>
      <c r="I989" s="193"/>
      <c r="J989" s="193"/>
      <c r="K989" s="193"/>
      <c r="L989" s="193"/>
      <c r="M989" s="193"/>
      <c r="N989" s="193"/>
      <c r="O989" s="193"/>
      <c r="P989" s="193"/>
      <c r="Q989" s="193"/>
      <c r="R989" s="193"/>
      <c r="S989" s="193"/>
      <c r="T989" s="193"/>
      <c r="U989" s="193"/>
      <c r="V989" s="193"/>
      <c r="W989" s="193"/>
      <c r="X989" s="193"/>
      <c r="Y989" s="193"/>
      <c r="Z989" s="193"/>
      <c r="AA989" s="193"/>
      <c r="AB989" s="193"/>
      <c r="AC989" s="193"/>
      <c r="AD989" s="193"/>
      <c r="AE989" s="193"/>
    </row>
    <row r="990" ht="14.25" customHeight="1">
      <c r="A990" s="191" t="s">
        <v>4053</v>
      </c>
      <c r="B990" s="192" t="s">
        <v>4054</v>
      </c>
      <c r="C990" s="191" t="s">
        <v>4055</v>
      </c>
      <c r="D990" s="193"/>
      <c r="E990" s="193"/>
      <c r="F990" s="194" t="s">
        <v>4056</v>
      </c>
      <c r="G990" s="193"/>
      <c r="H990" s="193"/>
      <c r="I990" s="193"/>
      <c r="J990" s="193"/>
      <c r="K990" s="193"/>
      <c r="L990" s="193"/>
      <c r="M990" s="193"/>
      <c r="N990" s="193"/>
      <c r="O990" s="193"/>
      <c r="P990" s="193"/>
      <c r="Q990" s="193"/>
      <c r="R990" s="193"/>
      <c r="S990" s="193"/>
      <c r="T990" s="193"/>
      <c r="U990" s="193"/>
      <c r="V990" s="193"/>
      <c r="W990" s="193"/>
      <c r="X990" s="193"/>
      <c r="Y990" s="193"/>
      <c r="Z990" s="193"/>
      <c r="AA990" s="193"/>
      <c r="AB990" s="193"/>
      <c r="AC990" s="193"/>
      <c r="AD990" s="193"/>
      <c r="AE990" s="193"/>
    </row>
    <row r="991" ht="14.25" customHeight="1">
      <c r="A991" s="191" t="s">
        <v>4057</v>
      </c>
      <c r="B991" s="192" t="s">
        <v>4058</v>
      </c>
      <c r="C991" s="191" t="s">
        <v>4059</v>
      </c>
      <c r="D991" s="193"/>
      <c r="E991" s="193"/>
      <c r="F991" s="194" t="s">
        <v>4060</v>
      </c>
      <c r="G991" s="193"/>
      <c r="H991" s="193"/>
      <c r="I991" s="193"/>
      <c r="J991" s="193"/>
      <c r="K991" s="193"/>
      <c r="L991" s="193"/>
      <c r="M991" s="193"/>
      <c r="N991" s="193"/>
      <c r="O991" s="193"/>
      <c r="P991" s="193"/>
      <c r="Q991" s="193"/>
      <c r="R991" s="193"/>
      <c r="S991" s="193"/>
      <c r="T991" s="193"/>
      <c r="U991" s="193"/>
      <c r="V991" s="193"/>
      <c r="W991" s="193"/>
      <c r="X991" s="193"/>
      <c r="Y991" s="193"/>
      <c r="Z991" s="193"/>
      <c r="AA991" s="193"/>
      <c r="AB991" s="193"/>
      <c r="AC991" s="193"/>
      <c r="AD991" s="193"/>
      <c r="AE991" s="193"/>
    </row>
    <row r="992" ht="14.25" customHeight="1">
      <c r="A992" s="191" t="s">
        <v>4061</v>
      </c>
      <c r="B992" s="192" t="s">
        <v>4062</v>
      </c>
      <c r="C992" s="191" t="s">
        <v>4063</v>
      </c>
      <c r="D992" s="193"/>
      <c r="E992" s="193"/>
      <c r="F992" s="194" t="s">
        <v>4064</v>
      </c>
      <c r="G992" s="193"/>
      <c r="H992" s="193"/>
      <c r="I992" s="193"/>
      <c r="J992" s="193"/>
      <c r="K992" s="193"/>
      <c r="L992" s="193"/>
      <c r="M992" s="193"/>
      <c r="N992" s="193"/>
      <c r="O992" s="193"/>
      <c r="P992" s="193"/>
      <c r="Q992" s="193"/>
      <c r="R992" s="193"/>
      <c r="S992" s="193"/>
      <c r="T992" s="193"/>
      <c r="U992" s="193"/>
      <c r="V992" s="193"/>
      <c r="W992" s="193"/>
      <c r="X992" s="193"/>
      <c r="Y992" s="193"/>
      <c r="Z992" s="193"/>
      <c r="AA992" s="193"/>
      <c r="AB992" s="193"/>
      <c r="AC992" s="193"/>
      <c r="AD992" s="193"/>
      <c r="AE992" s="193"/>
    </row>
    <row r="993" ht="14.25" customHeight="1">
      <c r="A993" s="191" t="s">
        <v>4065</v>
      </c>
      <c r="B993" s="192" t="s">
        <v>4066</v>
      </c>
      <c r="C993" s="191" t="s">
        <v>4067</v>
      </c>
      <c r="D993" s="193"/>
      <c r="E993" s="193"/>
      <c r="F993" s="194" t="s">
        <v>4068</v>
      </c>
      <c r="G993" s="193"/>
      <c r="H993" s="193"/>
      <c r="I993" s="193"/>
      <c r="J993" s="193"/>
      <c r="K993" s="193"/>
      <c r="L993" s="193"/>
      <c r="M993" s="193"/>
      <c r="N993" s="193"/>
      <c r="O993" s="193"/>
      <c r="P993" s="193"/>
      <c r="Q993" s="193"/>
      <c r="R993" s="193"/>
      <c r="S993" s="193"/>
      <c r="T993" s="193"/>
      <c r="U993" s="193"/>
      <c r="V993" s="193"/>
      <c r="W993" s="193"/>
      <c r="X993" s="193"/>
      <c r="Y993" s="193"/>
      <c r="Z993" s="193"/>
      <c r="AA993" s="193"/>
      <c r="AB993" s="193"/>
      <c r="AC993" s="193"/>
      <c r="AD993" s="193"/>
      <c r="AE993" s="193"/>
    </row>
    <row r="994" ht="14.25" customHeight="1">
      <c r="A994" s="191" t="s">
        <v>4069</v>
      </c>
      <c r="B994" s="192" t="s">
        <v>4070</v>
      </c>
      <c r="C994" s="191" t="s">
        <v>4071</v>
      </c>
      <c r="D994" s="193"/>
      <c r="E994" s="193"/>
      <c r="F994" s="194" t="s">
        <v>4072</v>
      </c>
      <c r="G994" s="193"/>
      <c r="H994" s="193"/>
      <c r="I994" s="193"/>
      <c r="J994" s="193"/>
      <c r="K994" s="193"/>
      <c r="L994" s="193"/>
      <c r="M994" s="193"/>
      <c r="N994" s="193"/>
      <c r="O994" s="193"/>
      <c r="P994" s="193"/>
      <c r="Q994" s="193"/>
      <c r="R994" s="193"/>
      <c r="S994" s="193"/>
      <c r="T994" s="193"/>
      <c r="U994" s="193"/>
      <c r="V994" s="193"/>
      <c r="W994" s="193"/>
      <c r="X994" s="193"/>
      <c r="Y994" s="193"/>
      <c r="Z994" s="193"/>
      <c r="AA994" s="193"/>
      <c r="AB994" s="193"/>
      <c r="AC994" s="193"/>
      <c r="AD994" s="193"/>
      <c r="AE994" s="193"/>
    </row>
    <row r="995" ht="14.25" customHeight="1">
      <c r="A995" s="191" t="s">
        <v>4073</v>
      </c>
      <c r="B995" s="192" t="s">
        <v>4074</v>
      </c>
      <c r="C995" s="191" t="s">
        <v>4075</v>
      </c>
      <c r="D995" s="193"/>
      <c r="E995" s="193"/>
      <c r="F995" s="194" t="s">
        <v>4076</v>
      </c>
      <c r="G995" s="193"/>
      <c r="H995" s="193"/>
      <c r="I995" s="193"/>
      <c r="J995" s="193"/>
      <c r="K995" s="193"/>
      <c r="L995" s="193"/>
      <c r="M995" s="193"/>
      <c r="N995" s="193"/>
      <c r="O995" s="193"/>
      <c r="P995" s="193"/>
      <c r="Q995" s="193"/>
      <c r="R995" s="193"/>
      <c r="S995" s="193"/>
      <c r="T995" s="193"/>
      <c r="U995" s="193"/>
      <c r="V995" s="193"/>
      <c r="W995" s="193"/>
      <c r="X995" s="193"/>
      <c r="Y995" s="193"/>
      <c r="Z995" s="193"/>
      <c r="AA995" s="193"/>
      <c r="AB995" s="193"/>
      <c r="AC995" s="193"/>
      <c r="AD995" s="193"/>
      <c r="AE995" s="193"/>
    </row>
    <row r="996" ht="14.25" customHeight="1">
      <c r="A996" s="191" t="s">
        <v>4077</v>
      </c>
      <c r="B996" s="192" t="s">
        <v>4078</v>
      </c>
      <c r="C996" s="191" t="s">
        <v>4079</v>
      </c>
      <c r="D996" s="193"/>
      <c r="E996" s="193"/>
      <c r="F996" s="194" t="s">
        <v>4080</v>
      </c>
      <c r="G996" s="193"/>
      <c r="H996" s="193"/>
      <c r="I996" s="193"/>
      <c r="J996" s="193"/>
      <c r="K996" s="193"/>
      <c r="L996" s="193"/>
      <c r="M996" s="193"/>
      <c r="N996" s="193"/>
      <c r="O996" s="193"/>
      <c r="P996" s="193"/>
      <c r="Q996" s="193"/>
      <c r="R996" s="193"/>
      <c r="S996" s="193"/>
      <c r="T996" s="193"/>
      <c r="U996" s="193"/>
      <c r="V996" s="193"/>
      <c r="W996" s="193"/>
      <c r="X996" s="193"/>
      <c r="Y996" s="193"/>
      <c r="Z996" s="193"/>
      <c r="AA996" s="193"/>
      <c r="AB996" s="193"/>
      <c r="AC996" s="193"/>
      <c r="AD996" s="193"/>
      <c r="AE996" s="193"/>
    </row>
    <row r="997" ht="14.25" customHeight="1">
      <c r="A997" s="191" t="s">
        <v>4081</v>
      </c>
      <c r="B997" s="192" t="s">
        <v>4082</v>
      </c>
      <c r="C997" s="191" t="s">
        <v>4083</v>
      </c>
      <c r="D997" s="193"/>
      <c r="E997" s="193"/>
      <c r="F997" s="194" t="s">
        <v>4084</v>
      </c>
      <c r="G997" s="193"/>
      <c r="H997" s="193"/>
      <c r="I997" s="193"/>
      <c r="J997" s="193"/>
      <c r="K997" s="193"/>
      <c r="L997" s="193"/>
      <c r="M997" s="193"/>
      <c r="N997" s="193"/>
      <c r="O997" s="193"/>
      <c r="P997" s="193"/>
      <c r="Q997" s="193"/>
      <c r="R997" s="193"/>
      <c r="S997" s="193"/>
      <c r="T997" s="193"/>
      <c r="U997" s="193"/>
      <c r="V997" s="193"/>
      <c r="W997" s="193"/>
      <c r="X997" s="193"/>
      <c r="Y997" s="193"/>
      <c r="Z997" s="193"/>
      <c r="AA997" s="193"/>
      <c r="AB997" s="193"/>
      <c r="AC997" s="193"/>
      <c r="AD997" s="193"/>
      <c r="AE997" s="193"/>
    </row>
    <row r="998" ht="14.25" customHeight="1">
      <c r="A998" s="191" t="s">
        <v>4085</v>
      </c>
      <c r="B998" s="192" t="s">
        <v>4086</v>
      </c>
      <c r="C998" s="191" t="s">
        <v>4087</v>
      </c>
      <c r="D998" s="193"/>
      <c r="E998" s="193"/>
      <c r="F998" s="194" t="s">
        <v>4088</v>
      </c>
      <c r="G998" s="193"/>
      <c r="H998" s="193"/>
      <c r="I998" s="193"/>
      <c r="J998" s="193"/>
      <c r="K998" s="193"/>
      <c r="L998" s="193"/>
      <c r="M998" s="193"/>
      <c r="N998" s="193"/>
      <c r="O998" s="193"/>
      <c r="P998" s="193"/>
      <c r="Q998" s="193"/>
      <c r="R998" s="193"/>
      <c r="S998" s="193"/>
      <c r="T998" s="193"/>
      <c r="U998" s="193"/>
      <c r="V998" s="193"/>
      <c r="W998" s="193"/>
      <c r="X998" s="193"/>
      <c r="Y998" s="193"/>
      <c r="Z998" s="193"/>
      <c r="AA998" s="193"/>
      <c r="AB998" s="193"/>
      <c r="AC998" s="193"/>
      <c r="AD998" s="193"/>
      <c r="AE998" s="193"/>
    </row>
    <row r="999" ht="14.25" customHeight="1">
      <c r="A999" s="191" t="s">
        <v>4089</v>
      </c>
      <c r="B999" s="192" t="s">
        <v>4090</v>
      </c>
      <c r="C999" s="191" t="s">
        <v>4091</v>
      </c>
      <c r="D999" s="193"/>
      <c r="E999" s="193"/>
      <c r="F999" s="194" t="s">
        <v>4092</v>
      </c>
      <c r="G999" s="193"/>
      <c r="H999" s="193"/>
      <c r="I999" s="193"/>
      <c r="J999" s="193"/>
      <c r="K999" s="193"/>
      <c r="L999" s="193"/>
      <c r="M999" s="193"/>
      <c r="N999" s="193"/>
      <c r="O999" s="193"/>
      <c r="P999" s="193"/>
      <c r="Q999" s="193"/>
      <c r="R999" s="193"/>
      <c r="S999" s="193"/>
      <c r="T999" s="193"/>
      <c r="U999" s="193"/>
      <c r="V999" s="193"/>
      <c r="W999" s="193"/>
      <c r="X999" s="193"/>
      <c r="Y999" s="193"/>
      <c r="Z999" s="193"/>
      <c r="AA999" s="193"/>
      <c r="AB999" s="193"/>
      <c r="AC999" s="193"/>
      <c r="AD999" s="193"/>
      <c r="AE999" s="193"/>
    </row>
    <row r="1000" ht="14.25" customHeight="1">
      <c r="A1000" s="191" t="s">
        <v>4093</v>
      </c>
      <c r="B1000" s="192" t="s">
        <v>4094</v>
      </c>
      <c r="C1000" s="191" t="s">
        <v>4095</v>
      </c>
      <c r="D1000" s="193"/>
      <c r="E1000" s="193"/>
      <c r="F1000" s="194" t="s">
        <v>4096</v>
      </c>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c r="AA1000" s="193"/>
      <c r="AB1000" s="193"/>
      <c r="AC1000" s="193"/>
      <c r="AD1000" s="193"/>
      <c r="AE1000" s="193"/>
    </row>
    <row r="1001" ht="14.25" customHeight="1">
      <c r="A1001" s="191" t="s">
        <v>4097</v>
      </c>
      <c r="B1001" s="192" t="s">
        <v>4098</v>
      </c>
      <c r="C1001" s="191" t="s">
        <v>4099</v>
      </c>
      <c r="D1001" s="193"/>
      <c r="E1001" s="193"/>
      <c r="F1001" s="194" t="s">
        <v>4100</v>
      </c>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c r="AA1001" s="193"/>
      <c r="AB1001" s="193"/>
      <c r="AC1001" s="193"/>
      <c r="AD1001" s="193"/>
      <c r="AE1001" s="193"/>
    </row>
    <row r="1002" ht="14.25" customHeight="1">
      <c r="A1002" s="191" t="s">
        <v>4101</v>
      </c>
      <c r="B1002" s="192" t="s">
        <v>4102</v>
      </c>
      <c r="C1002" s="191" t="s">
        <v>4103</v>
      </c>
      <c r="D1002" s="193"/>
      <c r="E1002" s="193"/>
      <c r="F1002" s="194" t="s">
        <v>4104</v>
      </c>
      <c r="G1002" s="193"/>
      <c r="H1002" s="193"/>
      <c r="I1002" s="193"/>
      <c r="J1002" s="193"/>
      <c r="K1002" s="193"/>
      <c r="L1002" s="193"/>
      <c r="M1002" s="193"/>
      <c r="N1002" s="193"/>
      <c r="O1002" s="193"/>
      <c r="P1002" s="193"/>
      <c r="Q1002" s="193"/>
      <c r="R1002" s="193"/>
      <c r="S1002" s="193"/>
      <c r="T1002" s="193"/>
      <c r="U1002" s="193"/>
      <c r="V1002" s="193"/>
      <c r="W1002" s="193"/>
      <c r="X1002" s="193"/>
      <c r="Y1002" s="193"/>
      <c r="Z1002" s="193"/>
      <c r="AA1002" s="193"/>
      <c r="AB1002" s="193"/>
      <c r="AC1002" s="193"/>
      <c r="AD1002" s="193"/>
      <c r="AE1002" s="193"/>
    </row>
    <row r="1003" ht="14.25" customHeight="1">
      <c r="A1003" s="191" t="s">
        <v>4105</v>
      </c>
      <c r="B1003" s="192" t="s">
        <v>4106</v>
      </c>
      <c r="C1003" s="191" t="s">
        <v>4107</v>
      </c>
      <c r="D1003" s="193"/>
      <c r="E1003" s="193"/>
      <c r="F1003" s="195"/>
      <c r="G1003" s="193"/>
      <c r="H1003" s="193"/>
      <c r="I1003" s="193"/>
      <c r="J1003" s="193"/>
      <c r="K1003" s="193"/>
      <c r="L1003" s="193"/>
      <c r="M1003" s="193"/>
      <c r="N1003" s="193"/>
      <c r="O1003" s="193"/>
      <c r="P1003" s="193"/>
      <c r="Q1003" s="193"/>
      <c r="R1003" s="193"/>
      <c r="S1003" s="193"/>
      <c r="T1003" s="193"/>
      <c r="U1003" s="193"/>
      <c r="V1003" s="193"/>
      <c r="W1003" s="193"/>
      <c r="X1003" s="193"/>
      <c r="Y1003" s="193"/>
      <c r="Z1003" s="193"/>
      <c r="AA1003" s="193"/>
      <c r="AB1003" s="193"/>
      <c r="AC1003" s="193"/>
      <c r="AD1003" s="193"/>
      <c r="AE1003" s="193"/>
    </row>
    <row r="1004" ht="14.25" customHeight="1">
      <c r="A1004" s="191" t="s">
        <v>4108</v>
      </c>
      <c r="B1004" s="192" t="s">
        <v>4109</v>
      </c>
      <c r="C1004" s="191" t="s">
        <v>4110</v>
      </c>
      <c r="D1004" s="193"/>
      <c r="E1004" s="193"/>
      <c r="F1004" s="195"/>
      <c r="G1004" s="193"/>
      <c r="H1004" s="193"/>
      <c r="I1004" s="193"/>
      <c r="J1004" s="193"/>
      <c r="K1004" s="193"/>
      <c r="L1004" s="193"/>
      <c r="M1004" s="193"/>
      <c r="N1004" s="193"/>
      <c r="O1004" s="193"/>
      <c r="P1004" s="193"/>
      <c r="Q1004" s="193"/>
      <c r="R1004" s="193"/>
      <c r="S1004" s="193"/>
      <c r="T1004" s="193"/>
      <c r="U1004" s="193"/>
      <c r="V1004" s="193"/>
      <c r="W1004" s="193"/>
      <c r="X1004" s="193"/>
      <c r="Y1004" s="193"/>
      <c r="Z1004" s="193"/>
      <c r="AA1004" s="193"/>
      <c r="AB1004" s="193"/>
      <c r="AC1004" s="193"/>
      <c r="AD1004" s="193"/>
      <c r="AE1004" s="193"/>
    </row>
    <row r="1005" ht="14.25" customHeight="1">
      <c r="A1005" s="191" t="s">
        <v>4111</v>
      </c>
      <c r="B1005" s="192" t="s">
        <v>4112</v>
      </c>
      <c r="C1005" s="191" t="s">
        <v>4113</v>
      </c>
      <c r="D1005" s="193"/>
      <c r="E1005" s="193"/>
      <c r="F1005" s="195"/>
      <c r="G1005" s="193"/>
      <c r="H1005" s="193"/>
      <c r="I1005" s="193"/>
      <c r="J1005" s="193"/>
      <c r="K1005" s="193"/>
      <c r="L1005" s="193"/>
      <c r="M1005" s="193"/>
      <c r="N1005" s="193"/>
      <c r="O1005" s="193"/>
      <c r="P1005" s="193"/>
      <c r="Q1005" s="193"/>
      <c r="R1005" s="193"/>
      <c r="S1005" s="193"/>
      <c r="T1005" s="193"/>
      <c r="U1005" s="193"/>
      <c r="V1005" s="193"/>
      <c r="W1005" s="193"/>
      <c r="X1005" s="193"/>
      <c r="Y1005" s="193"/>
      <c r="Z1005" s="193"/>
      <c r="AA1005" s="193"/>
      <c r="AB1005" s="193"/>
      <c r="AC1005" s="193"/>
      <c r="AD1005" s="193"/>
      <c r="AE1005" s="193"/>
    </row>
    <row r="1006" ht="14.25" customHeight="1">
      <c r="A1006" s="191" t="s">
        <v>4114</v>
      </c>
      <c r="B1006" s="192" t="s">
        <v>4115</v>
      </c>
      <c r="C1006" s="191" t="s">
        <v>4116</v>
      </c>
      <c r="D1006" s="193"/>
      <c r="E1006" s="193"/>
      <c r="F1006" s="195"/>
      <c r="G1006" s="193"/>
      <c r="H1006" s="193"/>
      <c r="I1006" s="193"/>
      <c r="J1006" s="193"/>
      <c r="K1006" s="193"/>
      <c r="L1006" s="193"/>
      <c r="M1006" s="193"/>
      <c r="N1006" s="193"/>
      <c r="O1006" s="193"/>
      <c r="P1006" s="193"/>
      <c r="Q1006" s="193"/>
      <c r="R1006" s="193"/>
      <c r="S1006" s="193"/>
      <c r="T1006" s="193"/>
      <c r="U1006" s="193"/>
      <c r="V1006" s="193"/>
      <c r="W1006" s="193"/>
      <c r="X1006" s="193"/>
      <c r="Y1006" s="193"/>
      <c r="Z1006" s="193"/>
      <c r="AA1006" s="193"/>
      <c r="AB1006" s="193"/>
      <c r="AC1006" s="193"/>
      <c r="AD1006" s="193"/>
      <c r="AE1006" s="193"/>
    </row>
    <row r="1007" ht="14.25" customHeight="1">
      <c r="A1007" s="191" t="s">
        <v>4117</v>
      </c>
      <c r="B1007" s="192" t="s">
        <v>4118</v>
      </c>
      <c r="C1007" s="191" t="s">
        <v>4119</v>
      </c>
      <c r="D1007" s="193"/>
      <c r="E1007" s="193"/>
      <c r="F1007" s="195"/>
      <c r="G1007" s="193"/>
      <c r="H1007" s="193"/>
      <c r="I1007" s="193"/>
      <c r="J1007" s="193"/>
      <c r="K1007" s="193"/>
      <c r="L1007" s="193"/>
      <c r="M1007" s="193"/>
      <c r="N1007" s="193"/>
      <c r="O1007" s="193"/>
      <c r="P1007" s="193"/>
      <c r="Q1007" s="193"/>
      <c r="R1007" s="193"/>
      <c r="S1007" s="193"/>
      <c r="T1007" s="193"/>
      <c r="U1007" s="193"/>
      <c r="V1007" s="193"/>
      <c r="W1007" s="193"/>
      <c r="X1007" s="193"/>
      <c r="Y1007" s="193"/>
      <c r="Z1007" s="193"/>
      <c r="AA1007" s="193"/>
      <c r="AB1007" s="193"/>
      <c r="AC1007" s="193"/>
      <c r="AD1007" s="193"/>
      <c r="AE1007" s="193"/>
    </row>
    <row r="1008" ht="14.25" customHeight="1">
      <c r="A1008" s="191" t="s">
        <v>4120</v>
      </c>
      <c r="B1008" s="192" t="s">
        <v>4121</v>
      </c>
      <c r="C1008" s="191" t="s">
        <v>4122</v>
      </c>
      <c r="D1008" s="193"/>
      <c r="E1008" s="193"/>
      <c r="F1008" s="195"/>
      <c r="G1008" s="193"/>
      <c r="H1008" s="193"/>
      <c r="I1008" s="193"/>
      <c r="J1008" s="193"/>
      <c r="K1008" s="193"/>
      <c r="L1008" s="193"/>
      <c r="M1008" s="193"/>
      <c r="N1008" s="193"/>
      <c r="O1008" s="193"/>
      <c r="P1008" s="193"/>
      <c r="Q1008" s="193"/>
      <c r="R1008" s="193"/>
      <c r="S1008" s="193"/>
      <c r="T1008" s="193"/>
      <c r="U1008" s="193"/>
      <c r="V1008" s="193"/>
      <c r="W1008" s="193"/>
      <c r="X1008" s="193"/>
      <c r="Y1008" s="193"/>
      <c r="Z1008" s="193"/>
      <c r="AA1008" s="193"/>
      <c r="AB1008" s="193"/>
      <c r="AC1008" s="193"/>
      <c r="AD1008" s="193"/>
      <c r="AE1008" s="193"/>
    </row>
    <row r="1009" ht="14.25" customHeight="1">
      <c r="A1009" s="191" t="s">
        <v>4123</v>
      </c>
      <c r="B1009" s="192" t="s">
        <v>4124</v>
      </c>
      <c r="C1009" s="191" t="s">
        <v>4125</v>
      </c>
      <c r="D1009" s="193"/>
      <c r="E1009" s="193"/>
      <c r="F1009" s="194" t="s">
        <v>4126</v>
      </c>
      <c r="G1009" s="193"/>
      <c r="H1009" s="193"/>
      <c r="I1009" s="193"/>
      <c r="J1009" s="193"/>
      <c r="K1009" s="193"/>
      <c r="L1009" s="193"/>
      <c r="M1009" s="193"/>
      <c r="N1009" s="193"/>
      <c r="O1009" s="193"/>
      <c r="P1009" s="193"/>
      <c r="Q1009" s="193"/>
      <c r="R1009" s="193"/>
      <c r="S1009" s="193"/>
      <c r="T1009" s="193"/>
      <c r="U1009" s="193"/>
      <c r="V1009" s="193"/>
      <c r="W1009" s="193"/>
      <c r="X1009" s="193"/>
      <c r="Y1009" s="193"/>
      <c r="Z1009" s="193"/>
      <c r="AA1009" s="193"/>
      <c r="AB1009" s="193"/>
      <c r="AC1009" s="193"/>
      <c r="AD1009" s="193"/>
      <c r="AE1009" s="193"/>
    </row>
    <row r="1010" ht="14.25" customHeight="1">
      <c r="A1010" s="191" t="s">
        <v>4127</v>
      </c>
      <c r="B1010" s="192" t="s">
        <v>4128</v>
      </c>
      <c r="C1010" s="191" t="s">
        <v>4129</v>
      </c>
      <c r="D1010" s="193"/>
      <c r="E1010" s="193"/>
      <c r="F1010" s="194" t="s">
        <v>4130</v>
      </c>
      <c r="G1010" s="193"/>
      <c r="H1010" s="193"/>
      <c r="I1010" s="193"/>
      <c r="J1010" s="193"/>
      <c r="K1010" s="193"/>
      <c r="L1010" s="193"/>
      <c r="M1010" s="193"/>
      <c r="N1010" s="193"/>
      <c r="O1010" s="193"/>
      <c r="P1010" s="193"/>
      <c r="Q1010" s="193"/>
      <c r="R1010" s="193"/>
      <c r="S1010" s="193"/>
      <c r="T1010" s="193"/>
      <c r="U1010" s="193"/>
      <c r="V1010" s="193"/>
      <c r="W1010" s="193"/>
      <c r="X1010" s="193"/>
      <c r="Y1010" s="193"/>
      <c r="Z1010" s="193"/>
      <c r="AA1010" s="193"/>
      <c r="AB1010" s="193"/>
      <c r="AC1010" s="193"/>
      <c r="AD1010" s="193"/>
      <c r="AE1010" s="193"/>
    </row>
    <row r="1011" ht="14.25" customHeight="1">
      <c r="A1011" s="191" t="s">
        <v>4131</v>
      </c>
      <c r="B1011" s="192" t="s">
        <v>4132</v>
      </c>
      <c r="C1011" s="191" t="s">
        <v>4133</v>
      </c>
      <c r="D1011" s="193"/>
      <c r="E1011" s="193"/>
      <c r="F1011" s="194" t="s">
        <v>4134</v>
      </c>
      <c r="G1011" s="193"/>
      <c r="H1011" s="193"/>
      <c r="I1011" s="193"/>
      <c r="J1011" s="193"/>
      <c r="K1011" s="193"/>
      <c r="L1011" s="193"/>
      <c r="M1011" s="193"/>
      <c r="N1011" s="193"/>
      <c r="O1011" s="193"/>
      <c r="P1011" s="193"/>
      <c r="Q1011" s="193"/>
      <c r="R1011" s="193"/>
      <c r="S1011" s="193"/>
      <c r="T1011" s="193"/>
      <c r="U1011" s="193"/>
      <c r="V1011" s="193"/>
      <c r="W1011" s="193"/>
      <c r="X1011" s="193"/>
      <c r="Y1011" s="193"/>
      <c r="Z1011" s="193"/>
      <c r="AA1011" s="193"/>
      <c r="AB1011" s="193"/>
      <c r="AC1011" s="193"/>
      <c r="AD1011" s="193"/>
      <c r="AE1011" s="193"/>
    </row>
    <row r="1012" ht="14.25" customHeight="1">
      <c r="A1012" s="191" t="s">
        <v>4135</v>
      </c>
      <c r="B1012" s="192" t="s">
        <v>4136</v>
      </c>
      <c r="C1012" s="191" t="s">
        <v>4137</v>
      </c>
      <c r="D1012" s="193"/>
      <c r="E1012" s="193"/>
      <c r="F1012" s="194" t="s">
        <v>4138</v>
      </c>
      <c r="G1012" s="193"/>
      <c r="H1012" s="193"/>
      <c r="I1012" s="193"/>
      <c r="J1012" s="193"/>
      <c r="K1012" s="193"/>
      <c r="L1012" s="193"/>
      <c r="M1012" s="193"/>
      <c r="N1012" s="193"/>
      <c r="O1012" s="193"/>
      <c r="P1012" s="193"/>
      <c r="Q1012" s="193"/>
      <c r="R1012" s="193"/>
      <c r="S1012" s="193"/>
      <c r="T1012" s="193"/>
      <c r="U1012" s="193"/>
      <c r="V1012" s="193"/>
      <c r="W1012" s="193"/>
      <c r="X1012" s="193"/>
      <c r="Y1012" s="193"/>
      <c r="Z1012" s="193"/>
      <c r="AA1012" s="193"/>
      <c r="AB1012" s="193"/>
      <c r="AC1012" s="193"/>
      <c r="AD1012" s="193"/>
      <c r="AE1012" s="193"/>
    </row>
    <row r="1013" ht="14.25" customHeight="1">
      <c r="A1013" s="191" t="s">
        <v>4139</v>
      </c>
      <c r="B1013" s="192" t="s">
        <v>4140</v>
      </c>
      <c r="C1013" s="191" t="s">
        <v>4141</v>
      </c>
      <c r="D1013" s="193"/>
      <c r="E1013" s="193"/>
      <c r="F1013" s="194" t="s">
        <v>4142</v>
      </c>
      <c r="G1013" s="193"/>
      <c r="H1013" s="193"/>
      <c r="I1013" s="193"/>
      <c r="J1013" s="193"/>
      <c r="K1013" s="193"/>
      <c r="L1013" s="193"/>
      <c r="M1013" s="193"/>
      <c r="N1013" s="193"/>
      <c r="O1013" s="193"/>
      <c r="P1013" s="193"/>
      <c r="Q1013" s="193"/>
      <c r="R1013" s="193"/>
      <c r="S1013" s="193"/>
      <c r="T1013" s="193"/>
      <c r="U1013" s="193"/>
      <c r="V1013" s="193"/>
      <c r="W1013" s="193"/>
      <c r="X1013" s="193"/>
      <c r="Y1013" s="193"/>
      <c r="Z1013" s="193"/>
      <c r="AA1013" s="193"/>
      <c r="AB1013" s="193"/>
      <c r="AC1013" s="193"/>
      <c r="AD1013" s="193"/>
      <c r="AE1013" s="193"/>
    </row>
    <row r="1014" ht="14.25" customHeight="1">
      <c r="A1014" s="191" t="s">
        <v>4143</v>
      </c>
      <c r="B1014" s="192" t="s">
        <v>4144</v>
      </c>
      <c r="C1014" s="191" t="s">
        <v>4145</v>
      </c>
      <c r="D1014" s="193"/>
      <c r="E1014" s="193"/>
      <c r="F1014" s="194" t="s">
        <v>4146</v>
      </c>
      <c r="G1014" s="193"/>
      <c r="H1014" s="193"/>
      <c r="I1014" s="193"/>
      <c r="J1014" s="193"/>
      <c r="K1014" s="193"/>
      <c r="L1014" s="193"/>
      <c r="M1014" s="193"/>
      <c r="N1014" s="193"/>
      <c r="O1014" s="193"/>
      <c r="P1014" s="193"/>
      <c r="Q1014" s="193"/>
      <c r="R1014" s="193"/>
      <c r="S1014" s="193"/>
      <c r="T1014" s="193"/>
      <c r="U1014" s="193"/>
      <c r="V1014" s="193"/>
      <c r="W1014" s="193"/>
      <c r="X1014" s="193"/>
      <c r="Y1014" s="193"/>
      <c r="Z1014" s="193"/>
      <c r="AA1014" s="193"/>
      <c r="AB1014" s="193"/>
      <c r="AC1014" s="193"/>
      <c r="AD1014" s="193"/>
      <c r="AE1014" s="193"/>
    </row>
    <row r="1015" ht="14.25" customHeight="1">
      <c r="A1015" s="191" t="s">
        <v>4147</v>
      </c>
      <c r="B1015" s="192" t="s">
        <v>4148</v>
      </c>
      <c r="C1015" s="191" t="s">
        <v>4149</v>
      </c>
      <c r="D1015" s="193"/>
      <c r="E1015" s="193"/>
      <c r="F1015" s="194" t="s">
        <v>4150</v>
      </c>
      <c r="G1015" s="193"/>
      <c r="H1015" s="193"/>
      <c r="I1015" s="193"/>
      <c r="J1015" s="193"/>
      <c r="K1015" s="193"/>
      <c r="L1015" s="193"/>
      <c r="M1015" s="193"/>
      <c r="N1015" s="193"/>
      <c r="O1015" s="193"/>
      <c r="P1015" s="193"/>
      <c r="Q1015" s="193"/>
      <c r="R1015" s="193"/>
      <c r="S1015" s="193"/>
      <c r="T1015" s="193"/>
      <c r="U1015" s="193"/>
      <c r="V1015" s="193"/>
      <c r="W1015" s="193"/>
      <c r="X1015" s="193"/>
      <c r="Y1015" s="193"/>
      <c r="Z1015" s="193"/>
      <c r="AA1015" s="193"/>
      <c r="AB1015" s="193"/>
      <c r="AC1015" s="193"/>
      <c r="AD1015" s="193"/>
      <c r="AE1015" s="193"/>
    </row>
    <row r="1016" ht="14.25" customHeight="1">
      <c r="A1016" s="191" t="s">
        <v>4151</v>
      </c>
      <c r="B1016" s="192" t="s">
        <v>4152</v>
      </c>
      <c r="C1016" s="191" t="s">
        <v>4153</v>
      </c>
      <c r="D1016" s="193"/>
      <c r="E1016" s="193"/>
      <c r="F1016" s="194" t="s">
        <v>4154</v>
      </c>
      <c r="G1016" s="193"/>
      <c r="H1016" s="193"/>
      <c r="I1016" s="193"/>
      <c r="J1016" s="193"/>
      <c r="K1016" s="193"/>
      <c r="L1016" s="193"/>
      <c r="M1016" s="193"/>
      <c r="N1016" s="193"/>
      <c r="O1016" s="193"/>
      <c r="P1016" s="193"/>
      <c r="Q1016" s="193"/>
      <c r="R1016" s="193"/>
      <c r="S1016" s="193"/>
      <c r="T1016" s="193"/>
      <c r="U1016" s="193"/>
      <c r="V1016" s="193"/>
      <c r="W1016" s="193"/>
      <c r="X1016" s="193"/>
      <c r="Y1016" s="193"/>
      <c r="Z1016" s="193"/>
      <c r="AA1016" s="193"/>
      <c r="AB1016" s="193"/>
      <c r="AC1016" s="193"/>
      <c r="AD1016" s="193"/>
      <c r="AE1016" s="193"/>
    </row>
    <row r="1017" ht="14.25" customHeight="1">
      <c r="A1017" s="191" t="s">
        <v>4155</v>
      </c>
      <c r="B1017" s="192" t="s">
        <v>4156</v>
      </c>
      <c r="C1017" s="191" t="s">
        <v>4157</v>
      </c>
      <c r="D1017" s="193"/>
      <c r="E1017" s="193"/>
      <c r="F1017" s="194" t="s">
        <v>4158</v>
      </c>
      <c r="G1017" s="193"/>
      <c r="H1017" s="193"/>
      <c r="I1017" s="193"/>
      <c r="J1017" s="193"/>
      <c r="K1017" s="193"/>
      <c r="L1017" s="193"/>
      <c r="M1017" s="193"/>
      <c r="N1017" s="193"/>
      <c r="O1017" s="193"/>
      <c r="P1017" s="193"/>
      <c r="Q1017" s="193"/>
      <c r="R1017" s="193"/>
      <c r="S1017" s="193"/>
      <c r="T1017" s="193"/>
      <c r="U1017" s="193"/>
      <c r="V1017" s="193"/>
      <c r="W1017" s="193"/>
      <c r="X1017" s="193"/>
      <c r="Y1017" s="193"/>
      <c r="Z1017" s="193"/>
      <c r="AA1017" s="193"/>
      <c r="AB1017" s="193"/>
      <c r="AC1017" s="193"/>
      <c r="AD1017" s="193"/>
      <c r="AE1017" s="193"/>
    </row>
    <row r="1018" ht="14.25" customHeight="1">
      <c r="A1018" s="191" t="s">
        <v>4159</v>
      </c>
      <c r="B1018" s="192" t="s">
        <v>4160</v>
      </c>
      <c r="C1018" s="191" t="s">
        <v>4161</v>
      </c>
      <c r="D1018" s="193"/>
      <c r="E1018" s="193"/>
      <c r="F1018" s="194" t="s">
        <v>4162</v>
      </c>
      <c r="G1018" s="193"/>
      <c r="H1018" s="193"/>
      <c r="I1018" s="193"/>
      <c r="J1018" s="193"/>
      <c r="K1018" s="193"/>
      <c r="L1018" s="193"/>
      <c r="M1018" s="193"/>
      <c r="N1018" s="193"/>
      <c r="O1018" s="193"/>
      <c r="P1018" s="193"/>
      <c r="Q1018" s="193"/>
      <c r="R1018" s="193"/>
      <c r="S1018" s="193"/>
      <c r="T1018" s="193"/>
      <c r="U1018" s="193"/>
      <c r="V1018" s="193"/>
      <c r="W1018" s="193"/>
      <c r="X1018" s="193"/>
      <c r="Y1018" s="193"/>
      <c r="Z1018" s="193"/>
      <c r="AA1018" s="193"/>
      <c r="AB1018" s="193"/>
      <c r="AC1018" s="193"/>
      <c r="AD1018" s="193"/>
      <c r="AE1018" s="193"/>
    </row>
    <row r="1019" ht="14.25" customHeight="1">
      <c r="A1019" s="191" t="s">
        <v>4163</v>
      </c>
      <c r="B1019" s="192" t="s">
        <v>4164</v>
      </c>
      <c r="C1019" s="191" t="s">
        <v>4165</v>
      </c>
      <c r="D1019" s="193"/>
      <c r="E1019" s="193"/>
      <c r="F1019" s="194" t="s">
        <v>4166</v>
      </c>
      <c r="G1019" s="193"/>
      <c r="H1019" s="193"/>
      <c r="I1019" s="193"/>
      <c r="J1019" s="193"/>
      <c r="K1019" s="193"/>
      <c r="L1019" s="193"/>
      <c r="M1019" s="193"/>
      <c r="N1019" s="193"/>
      <c r="O1019" s="193"/>
      <c r="P1019" s="193"/>
      <c r="Q1019" s="193"/>
      <c r="R1019" s="193"/>
      <c r="S1019" s="193"/>
      <c r="T1019" s="193"/>
      <c r="U1019" s="193"/>
      <c r="V1019" s="193"/>
      <c r="W1019" s="193"/>
      <c r="X1019" s="193"/>
      <c r="Y1019" s="193"/>
      <c r="Z1019" s="193"/>
      <c r="AA1019" s="193"/>
      <c r="AB1019" s="193"/>
      <c r="AC1019" s="193"/>
      <c r="AD1019" s="193"/>
      <c r="AE1019" s="193"/>
    </row>
    <row r="1020" ht="14.25" customHeight="1">
      <c r="A1020" s="191" t="s">
        <v>4167</v>
      </c>
      <c r="B1020" s="192" t="s">
        <v>4168</v>
      </c>
      <c r="C1020" s="191" t="s">
        <v>4169</v>
      </c>
      <c r="D1020" s="193"/>
      <c r="E1020" s="193"/>
      <c r="F1020" s="194" t="s">
        <v>4170</v>
      </c>
      <c r="G1020" s="193"/>
      <c r="H1020" s="193"/>
      <c r="I1020" s="193"/>
      <c r="J1020" s="193"/>
      <c r="K1020" s="193"/>
      <c r="L1020" s="193"/>
      <c r="M1020" s="193"/>
      <c r="N1020" s="193"/>
      <c r="O1020" s="193"/>
      <c r="P1020" s="193"/>
      <c r="Q1020" s="193"/>
      <c r="R1020" s="193"/>
      <c r="S1020" s="193"/>
      <c r="T1020" s="193"/>
      <c r="U1020" s="193"/>
      <c r="V1020" s="193"/>
      <c r="W1020" s="193"/>
      <c r="X1020" s="193"/>
      <c r="Y1020" s="193"/>
      <c r="Z1020" s="193"/>
      <c r="AA1020" s="193"/>
      <c r="AB1020" s="193"/>
      <c r="AC1020" s="193"/>
      <c r="AD1020" s="193"/>
      <c r="AE1020" s="193"/>
    </row>
    <row r="1021" ht="14.25" customHeight="1">
      <c r="A1021" s="191" t="s">
        <v>4171</v>
      </c>
      <c r="B1021" s="192" t="s">
        <v>4172</v>
      </c>
      <c r="C1021" s="191" t="s">
        <v>4173</v>
      </c>
      <c r="D1021" s="193"/>
      <c r="E1021" s="193"/>
      <c r="F1021" s="194" t="s">
        <v>4174</v>
      </c>
      <c r="G1021" s="193"/>
      <c r="H1021" s="193"/>
      <c r="I1021" s="193"/>
      <c r="J1021" s="193"/>
      <c r="K1021" s="193"/>
      <c r="L1021" s="193"/>
      <c r="M1021" s="193"/>
      <c r="N1021" s="193"/>
      <c r="O1021" s="193"/>
      <c r="P1021" s="193"/>
      <c r="Q1021" s="193"/>
      <c r="R1021" s="193"/>
      <c r="S1021" s="193"/>
      <c r="T1021" s="193"/>
      <c r="U1021" s="193"/>
      <c r="V1021" s="193"/>
      <c r="W1021" s="193"/>
      <c r="X1021" s="193"/>
      <c r="Y1021" s="193"/>
      <c r="Z1021" s="193"/>
      <c r="AA1021" s="193"/>
      <c r="AB1021" s="193"/>
      <c r="AC1021" s="193"/>
      <c r="AD1021" s="193"/>
      <c r="AE1021" s="193"/>
    </row>
    <row r="1022" ht="14.25" customHeight="1">
      <c r="A1022" s="191" t="s">
        <v>4175</v>
      </c>
      <c r="B1022" s="192" t="s">
        <v>4176</v>
      </c>
      <c r="C1022" s="191" t="s">
        <v>4177</v>
      </c>
      <c r="D1022" s="193"/>
      <c r="E1022" s="193"/>
      <c r="F1022" s="194" t="s">
        <v>4178</v>
      </c>
      <c r="G1022" s="193"/>
      <c r="H1022" s="193"/>
      <c r="I1022" s="193"/>
      <c r="J1022" s="193"/>
      <c r="K1022" s="193"/>
      <c r="L1022" s="193"/>
      <c r="M1022" s="193"/>
      <c r="N1022" s="193"/>
      <c r="O1022" s="193"/>
      <c r="P1022" s="193"/>
      <c r="Q1022" s="193"/>
      <c r="R1022" s="193"/>
      <c r="S1022" s="193"/>
      <c r="T1022" s="193"/>
      <c r="U1022" s="193"/>
      <c r="V1022" s="193"/>
      <c r="W1022" s="193"/>
      <c r="X1022" s="193"/>
      <c r="Y1022" s="193"/>
      <c r="Z1022" s="193"/>
      <c r="AA1022" s="193"/>
      <c r="AB1022" s="193"/>
      <c r="AC1022" s="193"/>
      <c r="AD1022" s="193"/>
      <c r="AE1022" s="193"/>
    </row>
    <row r="1023" ht="14.25" customHeight="1">
      <c r="A1023" s="191" t="s">
        <v>4179</v>
      </c>
      <c r="B1023" s="192" t="s">
        <v>4180</v>
      </c>
      <c r="C1023" s="191" t="s">
        <v>4181</v>
      </c>
      <c r="D1023" s="193"/>
      <c r="E1023" s="193"/>
      <c r="F1023" s="194" t="s">
        <v>4182</v>
      </c>
      <c r="G1023" s="193"/>
      <c r="H1023" s="193"/>
      <c r="I1023" s="193"/>
      <c r="J1023" s="193"/>
      <c r="K1023" s="193"/>
      <c r="L1023" s="193"/>
      <c r="M1023" s="193"/>
      <c r="N1023" s="193"/>
      <c r="O1023" s="193"/>
      <c r="P1023" s="193"/>
      <c r="Q1023" s="193"/>
      <c r="R1023" s="193"/>
      <c r="S1023" s="193"/>
      <c r="T1023" s="193"/>
      <c r="U1023" s="193"/>
      <c r="V1023" s="193"/>
      <c r="W1023" s="193"/>
      <c r="X1023" s="193"/>
      <c r="Y1023" s="193"/>
      <c r="Z1023" s="193"/>
      <c r="AA1023" s="193"/>
      <c r="AB1023" s="193"/>
      <c r="AC1023" s="193"/>
      <c r="AD1023" s="193"/>
      <c r="AE1023" s="193"/>
    </row>
    <row r="1024" ht="14.25" customHeight="1">
      <c r="A1024" s="191" t="s">
        <v>4183</v>
      </c>
      <c r="B1024" s="192" t="s">
        <v>4184</v>
      </c>
      <c r="C1024" s="191" t="s">
        <v>4185</v>
      </c>
      <c r="D1024" s="193"/>
      <c r="E1024" s="193"/>
      <c r="F1024" s="195"/>
      <c r="G1024" s="193"/>
      <c r="H1024" s="193"/>
      <c r="I1024" s="193"/>
      <c r="J1024" s="193"/>
      <c r="K1024" s="193"/>
      <c r="L1024" s="193"/>
      <c r="M1024" s="193"/>
      <c r="N1024" s="193"/>
      <c r="O1024" s="193"/>
      <c r="P1024" s="193"/>
      <c r="Q1024" s="193"/>
      <c r="R1024" s="193"/>
      <c r="S1024" s="193"/>
      <c r="T1024" s="193"/>
      <c r="U1024" s="193"/>
      <c r="V1024" s="193"/>
      <c r="W1024" s="193"/>
      <c r="X1024" s="193"/>
      <c r="Y1024" s="193"/>
      <c r="Z1024" s="193"/>
      <c r="AA1024" s="193"/>
      <c r="AB1024" s="193"/>
      <c r="AC1024" s="193"/>
      <c r="AD1024" s="193"/>
      <c r="AE1024" s="193"/>
    </row>
    <row r="1025" ht="14.25" customHeight="1">
      <c r="A1025" s="191" t="s">
        <v>4186</v>
      </c>
      <c r="B1025" s="192" t="s">
        <v>4187</v>
      </c>
      <c r="C1025" s="191" t="s">
        <v>4188</v>
      </c>
      <c r="D1025" s="193"/>
      <c r="E1025" s="193"/>
      <c r="F1025" s="195"/>
      <c r="G1025" s="193"/>
      <c r="H1025" s="193"/>
      <c r="I1025" s="193"/>
      <c r="J1025" s="193"/>
      <c r="K1025" s="193"/>
      <c r="L1025" s="193"/>
      <c r="M1025" s="193"/>
      <c r="N1025" s="193"/>
      <c r="O1025" s="193"/>
      <c r="P1025" s="193"/>
      <c r="Q1025" s="193"/>
      <c r="R1025" s="193"/>
      <c r="S1025" s="193"/>
      <c r="T1025" s="193"/>
      <c r="U1025" s="193"/>
      <c r="V1025" s="193"/>
      <c r="W1025" s="193"/>
      <c r="X1025" s="193"/>
      <c r="Y1025" s="193"/>
      <c r="Z1025" s="193"/>
      <c r="AA1025" s="193"/>
      <c r="AB1025" s="193"/>
      <c r="AC1025" s="193"/>
      <c r="AD1025" s="193"/>
      <c r="AE1025" s="193"/>
    </row>
    <row r="1026" ht="14.25" customHeight="1">
      <c r="A1026" s="191" t="s">
        <v>4189</v>
      </c>
      <c r="B1026" s="192" t="s">
        <v>4190</v>
      </c>
      <c r="C1026" s="191" t="s">
        <v>4191</v>
      </c>
      <c r="D1026" s="193"/>
      <c r="E1026" s="193"/>
      <c r="F1026" s="195"/>
      <c r="G1026" s="193"/>
      <c r="H1026" s="193"/>
      <c r="I1026" s="193"/>
      <c r="J1026" s="193"/>
      <c r="K1026" s="193"/>
      <c r="L1026" s="193"/>
      <c r="M1026" s="193"/>
      <c r="N1026" s="193"/>
      <c r="O1026" s="193"/>
      <c r="P1026" s="193"/>
      <c r="Q1026" s="193"/>
      <c r="R1026" s="193"/>
      <c r="S1026" s="193"/>
      <c r="T1026" s="193"/>
      <c r="U1026" s="193"/>
      <c r="V1026" s="193"/>
      <c r="W1026" s="193"/>
      <c r="X1026" s="193"/>
      <c r="Y1026" s="193"/>
      <c r="Z1026" s="193"/>
      <c r="AA1026" s="193"/>
      <c r="AB1026" s="193"/>
      <c r="AC1026" s="193"/>
      <c r="AD1026" s="193"/>
      <c r="AE1026" s="193"/>
    </row>
    <row r="1027" ht="14.25" customHeight="1">
      <c r="A1027" s="191" t="s">
        <v>4192</v>
      </c>
      <c r="B1027" s="192" t="s">
        <v>4193</v>
      </c>
      <c r="C1027" s="191" t="s">
        <v>4194</v>
      </c>
      <c r="D1027" s="193"/>
      <c r="E1027" s="193"/>
      <c r="F1027" s="195"/>
      <c r="G1027" s="193"/>
      <c r="H1027" s="193"/>
      <c r="I1027" s="193"/>
      <c r="J1027" s="193"/>
      <c r="K1027" s="193"/>
      <c r="L1027" s="193"/>
      <c r="M1027" s="193"/>
      <c r="N1027" s="193"/>
      <c r="O1027" s="193"/>
      <c r="P1027" s="193"/>
      <c r="Q1027" s="193"/>
      <c r="R1027" s="193"/>
      <c r="S1027" s="193"/>
      <c r="T1027" s="193"/>
      <c r="U1027" s="193"/>
      <c r="V1027" s="193"/>
      <c r="W1027" s="193"/>
      <c r="X1027" s="193"/>
      <c r="Y1027" s="193"/>
      <c r="Z1027" s="193"/>
      <c r="AA1027" s="193"/>
      <c r="AB1027" s="193"/>
      <c r="AC1027" s="193"/>
      <c r="AD1027" s="193"/>
      <c r="AE1027" s="193"/>
    </row>
    <row r="1028" ht="14.25" customHeight="1">
      <c r="A1028" s="191" t="s">
        <v>4195</v>
      </c>
      <c r="B1028" s="192" t="s">
        <v>4196</v>
      </c>
      <c r="C1028" s="191" t="s">
        <v>4197</v>
      </c>
      <c r="D1028" s="193"/>
      <c r="E1028" s="193"/>
      <c r="F1028" s="195"/>
      <c r="G1028" s="193"/>
      <c r="H1028" s="193"/>
      <c r="I1028" s="193"/>
      <c r="J1028" s="193"/>
      <c r="K1028" s="193"/>
      <c r="L1028" s="193"/>
      <c r="M1028" s="193"/>
      <c r="N1028" s="193"/>
      <c r="O1028" s="193"/>
      <c r="P1028" s="193"/>
      <c r="Q1028" s="193"/>
      <c r="R1028" s="193"/>
      <c r="S1028" s="193"/>
      <c r="T1028" s="193"/>
      <c r="U1028" s="193"/>
      <c r="V1028" s="193"/>
      <c r="W1028" s="193"/>
      <c r="X1028" s="193"/>
      <c r="Y1028" s="193"/>
      <c r="Z1028" s="193"/>
      <c r="AA1028" s="193"/>
      <c r="AB1028" s="193"/>
      <c r="AC1028" s="193"/>
      <c r="AD1028" s="193"/>
      <c r="AE1028" s="193"/>
    </row>
    <row r="1029" ht="14.25" customHeight="1">
      <c r="A1029" s="191" t="s">
        <v>4198</v>
      </c>
      <c r="B1029" s="192" t="s">
        <v>4199</v>
      </c>
      <c r="C1029" s="191" t="s">
        <v>4200</v>
      </c>
      <c r="D1029" s="193"/>
      <c r="E1029" s="193"/>
      <c r="F1029" s="195"/>
      <c r="G1029" s="193"/>
      <c r="H1029" s="193"/>
      <c r="I1029" s="193"/>
      <c r="J1029" s="193"/>
      <c r="K1029" s="193"/>
      <c r="L1029" s="193"/>
      <c r="M1029" s="193"/>
      <c r="N1029" s="193"/>
      <c r="O1029" s="193"/>
      <c r="P1029" s="193"/>
      <c r="Q1029" s="193"/>
      <c r="R1029" s="193"/>
      <c r="S1029" s="193"/>
      <c r="T1029" s="193"/>
      <c r="U1029" s="193"/>
      <c r="V1029" s="193"/>
      <c r="W1029" s="193"/>
      <c r="X1029" s="193"/>
      <c r="Y1029" s="193"/>
      <c r="Z1029" s="193"/>
      <c r="AA1029" s="193"/>
      <c r="AB1029" s="193"/>
      <c r="AC1029" s="193"/>
      <c r="AD1029" s="193"/>
      <c r="AE1029" s="193"/>
    </row>
    <row r="1030" ht="14.25" customHeight="1">
      <c r="A1030" s="191" t="s">
        <v>4201</v>
      </c>
      <c r="B1030" s="192" t="s">
        <v>4202</v>
      </c>
      <c r="C1030" s="191" t="s">
        <v>4203</v>
      </c>
      <c r="D1030" s="193"/>
      <c r="E1030" s="193"/>
      <c r="F1030" s="195"/>
      <c r="G1030" s="193"/>
      <c r="H1030" s="193"/>
      <c r="I1030" s="193"/>
      <c r="J1030" s="193"/>
      <c r="K1030" s="193"/>
      <c r="L1030" s="193"/>
      <c r="M1030" s="193"/>
      <c r="N1030" s="193"/>
      <c r="O1030" s="193"/>
      <c r="P1030" s="193"/>
      <c r="Q1030" s="193"/>
      <c r="R1030" s="193"/>
      <c r="S1030" s="193"/>
      <c r="T1030" s="193"/>
      <c r="U1030" s="193"/>
      <c r="V1030" s="193"/>
      <c r="W1030" s="193"/>
      <c r="X1030" s="193"/>
      <c r="Y1030" s="193"/>
      <c r="Z1030" s="193"/>
      <c r="AA1030" s="193"/>
      <c r="AB1030" s="193"/>
      <c r="AC1030" s="193"/>
      <c r="AD1030" s="193"/>
      <c r="AE1030" s="193"/>
    </row>
    <row r="1031" ht="14.25" customHeight="1">
      <c r="A1031" s="191" t="s">
        <v>4204</v>
      </c>
      <c r="B1031" s="192" t="s">
        <v>4205</v>
      </c>
      <c r="C1031" s="191" t="s">
        <v>4206</v>
      </c>
      <c r="D1031" s="193"/>
      <c r="E1031" s="193"/>
      <c r="F1031" s="195"/>
      <c r="G1031" s="193"/>
      <c r="H1031" s="193"/>
      <c r="I1031" s="193"/>
      <c r="J1031" s="193"/>
      <c r="K1031" s="193"/>
      <c r="L1031" s="193"/>
      <c r="M1031" s="193"/>
      <c r="N1031" s="193"/>
      <c r="O1031" s="193"/>
      <c r="P1031" s="193"/>
      <c r="Q1031" s="193"/>
      <c r="R1031" s="193"/>
      <c r="S1031" s="193"/>
      <c r="T1031" s="193"/>
      <c r="U1031" s="193"/>
      <c r="V1031" s="193"/>
      <c r="W1031" s="193"/>
      <c r="X1031" s="193"/>
      <c r="Y1031" s="193"/>
      <c r="Z1031" s="193"/>
      <c r="AA1031" s="193"/>
      <c r="AB1031" s="193"/>
      <c r="AC1031" s="193"/>
      <c r="AD1031" s="193"/>
      <c r="AE1031" s="193"/>
    </row>
    <row r="1032" ht="14.25" customHeight="1">
      <c r="A1032" s="191" t="s">
        <v>4207</v>
      </c>
      <c r="B1032" s="192" t="s">
        <v>4208</v>
      </c>
      <c r="C1032" s="191" t="s">
        <v>4209</v>
      </c>
      <c r="D1032" s="193"/>
      <c r="E1032" s="193"/>
      <c r="F1032" s="195"/>
      <c r="G1032" s="193"/>
      <c r="H1032" s="193"/>
      <c r="I1032" s="193"/>
      <c r="J1032" s="193"/>
      <c r="K1032" s="193"/>
      <c r="L1032" s="193"/>
      <c r="M1032" s="193"/>
      <c r="N1032" s="193"/>
      <c r="O1032" s="193"/>
      <c r="P1032" s="193"/>
      <c r="Q1032" s="193"/>
      <c r="R1032" s="193"/>
      <c r="S1032" s="193"/>
      <c r="T1032" s="193"/>
      <c r="U1032" s="193"/>
      <c r="V1032" s="193"/>
      <c r="W1032" s="193"/>
      <c r="X1032" s="193"/>
      <c r="Y1032" s="193"/>
      <c r="Z1032" s="193"/>
      <c r="AA1032" s="193"/>
      <c r="AB1032" s="193"/>
      <c r="AC1032" s="193"/>
      <c r="AD1032" s="193"/>
      <c r="AE1032" s="193"/>
    </row>
    <row r="1033" ht="14.25" customHeight="1">
      <c r="A1033" s="191" t="s">
        <v>4210</v>
      </c>
      <c r="B1033" s="192" t="s">
        <v>4211</v>
      </c>
      <c r="C1033" s="191" t="s">
        <v>4212</v>
      </c>
      <c r="D1033" s="193"/>
      <c r="E1033" s="193"/>
      <c r="F1033" s="195"/>
      <c r="G1033" s="193"/>
      <c r="H1033" s="193"/>
      <c r="I1033" s="193"/>
      <c r="J1033" s="193"/>
      <c r="K1033" s="193"/>
      <c r="L1033" s="193"/>
      <c r="M1033" s="193"/>
      <c r="N1033" s="193"/>
      <c r="O1033" s="193"/>
      <c r="P1033" s="193"/>
      <c r="Q1033" s="193"/>
      <c r="R1033" s="193"/>
      <c r="S1033" s="193"/>
      <c r="T1033" s="193"/>
      <c r="U1033" s="193"/>
      <c r="V1033" s="193"/>
      <c r="W1033" s="193"/>
      <c r="X1033" s="193"/>
      <c r="Y1033" s="193"/>
      <c r="Z1033" s="193"/>
      <c r="AA1033" s="193"/>
      <c r="AB1033" s="193"/>
      <c r="AC1033" s="193"/>
      <c r="AD1033" s="193"/>
      <c r="AE1033" s="193"/>
    </row>
    <row r="1034" ht="14.25" customHeight="1">
      <c r="A1034" s="191" t="s">
        <v>4213</v>
      </c>
      <c r="B1034" s="192" t="s">
        <v>4214</v>
      </c>
      <c r="C1034" s="191" t="s">
        <v>4215</v>
      </c>
      <c r="D1034" s="193"/>
      <c r="E1034" s="193"/>
      <c r="F1034" s="194" t="s">
        <v>4216</v>
      </c>
      <c r="G1034" s="193"/>
      <c r="H1034" s="193"/>
      <c r="I1034" s="193"/>
      <c r="J1034" s="193"/>
      <c r="K1034" s="193"/>
      <c r="L1034" s="193"/>
      <c r="M1034" s="193"/>
      <c r="N1034" s="193"/>
      <c r="O1034" s="193"/>
      <c r="P1034" s="193"/>
      <c r="Q1034" s="193"/>
      <c r="R1034" s="193"/>
      <c r="S1034" s="193"/>
      <c r="T1034" s="193"/>
      <c r="U1034" s="193"/>
      <c r="V1034" s="193"/>
      <c r="W1034" s="193"/>
      <c r="X1034" s="193"/>
      <c r="Y1034" s="193"/>
      <c r="Z1034" s="193"/>
      <c r="AA1034" s="193"/>
      <c r="AB1034" s="193"/>
      <c r="AC1034" s="193"/>
      <c r="AD1034" s="193"/>
      <c r="AE1034" s="193"/>
    </row>
    <row r="1035" ht="14.25" customHeight="1">
      <c r="A1035" s="191" t="s">
        <v>4217</v>
      </c>
      <c r="B1035" s="192" t="s">
        <v>4218</v>
      </c>
      <c r="C1035" s="191" t="s">
        <v>4219</v>
      </c>
      <c r="D1035" s="193"/>
      <c r="E1035" s="193"/>
      <c r="F1035" s="194" t="s">
        <v>4220</v>
      </c>
      <c r="G1035" s="193"/>
      <c r="H1035" s="193"/>
      <c r="I1035" s="193"/>
      <c r="J1035" s="193"/>
      <c r="K1035" s="193"/>
      <c r="L1035" s="193"/>
      <c r="M1035" s="193"/>
      <c r="N1035" s="193"/>
      <c r="O1035" s="193"/>
      <c r="P1035" s="193"/>
      <c r="Q1035" s="193"/>
      <c r="R1035" s="193"/>
      <c r="S1035" s="193"/>
      <c r="T1035" s="193"/>
      <c r="U1035" s="193"/>
      <c r="V1035" s="193"/>
      <c r="W1035" s="193"/>
      <c r="X1035" s="193"/>
      <c r="Y1035" s="193"/>
      <c r="Z1035" s="193"/>
      <c r="AA1035" s="193"/>
      <c r="AB1035" s="193"/>
      <c r="AC1035" s="193"/>
      <c r="AD1035" s="193"/>
      <c r="AE1035" s="193"/>
    </row>
    <row r="1036" ht="14.25" customHeight="1">
      <c r="A1036" s="191" t="s">
        <v>4221</v>
      </c>
      <c r="B1036" s="192" t="s">
        <v>4222</v>
      </c>
      <c r="C1036" s="191" t="s">
        <v>4223</v>
      </c>
      <c r="D1036" s="193"/>
      <c r="E1036" s="193"/>
      <c r="F1036" s="194" t="s">
        <v>4224</v>
      </c>
      <c r="G1036" s="193"/>
      <c r="H1036" s="193"/>
      <c r="I1036" s="193"/>
      <c r="J1036" s="193"/>
      <c r="K1036" s="193"/>
      <c r="L1036" s="193"/>
      <c r="M1036" s="193"/>
      <c r="N1036" s="193"/>
      <c r="O1036" s="193"/>
      <c r="P1036" s="193"/>
      <c r="Q1036" s="193"/>
      <c r="R1036" s="193"/>
      <c r="S1036" s="193"/>
      <c r="T1036" s="193"/>
      <c r="U1036" s="193"/>
      <c r="V1036" s="193"/>
      <c r="W1036" s="193"/>
      <c r="X1036" s="193"/>
      <c r="Y1036" s="193"/>
      <c r="Z1036" s="193"/>
      <c r="AA1036" s="193"/>
      <c r="AB1036" s="193"/>
      <c r="AC1036" s="193"/>
      <c r="AD1036" s="193"/>
      <c r="AE1036" s="193"/>
    </row>
    <row r="1037" ht="14.25" customHeight="1">
      <c r="A1037" s="191" t="s">
        <v>4225</v>
      </c>
      <c r="B1037" s="192" t="s">
        <v>4226</v>
      </c>
      <c r="C1037" s="191" t="s">
        <v>4227</v>
      </c>
      <c r="D1037" s="193"/>
      <c r="E1037" s="193"/>
      <c r="F1037" s="194" t="s">
        <v>4228</v>
      </c>
      <c r="G1037" s="193"/>
      <c r="H1037" s="193"/>
      <c r="I1037" s="193"/>
      <c r="J1037" s="193"/>
      <c r="K1037" s="193"/>
      <c r="L1037" s="193"/>
      <c r="M1037" s="193"/>
      <c r="N1037" s="193"/>
      <c r="O1037" s="193"/>
      <c r="P1037" s="193"/>
      <c r="Q1037" s="193"/>
      <c r="R1037" s="193"/>
      <c r="S1037" s="193"/>
      <c r="T1037" s="193"/>
      <c r="U1037" s="193"/>
      <c r="V1037" s="193"/>
      <c r="W1037" s="193"/>
      <c r="X1037" s="193"/>
      <c r="Y1037" s="193"/>
      <c r="Z1037" s="193"/>
      <c r="AA1037" s="193"/>
      <c r="AB1037" s="193"/>
      <c r="AC1037" s="193"/>
      <c r="AD1037" s="193"/>
      <c r="AE1037" s="193"/>
    </row>
    <row r="1038" ht="14.25" customHeight="1">
      <c r="A1038" s="191" t="s">
        <v>4229</v>
      </c>
      <c r="B1038" s="192" t="s">
        <v>4230</v>
      </c>
      <c r="C1038" s="191" t="s">
        <v>4231</v>
      </c>
      <c r="D1038" s="193"/>
      <c r="E1038" s="193"/>
      <c r="F1038" s="194" t="s">
        <v>4232</v>
      </c>
      <c r="G1038" s="193"/>
      <c r="H1038" s="193"/>
      <c r="I1038" s="193"/>
      <c r="J1038" s="193"/>
      <c r="K1038" s="193"/>
      <c r="L1038" s="193"/>
      <c r="M1038" s="193"/>
      <c r="N1038" s="193"/>
      <c r="O1038" s="193"/>
      <c r="P1038" s="193"/>
      <c r="Q1038" s="193"/>
      <c r="R1038" s="193"/>
      <c r="S1038" s="193"/>
      <c r="T1038" s="193"/>
      <c r="U1038" s="193"/>
      <c r="V1038" s="193"/>
      <c r="W1038" s="193"/>
      <c r="X1038" s="193"/>
      <c r="Y1038" s="193"/>
      <c r="Z1038" s="193"/>
      <c r="AA1038" s="193"/>
      <c r="AB1038" s="193"/>
      <c r="AC1038" s="193"/>
      <c r="AD1038" s="193"/>
      <c r="AE1038" s="193"/>
    </row>
    <row r="1039" ht="14.25" customHeight="1">
      <c r="A1039" s="191" t="s">
        <v>4233</v>
      </c>
      <c r="B1039" s="192" t="s">
        <v>4234</v>
      </c>
      <c r="C1039" s="191" t="s">
        <v>4235</v>
      </c>
      <c r="D1039" s="193"/>
      <c r="E1039" s="193"/>
      <c r="F1039" s="194" t="s">
        <v>4236</v>
      </c>
      <c r="G1039" s="193"/>
      <c r="H1039" s="193"/>
      <c r="I1039" s="193"/>
      <c r="J1039" s="193"/>
      <c r="K1039" s="193"/>
      <c r="L1039" s="193"/>
      <c r="M1039" s="193"/>
      <c r="N1039" s="193"/>
      <c r="O1039" s="193"/>
      <c r="P1039" s="193"/>
      <c r="Q1039" s="193"/>
      <c r="R1039" s="193"/>
      <c r="S1039" s="193"/>
      <c r="T1039" s="193"/>
      <c r="U1039" s="193"/>
      <c r="V1039" s="193"/>
      <c r="W1039" s="193"/>
      <c r="X1039" s="193"/>
      <c r="Y1039" s="193"/>
      <c r="Z1039" s="193"/>
      <c r="AA1039" s="193"/>
      <c r="AB1039" s="193"/>
      <c r="AC1039" s="193"/>
      <c r="AD1039" s="193"/>
      <c r="AE1039" s="193"/>
    </row>
    <row r="1040" ht="14.25" customHeight="1">
      <c r="A1040" s="191" t="s">
        <v>4237</v>
      </c>
      <c r="B1040" s="192" t="s">
        <v>4238</v>
      </c>
      <c r="C1040" s="191" t="s">
        <v>4239</v>
      </c>
      <c r="D1040" s="193"/>
      <c r="E1040" s="193"/>
      <c r="F1040" s="194" t="s">
        <v>4240</v>
      </c>
      <c r="G1040" s="193"/>
      <c r="H1040" s="193"/>
      <c r="I1040" s="193"/>
      <c r="J1040" s="193"/>
      <c r="K1040" s="193"/>
      <c r="L1040" s="193"/>
      <c r="M1040" s="193"/>
      <c r="N1040" s="193"/>
      <c r="O1040" s="193"/>
      <c r="P1040" s="193"/>
      <c r="Q1040" s="193"/>
      <c r="R1040" s="193"/>
      <c r="S1040" s="193"/>
      <c r="T1040" s="193"/>
      <c r="U1040" s="193"/>
      <c r="V1040" s="193"/>
      <c r="W1040" s="193"/>
      <c r="X1040" s="193"/>
      <c r="Y1040" s="193"/>
      <c r="Z1040" s="193"/>
      <c r="AA1040" s="193"/>
      <c r="AB1040" s="193"/>
      <c r="AC1040" s="193"/>
      <c r="AD1040" s="193"/>
      <c r="AE1040" s="193"/>
    </row>
    <row r="1041" ht="14.25" customHeight="1">
      <c r="A1041" s="191" t="s">
        <v>4241</v>
      </c>
      <c r="B1041" s="192" t="s">
        <v>4242</v>
      </c>
      <c r="C1041" s="191" t="s">
        <v>4243</v>
      </c>
      <c r="D1041" s="193"/>
      <c r="E1041" s="193"/>
      <c r="F1041" s="194" t="s">
        <v>4244</v>
      </c>
      <c r="G1041" s="193"/>
      <c r="H1041" s="193"/>
      <c r="I1041" s="193"/>
      <c r="J1041" s="193"/>
      <c r="K1041" s="193"/>
      <c r="L1041" s="193"/>
      <c r="M1041" s="193"/>
      <c r="N1041" s="193"/>
      <c r="O1041" s="193"/>
      <c r="P1041" s="193"/>
      <c r="Q1041" s="193"/>
      <c r="R1041" s="193"/>
      <c r="S1041" s="193"/>
      <c r="T1041" s="193"/>
      <c r="U1041" s="193"/>
      <c r="V1041" s="193"/>
      <c r="W1041" s="193"/>
      <c r="X1041" s="193"/>
      <c r="Y1041" s="193"/>
      <c r="Z1041" s="193"/>
      <c r="AA1041" s="193"/>
      <c r="AB1041" s="193"/>
      <c r="AC1041" s="193"/>
      <c r="AD1041" s="193"/>
      <c r="AE1041" s="193"/>
    </row>
    <row r="1042" ht="14.25" customHeight="1">
      <c r="A1042" s="191" t="s">
        <v>4245</v>
      </c>
      <c r="B1042" s="192" t="s">
        <v>4246</v>
      </c>
      <c r="C1042" s="191" t="s">
        <v>4247</v>
      </c>
      <c r="D1042" s="193"/>
      <c r="E1042" s="193"/>
      <c r="F1042" s="194" t="s">
        <v>4248</v>
      </c>
      <c r="G1042" s="193"/>
      <c r="H1042" s="193"/>
      <c r="I1042" s="193"/>
      <c r="J1042" s="193"/>
      <c r="K1042" s="193"/>
      <c r="L1042" s="193"/>
      <c r="M1042" s="193"/>
      <c r="N1042" s="193"/>
      <c r="O1042" s="193"/>
      <c r="P1042" s="193"/>
      <c r="Q1042" s="193"/>
      <c r="R1042" s="193"/>
      <c r="S1042" s="193"/>
      <c r="T1042" s="193"/>
      <c r="U1042" s="193"/>
      <c r="V1042" s="193"/>
      <c r="W1042" s="193"/>
      <c r="X1042" s="193"/>
      <c r="Y1042" s="193"/>
      <c r="Z1042" s="193"/>
      <c r="AA1042" s="193"/>
      <c r="AB1042" s="193"/>
      <c r="AC1042" s="193"/>
      <c r="AD1042" s="193"/>
      <c r="AE1042" s="193"/>
    </row>
    <row r="1043" ht="14.25" customHeight="1">
      <c r="A1043" s="191" t="s">
        <v>4249</v>
      </c>
      <c r="B1043" s="192" t="s">
        <v>4250</v>
      </c>
      <c r="C1043" s="191" t="s">
        <v>4251</v>
      </c>
      <c r="D1043" s="193"/>
      <c r="E1043" s="193"/>
      <c r="F1043" s="194" t="s">
        <v>4252</v>
      </c>
      <c r="G1043" s="193"/>
      <c r="H1043" s="193"/>
      <c r="I1043" s="193"/>
      <c r="J1043" s="193"/>
      <c r="K1043" s="193"/>
      <c r="L1043" s="193"/>
      <c r="M1043" s="193"/>
      <c r="N1043" s="193"/>
      <c r="O1043" s="193"/>
      <c r="P1043" s="193"/>
      <c r="Q1043" s="193"/>
      <c r="R1043" s="193"/>
      <c r="S1043" s="193"/>
      <c r="T1043" s="193"/>
      <c r="U1043" s="193"/>
      <c r="V1043" s="193"/>
      <c r="W1043" s="193"/>
      <c r="X1043" s="193"/>
      <c r="Y1043" s="193"/>
      <c r="Z1043" s="193"/>
      <c r="AA1043" s="193"/>
      <c r="AB1043" s="193"/>
      <c r="AC1043" s="193"/>
      <c r="AD1043" s="193"/>
      <c r="AE1043" s="193"/>
    </row>
    <row r="1044" ht="14.25" customHeight="1">
      <c r="A1044" s="191" t="s">
        <v>4253</v>
      </c>
      <c r="B1044" s="192" t="s">
        <v>4254</v>
      </c>
      <c r="C1044" s="191" t="s">
        <v>4255</v>
      </c>
      <c r="D1044" s="193"/>
      <c r="E1044" s="193"/>
      <c r="F1044" s="194" t="s">
        <v>4256</v>
      </c>
      <c r="G1044" s="193"/>
      <c r="H1044" s="193"/>
      <c r="I1044" s="193"/>
      <c r="J1044" s="193"/>
      <c r="K1044" s="193"/>
      <c r="L1044" s="193"/>
      <c r="M1044" s="193"/>
      <c r="N1044" s="193"/>
      <c r="O1044" s="193"/>
      <c r="P1044" s="193"/>
      <c r="Q1044" s="193"/>
      <c r="R1044" s="193"/>
      <c r="S1044" s="193"/>
      <c r="T1044" s="193"/>
      <c r="U1044" s="193"/>
      <c r="V1044" s="193"/>
      <c r="W1044" s="193"/>
      <c r="X1044" s="193"/>
      <c r="Y1044" s="193"/>
      <c r="Z1044" s="193"/>
      <c r="AA1044" s="193"/>
      <c r="AB1044" s="193"/>
      <c r="AC1044" s="193"/>
      <c r="AD1044" s="193"/>
      <c r="AE1044" s="193"/>
    </row>
    <row r="1045" ht="14.25" customHeight="1">
      <c r="A1045" s="191" t="s">
        <v>4257</v>
      </c>
      <c r="B1045" s="192" t="s">
        <v>4258</v>
      </c>
      <c r="C1045" s="191" t="s">
        <v>4259</v>
      </c>
      <c r="D1045" s="193"/>
      <c r="E1045" s="193"/>
      <c r="F1045" s="194" t="s">
        <v>4260</v>
      </c>
      <c r="G1045" s="193"/>
      <c r="H1045" s="193"/>
      <c r="I1045" s="193"/>
      <c r="J1045" s="193"/>
      <c r="K1045" s="193"/>
      <c r="L1045" s="193"/>
      <c r="M1045" s="193"/>
      <c r="N1045" s="193"/>
      <c r="O1045" s="193"/>
      <c r="P1045" s="193"/>
      <c r="Q1045" s="193"/>
      <c r="R1045" s="193"/>
      <c r="S1045" s="193"/>
      <c r="T1045" s="193"/>
      <c r="U1045" s="193"/>
      <c r="V1045" s="193"/>
      <c r="W1045" s="193"/>
      <c r="X1045" s="193"/>
      <c r="Y1045" s="193"/>
      <c r="Z1045" s="193"/>
      <c r="AA1045" s="193"/>
      <c r="AB1045" s="193"/>
      <c r="AC1045" s="193"/>
      <c r="AD1045" s="193"/>
      <c r="AE1045" s="193"/>
    </row>
    <row r="1046" ht="14.25" customHeight="1">
      <c r="A1046" s="191" t="s">
        <v>4261</v>
      </c>
      <c r="B1046" s="192" t="s">
        <v>4262</v>
      </c>
      <c r="C1046" s="191" t="s">
        <v>4263</v>
      </c>
      <c r="D1046" s="193"/>
      <c r="E1046" s="193"/>
      <c r="F1046" s="195"/>
      <c r="G1046" s="193"/>
      <c r="H1046" s="193"/>
      <c r="I1046" s="193"/>
      <c r="J1046" s="193"/>
      <c r="K1046" s="193"/>
      <c r="L1046" s="193"/>
      <c r="M1046" s="193"/>
      <c r="N1046" s="193"/>
      <c r="O1046" s="193"/>
      <c r="P1046" s="193"/>
      <c r="Q1046" s="193"/>
      <c r="R1046" s="193"/>
      <c r="S1046" s="193"/>
      <c r="T1046" s="193"/>
      <c r="U1046" s="193"/>
      <c r="V1046" s="193"/>
      <c r="W1046" s="193"/>
      <c r="X1046" s="193"/>
      <c r="Y1046" s="193"/>
      <c r="Z1046" s="193"/>
      <c r="AA1046" s="193"/>
      <c r="AB1046" s="193"/>
      <c r="AC1046" s="193"/>
      <c r="AD1046" s="193"/>
      <c r="AE1046" s="193"/>
    </row>
    <row r="1047" ht="14.25" customHeight="1">
      <c r="A1047" s="191" t="s">
        <v>4264</v>
      </c>
      <c r="B1047" s="192" t="s">
        <v>4265</v>
      </c>
      <c r="C1047" s="191" t="s">
        <v>4266</v>
      </c>
      <c r="D1047" s="193"/>
      <c r="E1047" s="193"/>
      <c r="F1047" s="195"/>
      <c r="G1047" s="193"/>
      <c r="H1047" s="193"/>
      <c r="I1047" s="193"/>
      <c r="J1047" s="193"/>
      <c r="K1047" s="193"/>
      <c r="L1047" s="193"/>
      <c r="M1047" s="193"/>
      <c r="N1047" s="193"/>
      <c r="O1047" s="193"/>
      <c r="P1047" s="193"/>
      <c r="Q1047" s="193"/>
      <c r="R1047" s="193"/>
      <c r="S1047" s="193"/>
      <c r="T1047" s="193"/>
      <c r="U1047" s="193"/>
      <c r="V1047" s="193"/>
      <c r="W1047" s="193"/>
      <c r="X1047" s="193"/>
      <c r="Y1047" s="193"/>
      <c r="Z1047" s="193"/>
      <c r="AA1047" s="193"/>
      <c r="AB1047" s="193"/>
      <c r="AC1047" s="193"/>
      <c r="AD1047" s="193"/>
      <c r="AE1047" s="193"/>
    </row>
    <row r="1048" ht="14.25" customHeight="1">
      <c r="A1048" s="191" t="s">
        <v>4267</v>
      </c>
      <c r="B1048" s="192" t="s">
        <v>4268</v>
      </c>
      <c r="C1048" s="191" t="s">
        <v>4269</v>
      </c>
      <c r="D1048" s="193"/>
      <c r="E1048" s="193"/>
      <c r="F1048" s="195"/>
      <c r="G1048" s="193"/>
      <c r="H1048" s="193"/>
      <c r="I1048" s="193"/>
      <c r="J1048" s="193"/>
      <c r="K1048" s="193"/>
      <c r="L1048" s="193"/>
      <c r="M1048" s="193"/>
      <c r="N1048" s="193"/>
      <c r="O1048" s="193"/>
      <c r="P1048" s="193"/>
      <c r="Q1048" s="193"/>
      <c r="R1048" s="193"/>
      <c r="S1048" s="193"/>
      <c r="T1048" s="193"/>
      <c r="U1048" s="193"/>
      <c r="V1048" s="193"/>
      <c r="W1048" s="193"/>
      <c r="X1048" s="193"/>
      <c r="Y1048" s="193"/>
      <c r="Z1048" s="193"/>
      <c r="AA1048" s="193"/>
      <c r="AB1048" s="193"/>
      <c r="AC1048" s="193"/>
      <c r="AD1048" s="193"/>
      <c r="AE1048" s="193"/>
    </row>
    <row r="1049" ht="14.25" customHeight="1">
      <c r="A1049" s="191" t="s">
        <v>4270</v>
      </c>
      <c r="B1049" s="192" t="s">
        <v>4271</v>
      </c>
      <c r="C1049" s="191" t="s">
        <v>4272</v>
      </c>
      <c r="D1049" s="193"/>
      <c r="E1049" s="193"/>
      <c r="F1049" s="195"/>
      <c r="G1049" s="193"/>
      <c r="H1049" s="193"/>
      <c r="I1049" s="193"/>
      <c r="J1049" s="193"/>
      <c r="K1049" s="193"/>
      <c r="L1049" s="193"/>
      <c r="M1049" s="193"/>
      <c r="N1049" s="193"/>
      <c r="O1049" s="193"/>
      <c r="P1049" s="193"/>
      <c r="Q1049" s="193"/>
      <c r="R1049" s="193"/>
      <c r="S1049" s="193"/>
      <c r="T1049" s="193"/>
      <c r="U1049" s="193"/>
      <c r="V1049" s="193"/>
      <c r="W1049" s="193"/>
      <c r="X1049" s="193"/>
      <c r="Y1049" s="193"/>
      <c r="Z1049" s="193"/>
      <c r="AA1049" s="193"/>
      <c r="AB1049" s="193"/>
      <c r="AC1049" s="193"/>
      <c r="AD1049" s="193"/>
      <c r="AE1049" s="193"/>
    </row>
    <row r="1050" ht="14.25" customHeight="1">
      <c r="A1050" s="191" t="s">
        <v>4273</v>
      </c>
      <c r="B1050" s="192" t="s">
        <v>4274</v>
      </c>
      <c r="C1050" s="191" t="s">
        <v>4275</v>
      </c>
      <c r="D1050" s="193"/>
      <c r="E1050" s="193"/>
      <c r="F1050" s="195"/>
      <c r="G1050" s="193"/>
      <c r="H1050" s="193"/>
      <c r="I1050" s="193"/>
      <c r="J1050" s="193"/>
      <c r="K1050" s="193"/>
      <c r="L1050" s="193"/>
      <c r="M1050" s="193"/>
      <c r="N1050" s="193"/>
      <c r="O1050" s="193"/>
      <c r="P1050" s="193"/>
      <c r="Q1050" s="193"/>
      <c r="R1050" s="193"/>
      <c r="S1050" s="193"/>
      <c r="T1050" s="193"/>
      <c r="U1050" s="193"/>
      <c r="V1050" s="193"/>
      <c r="W1050" s="193"/>
      <c r="X1050" s="193"/>
      <c r="Y1050" s="193"/>
      <c r="Z1050" s="193"/>
      <c r="AA1050" s="193"/>
      <c r="AB1050" s="193"/>
      <c r="AC1050" s="193"/>
      <c r="AD1050" s="193"/>
      <c r="AE1050" s="193"/>
    </row>
    <row r="1051" ht="14.25" customHeight="1">
      <c r="A1051" s="191" t="s">
        <v>4276</v>
      </c>
      <c r="B1051" s="192" t="s">
        <v>4277</v>
      </c>
      <c r="C1051" s="191" t="s">
        <v>4278</v>
      </c>
      <c r="D1051" s="193"/>
      <c r="E1051" s="193"/>
      <c r="F1051" s="195"/>
      <c r="G1051" s="193"/>
      <c r="H1051" s="193"/>
      <c r="I1051" s="193"/>
      <c r="J1051" s="193"/>
      <c r="K1051" s="193"/>
      <c r="L1051" s="193"/>
      <c r="M1051" s="193"/>
      <c r="N1051" s="193"/>
      <c r="O1051" s="193"/>
      <c r="P1051" s="193"/>
      <c r="Q1051" s="193"/>
      <c r="R1051" s="193"/>
      <c r="S1051" s="193"/>
      <c r="T1051" s="193"/>
      <c r="U1051" s="193"/>
      <c r="V1051" s="193"/>
      <c r="W1051" s="193"/>
      <c r="X1051" s="193"/>
      <c r="Y1051" s="193"/>
      <c r="Z1051" s="193"/>
      <c r="AA1051" s="193"/>
      <c r="AB1051" s="193"/>
      <c r="AC1051" s="193"/>
      <c r="AD1051" s="193"/>
      <c r="AE1051" s="193"/>
    </row>
    <row r="1052" ht="14.25" customHeight="1">
      <c r="A1052" s="191" t="s">
        <v>4279</v>
      </c>
      <c r="B1052" s="192" t="s">
        <v>4280</v>
      </c>
      <c r="C1052" s="191" t="s">
        <v>4281</v>
      </c>
      <c r="D1052" s="193"/>
      <c r="E1052" s="193"/>
      <c r="F1052" s="195"/>
      <c r="G1052" s="193"/>
      <c r="H1052" s="193"/>
      <c r="I1052" s="193"/>
      <c r="J1052" s="193"/>
      <c r="K1052" s="193"/>
      <c r="L1052" s="193"/>
      <c r="M1052" s="193"/>
      <c r="N1052" s="193"/>
      <c r="O1052" s="193"/>
      <c r="P1052" s="193"/>
      <c r="Q1052" s="193"/>
      <c r="R1052" s="193"/>
      <c r="S1052" s="193"/>
      <c r="T1052" s="193"/>
      <c r="U1052" s="193"/>
      <c r="V1052" s="193"/>
      <c r="W1052" s="193"/>
      <c r="X1052" s="193"/>
      <c r="Y1052" s="193"/>
      <c r="Z1052" s="193"/>
      <c r="AA1052" s="193"/>
      <c r="AB1052" s="193"/>
      <c r="AC1052" s="193"/>
      <c r="AD1052" s="193"/>
      <c r="AE1052" s="193"/>
    </row>
    <row r="1053" ht="14.25" customHeight="1">
      <c r="A1053" s="191" t="s">
        <v>4282</v>
      </c>
      <c r="B1053" s="192" t="s">
        <v>4283</v>
      </c>
      <c r="C1053" s="191" t="s">
        <v>4284</v>
      </c>
      <c r="D1053" s="193"/>
      <c r="E1053" s="193"/>
      <c r="F1053" s="195"/>
      <c r="G1053" s="193"/>
      <c r="H1053" s="193"/>
      <c r="I1053" s="193"/>
      <c r="J1053" s="193"/>
      <c r="K1053" s="193"/>
      <c r="L1053" s="193"/>
      <c r="M1053" s="193"/>
      <c r="N1053" s="193"/>
      <c r="O1053" s="193"/>
      <c r="P1053" s="193"/>
      <c r="Q1053" s="193"/>
      <c r="R1053" s="193"/>
      <c r="S1053" s="193"/>
      <c r="T1053" s="193"/>
      <c r="U1053" s="193"/>
      <c r="V1053" s="193"/>
      <c r="W1053" s="193"/>
      <c r="X1053" s="193"/>
      <c r="Y1053" s="193"/>
      <c r="Z1053" s="193"/>
      <c r="AA1053" s="193"/>
      <c r="AB1053" s="193"/>
      <c r="AC1053" s="193"/>
      <c r="AD1053" s="193"/>
      <c r="AE1053" s="193"/>
    </row>
    <row r="1054" ht="14.25" customHeight="1">
      <c r="A1054" s="191" t="s">
        <v>4285</v>
      </c>
      <c r="B1054" s="192" t="s">
        <v>4286</v>
      </c>
      <c r="C1054" s="191" t="s">
        <v>4287</v>
      </c>
      <c r="D1054" s="193"/>
      <c r="E1054" s="193"/>
      <c r="F1054" s="195"/>
      <c r="G1054" s="193"/>
      <c r="H1054" s="193"/>
      <c r="I1054" s="193"/>
      <c r="J1054" s="193"/>
      <c r="K1054" s="193"/>
      <c r="L1054" s="193"/>
      <c r="M1054" s="193"/>
      <c r="N1054" s="193"/>
      <c r="O1054" s="193"/>
      <c r="P1054" s="193"/>
      <c r="Q1054" s="193"/>
      <c r="R1054" s="193"/>
      <c r="S1054" s="193"/>
      <c r="T1054" s="193"/>
      <c r="U1054" s="193"/>
      <c r="V1054" s="193"/>
      <c r="W1054" s="193"/>
      <c r="X1054" s="193"/>
      <c r="Y1054" s="193"/>
      <c r="Z1054" s="193"/>
      <c r="AA1054" s="193"/>
      <c r="AB1054" s="193"/>
      <c r="AC1054" s="193"/>
      <c r="AD1054" s="193"/>
      <c r="AE1054" s="193"/>
    </row>
    <row r="1055" ht="14.25" customHeight="1">
      <c r="A1055" s="191" t="s">
        <v>4288</v>
      </c>
      <c r="B1055" s="192" t="s">
        <v>4289</v>
      </c>
      <c r="C1055" s="191" t="s">
        <v>4290</v>
      </c>
      <c r="D1055" s="193"/>
      <c r="E1055" s="193"/>
      <c r="F1055" s="195"/>
      <c r="G1055" s="193"/>
      <c r="H1055" s="193"/>
      <c r="I1055" s="193"/>
      <c r="J1055" s="193"/>
      <c r="K1055" s="193"/>
      <c r="L1055" s="193"/>
      <c r="M1055" s="193"/>
      <c r="N1055" s="193"/>
      <c r="O1055" s="193"/>
      <c r="P1055" s="193"/>
      <c r="Q1055" s="193"/>
      <c r="R1055" s="193"/>
      <c r="S1055" s="193"/>
      <c r="T1055" s="193"/>
      <c r="U1055" s="193"/>
      <c r="V1055" s="193"/>
      <c r="W1055" s="193"/>
      <c r="X1055" s="193"/>
      <c r="Y1055" s="193"/>
      <c r="Z1055" s="193"/>
      <c r="AA1055" s="193"/>
      <c r="AB1055" s="193"/>
      <c r="AC1055" s="193"/>
      <c r="AD1055" s="193"/>
      <c r="AE1055" s="193"/>
    </row>
    <row r="1056" ht="14.25" customHeight="1">
      <c r="A1056" s="191" t="s">
        <v>4291</v>
      </c>
      <c r="B1056" s="192" t="s">
        <v>4292</v>
      </c>
      <c r="C1056" s="191" t="s">
        <v>4293</v>
      </c>
      <c r="D1056" s="193"/>
      <c r="E1056" s="193"/>
      <c r="F1056" s="195"/>
      <c r="G1056" s="193"/>
      <c r="H1056" s="193"/>
      <c r="I1056" s="193"/>
      <c r="J1056" s="193"/>
      <c r="K1056" s="193"/>
      <c r="L1056" s="193"/>
      <c r="M1056" s="193"/>
      <c r="N1056" s="193"/>
      <c r="O1056" s="193"/>
      <c r="P1056" s="193"/>
      <c r="Q1056" s="193"/>
      <c r="R1056" s="193"/>
      <c r="S1056" s="193"/>
      <c r="T1056" s="193"/>
      <c r="U1056" s="193"/>
      <c r="V1056" s="193"/>
      <c r="W1056" s="193"/>
      <c r="X1056" s="193"/>
      <c r="Y1056" s="193"/>
      <c r="Z1056" s="193"/>
      <c r="AA1056" s="193"/>
      <c r="AB1056" s="193"/>
      <c r="AC1056" s="193"/>
      <c r="AD1056" s="193"/>
      <c r="AE1056" s="193"/>
    </row>
    <row r="1057" ht="14.25" customHeight="1">
      <c r="A1057" s="191" t="s">
        <v>4294</v>
      </c>
      <c r="B1057" s="192" t="s">
        <v>4295</v>
      </c>
      <c r="C1057" s="191" t="s">
        <v>4296</v>
      </c>
      <c r="D1057" s="193"/>
      <c r="E1057" s="193"/>
      <c r="F1057" s="194" t="s">
        <v>4297</v>
      </c>
      <c r="G1057" s="193"/>
      <c r="H1057" s="193"/>
      <c r="I1057" s="193"/>
      <c r="J1057" s="193"/>
      <c r="K1057" s="193"/>
      <c r="L1057" s="193"/>
      <c r="M1057" s="193"/>
      <c r="N1057" s="193"/>
      <c r="O1057" s="193"/>
      <c r="P1057" s="193"/>
      <c r="Q1057" s="193"/>
      <c r="R1057" s="193"/>
      <c r="S1057" s="193"/>
      <c r="T1057" s="193"/>
      <c r="U1057" s="193"/>
      <c r="V1057" s="193"/>
      <c r="W1057" s="193"/>
      <c r="X1057" s="193"/>
      <c r="Y1057" s="193"/>
      <c r="Z1057" s="193"/>
      <c r="AA1057" s="193"/>
      <c r="AB1057" s="193"/>
      <c r="AC1057" s="193"/>
      <c r="AD1057" s="193"/>
      <c r="AE1057" s="193"/>
    </row>
    <row r="1058" ht="14.25" customHeight="1">
      <c r="A1058" s="191" t="s">
        <v>4298</v>
      </c>
      <c r="B1058" s="192" t="s">
        <v>4299</v>
      </c>
      <c r="C1058" s="191" t="s">
        <v>4300</v>
      </c>
      <c r="D1058" s="193"/>
      <c r="E1058" s="193"/>
      <c r="F1058" s="195"/>
      <c r="G1058" s="193"/>
      <c r="H1058" s="193"/>
      <c r="I1058" s="193"/>
      <c r="J1058" s="193"/>
      <c r="K1058" s="193"/>
      <c r="L1058" s="193"/>
      <c r="M1058" s="193"/>
      <c r="N1058" s="193"/>
      <c r="O1058" s="193"/>
      <c r="P1058" s="193"/>
      <c r="Q1058" s="193"/>
      <c r="R1058" s="193"/>
      <c r="S1058" s="193"/>
      <c r="T1058" s="193"/>
      <c r="U1058" s="193"/>
      <c r="V1058" s="193"/>
      <c r="W1058" s="193"/>
      <c r="X1058" s="193"/>
      <c r="Y1058" s="193"/>
      <c r="Z1058" s="193"/>
      <c r="AA1058" s="193"/>
      <c r="AB1058" s="193"/>
      <c r="AC1058" s="193"/>
      <c r="AD1058" s="193"/>
      <c r="AE1058" s="193"/>
    </row>
    <row r="1059" ht="14.25" customHeight="1">
      <c r="A1059" s="191" t="s">
        <v>4301</v>
      </c>
      <c r="B1059" s="192" t="s">
        <v>4302</v>
      </c>
      <c r="C1059" s="191" t="s">
        <v>4303</v>
      </c>
      <c r="D1059" s="193"/>
      <c r="E1059" s="193"/>
      <c r="F1059" s="195"/>
      <c r="G1059" s="193"/>
      <c r="H1059" s="193"/>
      <c r="I1059" s="193"/>
      <c r="J1059" s="193"/>
      <c r="K1059" s="193"/>
      <c r="L1059" s="193"/>
      <c r="M1059" s="193"/>
      <c r="N1059" s="193"/>
      <c r="O1059" s="193"/>
      <c r="P1059" s="193"/>
      <c r="Q1059" s="193"/>
      <c r="R1059" s="193"/>
      <c r="S1059" s="193"/>
      <c r="T1059" s="193"/>
      <c r="U1059" s="193"/>
      <c r="V1059" s="193"/>
      <c r="W1059" s="193"/>
      <c r="X1059" s="193"/>
      <c r="Y1059" s="193"/>
      <c r="Z1059" s="193"/>
      <c r="AA1059" s="193"/>
      <c r="AB1059" s="193"/>
      <c r="AC1059" s="193"/>
      <c r="AD1059" s="193"/>
      <c r="AE1059" s="193"/>
    </row>
    <row r="1060" ht="14.25" customHeight="1">
      <c r="A1060" s="191" t="s">
        <v>4304</v>
      </c>
      <c r="B1060" s="192" t="s">
        <v>4305</v>
      </c>
      <c r="C1060" s="191" t="s">
        <v>4306</v>
      </c>
      <c r="D1060" s="193"/>
      <c r="E1060" s="193"/>
      <c r="F1060" s="195"/>
      <c r="G1060" s="193"/>
      <c r="H1060" s="193"/>
      <c r="I1060" s="193"/>
      <c r="J1060" s="193"/>
      <c r="K1060" s="193"/>
      <c r="L1060" s="193"/>
      <c r="M1060" s="193"/>
      <c r="N1060" s="193"/>
      <c r="O1060" s="193"/>
      <c r="P1060" s="193"/>
      <c r="Q1060" s="193"/>
      <c r="R1060" s="193"/>
      <c r="S1060" s="193"/>
      <c r="T1060" s="193"/>
      <c r="U1060" s="193"/>
      <c r="V1060" s="193"/>
      <c r="W1060" s="193"/>
      <c r="X1060" s="193"/>
      <c r="Y1060" s="193"/>
      <c r="Z1060" s="193"/>
      <c r="AA1060" s="193"/>
      <c r="AB1060" s="193"/>
      <c r="AC1060" s="193"/>
      <c r="AD1060" s="193"/>
      <c r="AE1060" s="193"/>
    </row>
    <row r="1061" ht="14.25" customHeight="1">
      <c r="A1061" s="191" t="s">
        <v>4307</v>
      </c>
      <c r="B1061" s="192" t="s">
        <v>4308</v>
      </c>
      <c r="C1061" s="191" t="s">
        <v>4309</v>
      </c>
      <c r="D1061" s="193"/>
      <c r="E1061" s="193"/>
      <c r="F1061" s="194" t="s">
        <v>4310</v>
      </c>
      <c r="G1061" s="193"/>
      <c r="H1061" s="193"/>
      <c r="I1061" s="193"/>
      <c r="J1061" s="193"/>
      <c r="K1061" s="193"/>
      <c r="L1061" s="193"/>
      <c r="M1061" s="193"/>
      <c r="N1061" s="193"/>
      <c r="O1061" s="193"/>
      <c r="P1061" s="193"/>
      <c r="Q1061" s="193"/>
      <c r="R1061" s="193"/>
      <c r="S1061" s="193"/>
      <c r="T1061" s="193"/>
      <c r="U1061" s="193"/>
      <c r="V1061" s="193"/>
      <c r="W1061" s="193"/>
      <c r="X1061" s="193"/>
      <c r="Y1061" s="193"/>
      <c r="Z1061" s="193"/>
      <c r="AA1061" s="193"/>
      <c r="AB1061" s="193"/>
      <c r="AC1061" s="193"/>
      <c r="AD1061" s="193"/>
      <c r="AE1061" s="193"/>
    </row>
    <row r="1062" ht="14.25" customHeight="1">
      <c r="A1062" s="191" t="s">
        <v>4311</v>
      </c>
      <c r="B1062" s="192" t="s">
        <v>4312</v>
      </c>
      <c r="C1062" s="191" t="s">
        <v>4313</v>
      </c>
      <c r="D1062" s="193"/>
      <c r="E1062" s="193"/>
      <c r="F1062" s="194" t="s">
        <v>4314</v>
      </c>
      <c r="G1062" s="193"/>
      <c r="H1062" s="193"/>
      <c r="I1062" s="193"/>
      <c r="J1062" s="193"/>
      <c r="K1062" s="193"/>
      <c r="L1062" s="193"/>
      <c r="M1062" s="193"/>
      <c r="N1062" s="193"/>
      <c r="O1062" s="193"/>
      <c r="P1062" s="193"/>
      <c r="Q1062" s="193"/>
      <c r="R1062" s="193"/>
      <c r="S1062" s="193"/>
      <c r="T1062" s="193"/>
      <c r="U1062" s="193"/>
      <c r="V1062" s="193"/>
      <c r="W1062" s="193"/>
      <c r="X1062" s="193"/>
      <c r="Y1062" s="193"/>
      <c r="Z1062" s="193"/>
      <c r="AA1062" s="193"/>
      <c r="AB1062" s="193"/>
      <c r="AC1062" s="193"/>
      <c r="AD1062" s="193"/>
      <c r="AE1062" s="193"/>
    </row>
    <row r="1063" ht="14.25" customHeight="1">
      <c r="A1063" s="191" t="s">
        <v>4315</v>
      </c>
      <c r="B1063" s="192" t="s">
        <v>4316</v>
      </c>
      <c r="C1063" s="191" t="s">
        <v>4317</v>
      </c>
      <c r="D1063" s="193"/>
      <c r="E1063" s="193"/>
      <c r="F1063" s="194" t="s">
        <v>4318</v>
      </c>
      <c r="G1063" s="193"/>
      <c r="H1063" s="193"/>
      <c r="I1063" s="193"/>
      <c r="J1063" s="193"/>
      <c r="K1063" s="193"/>
      <c r="L1063" s="193"/>
      <c r="M1063" s="193"/>
      <c r="N1063" s="193"/>
      <c r="O1063" s="193"/>
      <c r="P1063" s="193"/>
      <c r="Q1063" s="193"/>
      <c r="R1063" s="193"/>
      <c r="S1063" s="193"/>
      <c r="T1063" s="193"/>
      <c r="U1063" s="193"/>
      <c r="V1063" s="193"/>
      <c r="W1063" s="193"/>
      <c r="X1063" s="193"/>
      <c r="Y1063" s="193"/>
      <c r="Z1063" s="193"/>
      <c r="AA1063" s="193"/>
      <c r="AB1063" s="193"/>
      <c r="AC1063" s="193"/>
      <c r="AD1063" s="193"/>
      <c r="AE1063" s="193"/>
    </row>
    <row r="1064" ht="14.25" customHeight="1">
      <c r="A1064" s="191" t="s">
        <v>4319</v>
      </c>
      <c r="B1064" s="192" t="s">
        <v>4320</v>
      </c>
      <c r="C1064" s="191" t="s">
        <v>106</v>
      </c>
      <c r="D1064" s="193"/>
      <c r="E1064" s="193"/>
      <c r="F1064" s="195"/>
      <c r="G1064" s="193"/>
      <c r="H1064" s="193"/>
      <c r="I1064" s="193"/>
      <c r="J1064" s="193"/>
      <c r="K1064" s="193"/>
      <c r="L1064" s="193"/>
      <c r="M1064" s="193"/>
      <c r="N1064" s="193"/>
      <c r="O1064" s="193"/>
      <c r="P1064" s="193"/>
      <c r="Q1064" s="193"/>
      <c r="R1064" s="193"/>
      <c r="S1064" s="193"/>
      <c r="T1064" s="193"/>
      <c r="U1064" s="193"/>
      <c r="V1064" s="193"/>
      <c r="W1064" s="193"/>
      <c r="X1064" s="193"/>
      <c r="Y1064" s="193"/>
      <c r="Z1064" s="193"/>
      <c r="AA1064" s="193"/>
      <c r="AB1064" s="193"/>
      <c r="AC1064" s="193"/>
      <c r="AD1064" s="193"/>
      <c r="AE1064" s="193"/>
    </row>
    <row r="1065" ht="14.25" customHeight="1">
      <c r="A1065" s="191" t="s">
        <v>4321</v>
      </c>
      <c r="B1065" s="192" t="s">
        <v>4322</v>
      </c>
      <c r="C1065" s="191" t="s">
        <v>4323</v>
      </c>
      <c r="D1065" s="193"/>
      <c r="E1065" s="193"/>
      <c r="F1065" s="195"/>
      <c r="G1065" s="193"/>
      <c r="H1065" s="193"/>
      <c r="I1065" s="193"/>
      <c r="J1065" s="193"/>
      <c r="K1065" s="193"/>
      <c r="L1065" s="193"/>
      <c r="M1065" s="193"/>
      <c r="N1065" s="193"/>
      <c r="O1065" s="193"/>
      <c r="P1065" s="193"/>
      <c r="Q1065" s="193"/>
      <c r="R1065" s="193"/>
      <c r="S1065" s="193"/>
      <c r="T1065" s="193"/>
      <c r="U1065" s="193"/>
      <c r="V1065" s="193"/>
      <c r="W1065" s="193"/>
      <c r="X1065" s="193"/>
      <c r="Y1065" s="193"/>
      <c r="Z1065" s="193"/>
      <c r="AA1065" s="193"/>
      <c r="AB1065" s="193"/>
      <c r="AC1065" s="193"/>
      <c r="AD1065" s="193"/>
      <c r="AE1065" s="193"/>
    </row>
    <row r="1066" ht="14.25" customHeight="1">
      <c r="A1066" s="191" t="s">
        <v>4324</v>
      </c>
      <c r="B1066" s="192" t="s">
        <v>4325</v>
      </c>
      <c r="C1066" s="191" t="s">
        <v>4326</v>
      </c>
      <c r="D1066" s="193"/>
      <c r="E1066" s="193"/>
      <c r="F1066" s="195"/>
      <c r="G1066" s="193"/>
      <c r="H1066" s="193"/>
      <c r="I1066" s="193"/>
      <c r="J1066" s="193"/>
      <c r="K1066" s="193"/>
      <c r="L1066" s="193"/>
      <c r="M1066" s="193"/>
      <c r="N1066" s="193"/>
      <c r="O1066" s="193"/>
      <c r="P1066" s="193"/>
      <c r="Q1066" s="193"/>
      <c r="R1066" s="193"/>
      <c r="S1066" s="193"/>
      <c r="T1066" s="193"/>
      <c r="U1066" s="193"/>
      <c r="V1066" s="193"/>
      <c r="W1066" s="193"/>
      <c r="X1066" s="193"/>
      <c r="Y1066" s="193"/>
      <c r="Z1066" s="193"/>
      <c r="AA1066" s="193"/>
      <c r="AB1066" s="193"/>
      <c r="AC1066" s="193"/>
      <c r="AD1066" s="193"/>
      <c r="AE1066" s="193"/>
    </row>
    <row r="1067" ht="14.25" customHeight="1">
      <c r="A1067" s="191" t="s">
        <v>4327</v>
      </c>
      <c r="B1067" s="192" t="s">
        <v>4328</v>
      </c>
      <c r="C1067" s="191" t="s">
        <v>4329</v>
      </c>
      <c r="D1067" s="193"/>
      <c r="E1067" s="193"/>
      <c r="F1067" s="195"/>
      <c r="G1067" s="193"/>
      <c r="H1067" s="193"/>
      <c r="I1067" s="193"/>
      <c r="J1067" s="193"/>
      <c r="K1067" s="193"/>
      <c r="L1067" s="193"/>
      <c r="M1067" s="193"/>
      <c r="N1067" s="193"/>
      <c r="O1067" s="193"/>
      <c r="P1067" s="193"/>
      <c r="Q1067" s="193"/>
      <c r="R1067" s="193"/>
      <c r="S1067" s="193"/>
      <c r="T1067" s="193"/>
      <c r="U1067" s="193"/>
      <c r="V1067" s="193"/>
      <c r="W1067" s="193"/>
      <c r="X1067" s="193"/>
      <c r="Y1067" s="193"/>
      <c r="Z1067" s="193"/>
      <c r="AA1067" s="193"/>
      <c r="AB1067" s="193"/>
      <c r="AC1067" s="193"/>
      <c r="AD1067" s="193"/>
      <c r="AE1067" s="193"/>
    </row>
    <row r="1068" ht="14.25" customHeight="1">
      <c r="A1068" s="191" t="s">
        <v>4330</v>
      </c>
      <c r="B1068" s="192" t="s">
        <v>4331</v>
      </c>
      <c r="C1068" s="191" t="s">
        <v>4332</v>
      </c>
      <c r="D1068" s="193"/>
      <c r="E1068" s="193"/>
      <c r="F1068" s="195"/>
      <c r="G1068" s="193"/>
      <c r="H1068" s="193"/>
      <c r="I1068" s="193"/>
      <c r="J1068" s="193"/>
      <c r="K1068" s="193"/>
      <c r="L1068" s="193"/>
      <c r="M1068" s="193"/>
      <c r="N1068" s="193"/>
      <c r="O1068" s="193"/>
      <c r="P1068" s="193"/>
      <c r="Q1068" s="193"/>
      <c r="R1068" s="193"/>
      <c r="S1068" s="193"/>
      <c r="T1068" s="193"/>
      <c r="U1068" s="193"/>
      <c r="V1068" s="193"/>
      <c r="W1068" s="193"/>
      <c r="X1068" s="193"/>
      <c r="Y1068" s="193"/>
      <c r="Z1068" s="193"/>
      <c r="AA1068" s="193"/>
      <c r="AB1068" s="193"/>
      <c r="AC1068" s="193"/>
      <c r="AD1068" s="193"/>
      <c r="AE1068" s="193"/>
    </row>
    <row r="1069" ht="14.25" customHeight="1">
      <c r="A1069" s="191" t="s">
        <v>4333</v>
      </c>
      <c r="B1069" s="192" t="s">
        <v>4334</v>
      </c>
      <c r="C1069" s="191" t="s">
        <v>4335</v>
      </c>
      <c r="D1069" s="193"/>
      <c r="E1069" s="193"/>
      <c r="F1069" s="195"/>
      <c r="G1069" s="193"/>
      <c r="H1069" s="193"/>
      <c r="I1069" s="193"/>
      <c r="J1069" s="193"/>
      <c r="K1069" s="193"/>
      <c r="L1069" s="193"/>
      <c r="M1069" s="193"/>
      <c r="N1069" s="193"/>
      <c r="O1069" s="193"/>
      <c r="P1069" s="193"/>
      <c r="Q1069" s="193"/>
      <c r="R1069" s="193"/>
      <c r="S1069" s="193"/>
      <c r="T1069" s="193"/>
      <c r="U1069" s="193"/>
      <c r="V1069" s="193"/>
      <c r="W1069" s="193"/>
      <c r="X1069" s="193"/>
      <c r="Y1069" s="193"/>
      <c r="Z1069" s="193"/>
      <c r="AA1069" s="193"/>
      <c r="AB1069" s="193"/>
      <c r="AC1069" s="193"/>
      <c r="AD1069" s="193"/>
      <c r="AE1069" s="193"/>
    </row>
    <row r="1070" ht="14.25" customHeight="1">
      <c r="A1070" s="191" t="s">
        <v>4336</v>
      </c>
      <c r="B1070" s="192" t="s">
        <v>4337</v>
      </c>
      <c r="C1070" s="191" t="s">
        <v>74</v>
      </c>
      <c r="D1070" s="193"/>
      <c r="E1070" s="193"/>
      <c r="F1070" s="195"/>
      <c r="G1070" s="193"/>
      <c r="H1070" s="193"/>
      <c r="I1070" s="193"/>
      <c r="J1070" s="193"/>
      <c r="K1070" s="193"/>
      <c r="L1070" s="193"/>
      <c r="M1070" s="193"/>
      <c r="N1070" s="193"/>
      <c r="O1070" s="193"/>
      <c r="P1070" s="193"/>
      <c r="Q1070" s="193"/>
      <c r="R1070" s="193"/>
      <c r="S1070" s="193"/>
      <c r="T1070" s="193"/>
      <c r="U1070" s="193"/>
      <c r="V1070" s="193"/>
      <c r="W1070" s="193"/>
      <c r="X1070" s="193"/>
      <c r="Y1070" s="193"/>
      <c r="Z1070" s="193"/>
      <c r="AA1070" s="193"/>
      <c r="AB1070" s="193"/>
      <c r="AC1070" s="193"/>
      <c r="AD1070" s="193"/>
      <c r="AE1070" s="193"/>
    </row>
    <row r="1071" ht="14.25" customHeight="1">
      <c r="A1071" s="191" t="s">
        <v>4338</v>
      </c>
      <c r="B1071" s="192" t="s">
        <v>4339</v>
      </c>
      <c r="C1071" s="191" t="s">
        <v>4340</v>
      </c>
      <c r="D1071" s="193"/>
      <c r="E1071" s="193"/>
      <c r="F1071" s="195"/>
      <c r="G1071" s="193"/>
      <c r="H1071" s="193"/>
      <c r="I1071" s="193"/>
      <c r="J1071" s="193"/>
      <c r="K1071" s="193"/>
      <c r="L1071" s="193"/>
      <c r="M1071" s="193"/>
      <c r="N1071" s="193"/>
      <c r="O1071" s="193"/>
      <c r="P1071" s="193"/>
      <c r="Q1071" s="193"/>
      <c r="R1071" s="193"/>
      <c r="S1071" s="193"/>
      <c r="T1071" s="193"/>
      <c r="U1071" s="193"/>
      <c r="V1071" s="193"/>
      <c r="W1071" s="193"/>
      <c r="X1071" s="193"/>
      <c r="Y1071" s="193"/>
      <c r="Z1071" s="193"/>
      <c r="AA1071" s="193"/>
      <c r="AB1071" s="193"/>
      <c r="AC1071" s="193"/>
      <c r="AD1071" s="193"/>
      <c r="AE1071" s="193"/>
    </row>
    <row r="1072" ht="14.25" customHeight="1">
      <c r="A1072" s="191" t="s">
        <v>4341</v>
      </c>
      <c r="B1072" s="192" t="s">
        <v>4342</v>
      </c>
      <c r="C1072" s="191" t="s">
        <v>4343</v>
      </c>
      <c r="D1072" s="193"/>
      <c r="E1072" s="193"/>
      <c r="F1072" s="195"/>
      <c r="G1072" s="193"/>
      <c r="H1072" s="193"/>
      <c r="I1072" s="193"/>
      <c r="J1072" s="193"/>
      <c r="K1072" s="193"/>
      <c r="L1072" s="193"/>
      <c r="M1072" s="193"/>
      <c r="N1072" s="193"/>
      <c r="O1072" s="193"/>
      <c r="P1072" s="193"/>
      <c r="Q1072" s="193"/>
      <c r="R1072" s="193"/>
      <c r="S1072" s="193"/>
      <c r="T1072" s="193"/>
      <c r="U1072" s="193"/>
      <c r="V1072" s="193"/>
      <c r="W1072" s="193"/>
      <c r="X1072" s="193"/>
      <c r="Y1072" s="193"/>
      <c r="Z1072" s="193"/>
      <c r="AA1072" s="193"/>
      <c r="AB1072" s="193"/>
      <c r="AC1072" s="193"/>
      <c r="AD1072" s="193"/>
      <c r="AE1072" s="193"/>
    </row>
    <row r="1073" ht="14.25" customHeight="1">
      <c r="A1073" s="191" t="s">
        <v>4344</v>
      </c>
      <c r="B1073" s="192" t="s">
        <v>4345</v>
      </c>
      <c r="C1073" s="191" t="s">
        <v>4346</v>
      </c>
      <c r="D1073" s="193"/>
      <c r="E1073" s="193"/>
      <c r="F1073" s="195"/>
      <c r="G1073" s="193"/>
      <c r="H1073" s="193"/>
      <c r="I1073" s="193"/>
      <c r="J1073" s="193"/>
      <c r="K1073" s="193"/>
      <c r="L1073" s="193"/>
      <c r="M1073" s="193"/>
      <c r="N1073" s="193"/>
      <c r="O1073" s="193"/>
      <c r="P1073" s="193"/>
      <c r="Q1073" s="193"/>
      <c r="R1073" s="193"/>
      <c r="S1073" s="193"/>
      <c r="T1073" s="193"/>
      <c r="U1073" s="193"/>
      <c r="V1073" s="193"/>
      <c r="W1073" s="193"/>
      <c r="X1073" s="193"/>
      <c r="Y1073" s="193"/>
      <c r="Z1073" s="193"/>
      <c r="AA1073" s="193"/>
      <c r="AB1073" s="193"/>
      <c r="AC1073" s="193"/>
      <c r="AD1073" s="193"/>
      <c r="AE1073" s="193"/>
    </row>
    <row r="1074" ht="14.25" customHeight="1">
      <c r="A1074" s="191" t="s">
        <v>4347</v>
      </c>
      <c r="B1074" s="192" t="s">
        <v>4348</v>
      </c>
      <c r="C1074" s="191" t="s">
        <v>4349</v>
      </c>
      <c r="D1074" s="193"/>
      <c r="E1074" s="193"/>
      <c r="F1074" s="195"/>
      <c r="G1074" s="193"/>
      <c r="H1074" s="193"/>
      <c r="I1074" s="193"/>
      <c r="J1074" s="193"/>
      <c r="K1074" s="193"/>
      <c r="L1074" s="193"/>
      <c r="M1074" s="193"/>
      <c r="N1074" s="193"/>
      <c r="O1074" s="193"/>
      <c r="P1074" s="193"/>
      <c r="Q1074" s="193"/>
      <c r="R1074" s="193"/>
      <c r="S1074" s="193"/>
      <c r="T1074" s="193"/>
      <c r="U1074" s="193"/>
      <c r="V1074" s="193"/>
      <c r="W1074" s="193"/>
      <c r="X1074" s="193"/>
      <c r="Y1074" s="193"/>
      <c r="Z1074" s="193"/>
      <c r="AA1074" s="193"/>
      <c r="AB1074" s="193"/>
      <c r="AC1074" s="193"/>
      <c r="AD1074" s="193"/>
      <c r="AE1074" s="193"/>
    </row>
    <row r="1075" ht="14.25" customHeight="1">
      <c r="A1075" s="191" t="s">
        <v>4350</v>
      </c>
      <c r="B1075" s="192" t="s">
        <v>4351</v>
      </c>
      <c r="C1075" s="191" t="s">
        <v>4352</v>
      </c>
      <c r="D1075" s="193"/>
      <c r="E1075" s="193"/>
      <c r="F1075" s="194" t="s">
        <v>4353</v>
      </c>
      <c r="G1075" s="193"/>
      <c r="H1075" s="193"/>
      <c r="I1075" s="193"/>
      <c r="J1075" s="193"/>
      <c r="K1075" s="193"/>
      <c r="L1075" s="193"/>
      <c r="M1075" s="193"/>
      <c r="N1075" s="193"/>
      <c r="O1075" s="193"/>
      <c r="P1075" s="193"/>
      <c r="Q1075" s="193"/>
      <c r="R1075" s="193"/>
      <c r="S1075" s="193"/>
      <c r="T1075" s="193"/>
      <c r="U1075" s="193"/>
      <c r="V1075" s="193"/>
      <c r="W1075" s="193"/>
      <c r="X1075" s="193"/>
      <c r="Y1075" s="193"/>
      <c r="Z1075" s="193"/>
      <c r="AA1075" s="193"/>
      <c r="AB1075" s="193"/>
      <c r="AC1075" s="193"/>
      <c r="AD1075" s="193"/>
      <c r="AE1075" s="193"/>
    </row>
    <row r="1076" ht="14.25" customHeight="1">
      <c r="A1076" s="191" t="s">
        <v>4354</v>
      </c>
      <c r="B1076" s="192" t="s">
        <v>4355</v>
      </c>
      <c r="C1076" s="191" t="s">
        <v>4356</v>
      </c>
      <c r="D1076" s="193"/>
      <c r="E1076" s="193"/>
      <c r="F1076" s="194" t="s">
        <v>4357</v>
      </c>
      <c r="G1076" s="193"/>
      <c r="H1076" s="193"/>
      <c r="I1076" s="193"/>
      <c r="J1076" s="193"/>
      <c r="K1076" s="193"/>
      <c r="L1076" s="193"/>
      <c r="M1076" s="193"/>
      <c r="N1076" s="193"/>
      <c r="O1076" s="193"/>
      <c r="P1076" s="193"/>
      <c r="Q1076" s="193"/>
      <c r="R1076" s="193"/>
      <c r="S1076" s="193"/>
      <c r="T1076" s="193"/>
      <c r="U1076" s="193"/>
      <c r="V1076" s="193"/>
      <c r="W1076" s="193"/>
      <c r="X1076" s="193"/>
      <c r="Y1076" s="193"/>
      <c r="Z1076" s="193"/>
      <c r="AA1076" s="193"/>
      <c r="AB1076" s="193"/>
      <c r="AC1076" s="193"/>
      <c r="AD1076" s="193"/>
      <c r="AE1076" s="193"/>
    </row>
    <row r="1077" ht="14.25" customHeight="1">
      <c r="A1077" s="191" t="s">
        <v>4358</v>
      </c>
      <c r="B1077" s="192" t="s">
        <v>4359</v>
      </c>
      <c r="C1077" s="191" t="s">
        <v>4360</v>
      </c>
      <c r="D1077" s="193"/>
      <c r="E1077" s="193"/>
      <c r="F1077" s="194" t="s">
        <v>4361</v>
      </c>
      <c r="G1077" s="193"/>
      <c r="H1077" s="193"/>
      <c r="I1077" s="193"/>
      <c r="J1077" s="193"/>
      <c r="K1077" s="193"/>
      <c r="L1077" s="193"/>
      <c r="M1077" s="193"/>
      <c r="N1077" s="193"/>
      <c r="O1077" s="193"/>
      <c r="P1077" s="193"/>
      <c r="Q1077" s="193"/>
      <c r="R1077" s="193"/>
      <c r="S1077" s="193"/>
      <c r="T1077" s="193"/>
      <c r="U1077" s="193"/>
      <c r="V1077" s="193"/>
      <c r="W1077" s="193"/>
      <c r="X1077" s="193"/>
      <c r="Y1077" s="193"/>
      <c r="Z1077" s="193"/>
      <c r="AA1077" s="193"/>
      <c r="AB1077" s="193"/>
      <c r="AC1077" s="193"/>
      <c r="AD1077" s="193"/>
      <c r="AE1077" s="193"/>
    </row>
    <row r="1078" ht="14.25" customHeight="1">
      <c r="A1078" s="191" t="s">
        <v>4362</v>
      </c>
      <c r="B1078" s="192" t="s">
        <v>4363</v>
      </c>
      <c r="C1078" s="191" t="s">
        <v>4364</v>
      </c>
      <c r="D1078" s="193"/>
      <c r="E1078" s="193"/>
      <c r="F1078" s="195"/>
      <c r="G1078" s="193"/>
      <c r="H1078" s="193"/>
      <c r="I1078" s="193"/>
      <c r="J1078" s="193"/>
      <c r="K1078" s="193"/>
      <c r="L1078" s="193"/>
      <c r="M1078" s="193"/>
      <c r="N1078" s="193"/>
      <c r="O1078" s="193"/>
      <c r="P1078" s="193"/>
      <c r="Q1078" s="193"/>
      <c r="R1078" s="193"/>
      <c r="S1078" s="193"/>
      <c r="T1078" s="193"/>
      <c r="U1078" s="193"/>
      <c r="V1078" s="193"/>
      <c r="W1078" s="193"/>
      <c r="X1078" s="193"/>
      <c r="Y1078" s="193"/>
      <c r="Z1078" s="193"/>
      <c r="AA1078" s="193"/>
      <c r="AB1078" s="193"/>
      <c r="AC1078" s="193"/>
      <c r="AD1078" s="193"/>
      <c r="AE1078" s="193"/>
    </row>
    <row r="1079" ht="14.25" customHeight="1">
      <c r="A1079" s="191" t="s">
        <v>4365</v>
      </c>
      <c r="B1079" s="192" t="s">
        <v>4366</v>
      </c>
      <c r="C1079" s="191" t="s">
        <v>4367</v>
      </c>
      <c r="D1079" s="193"/>
      <c r="E1079" s="193"/>
      <c r="F1079" s="195"/>
      <c r="G1079" s="193"/>
      <c r="H1079" s="193"/>
      <c r="I1079" s="193"/>
      <c r="J1079" s="193"/>
      <c r="K1079" s="193"/>
      <c r="L1079" s="193"/>
      <c r="M1079" s="193"/>
      <c r="N1079" s="193"/>
      <c r="O1079" s="193"/>
      <c r="P1079" s="193"/>
      <c r="Q1079" s="193"/>
      <c r="R1079" s="193"/>
      <c r="S1079" s="193"/>
      <c r="T1079" s="193"/>
      <c r="U1079" s="193"/>
      <c r="V1079" s="193"/>
      <c r="W1079" s="193"/>
      <c r="X1079" s="193"/>
      <c r="Y1079" s="193"/>
      <c r="Z1079" s="193"/>
      <c r="AA1079" s="193"/>
      <c r="AB1079" s="193"/>
      <c r="AC1079" s="193"/>
      <c r="AD1079" s="193"/>
      <c r="AE1079" s="193"/>
    </row>
    <row r="1080" ht="14.25" customHeight="1">
      <c r="A1080" s="191" t="s">
        <v>4368</v>
      </c>
      <c r="B1080" s="192" t="s">
        <v>4369</v>
      </c>
      <c r="C1080" s="191" t="s">
        <v>4370</v>
      </c>
      <c r="D1080" s="193"/>
      <c r="E1080" s="193"/>
      <c r="F1080" s="195"/>
      <c r="G1080" s="193"/>
      <c r="H1080" s="193"/>
      <c r="I1080" s="193"/>
      <c r="J1080" s="193"/>
      <c r="K1080" s="193"/>
      <c r="L1080" s="193"/>
      <c r="M1080" s="193"/>
      <c r="N1080" s="193"/>
      <c r="O1080" s="193"/>
      <c r="P1080" s="193"/>
      <c r="Q1080" s="193"/>
      <c r="R1080" s="193"/>
      <c r="S1080" s="193"/>
      <c r="T1080" s="193"/>
      <c r="U1080" s="193"/>
      <c r="V1080" s="193"/>
      <c r="W1080" s="193"/>
      <c r="X1080" s="193"/>
      <c r="Y1080" s="193"/>
      <c r="Z1080" s="193"/>
      <c r="AA1080" s="193"/>
      <c r="AB1080" s="193"/>
      <c r="AC1080" s="193"/>
      <c r="AD1080" s="193"/>
      <c r="AE1080" s="193"/>
    </row>
    <row r="1081" ht="14.25" customHeight="1">
      <c r="A1081" s="191" t="s">
        <v>4371</v>
      </c>
      <c r="B1081" s="192" t="s">
        <v>4372</v>
      </c>
      <c r="C1081" s="191" t="s">
        <v>4373</v>
      </c>
      <c r="D1081" s="193"/>
      <c r="E1081" s="193"/>
      <c r="F1081" s="195"/>
      <c r="G1081" s="193"/>
      <c r="H1081" s="193"/>
      <c r="I1081" s="193"/>
      <c r="J1081" s="193"/>
      <c r="K1081" s="193"/>
      <c r="L1081" s="193"/>
      <c r="M1081" s="193"/>
      <c r="N1081" s="193"/>
      <c r="O1081" s="193"/>
      <c r="P1081" s="193"/>
      <c r="Q1081" s="193"/>
      <c r="R1081" s="193"/>
      <c r="S1081" s="193"/>
      <c r="T1081" s="193"/>
      <c r="U1081" s="193"/>
      <c r="V1081" s="193"/>
      <c r="W1081" s="193"/>
      <c r="X1081" s="193"/>
      <c r="Y1081" s="193"/>
      <c r="Z1081" s="193"/>
      <c r="AA1081" s="193"/>
      <c r="AB1081" s="193"/>
      <c r="AC1081" s="193"/>
      <c r="AD1081" s="193"/>
      <c r="AE1081" s="193"/>
    </row>
    <row r="1082" ht="14.25" customHeight="1">
      <c r="A1082" s="191" t="s">
        <v>4374</v>
      </c>
      <c r="B1082" s="192" t="s">
        <v>4375</v>
      </c>
      <c r="C1082" s="191" t="s">
        <v>4376</v>
      </c>
      <c r="D1082" s="193"/>
      <c r="E1082" s="193"/>
      <c r="F1082" s="194" t="s">
        <v>4377</v>
      </c>
      <c r="G1082" s="193"/>
      <c r="H1082" s="193"/>
      <c r="I1082" s="193"/>
      <c r="J1082" s="193"/>
      <c r="K1082" s="193"/>
      <c r="L1082" s="193"/>
      <c r="M1082" s="193"/>
      <c r="N1082" s="193"/>
      <c r="O1082" s="193"/>
      <c r="P1082" s="193"/>
      <c r="Q1082" s="193"/>
      <c r="R1082" s="193"/>
      <c r="S1082" s="193"/>
      <c r="T1082" s="193"/>
      <c r="U1082" s="193"/>
      <c r="V1082" s="193"/>
      <c r="W1082" s="193"/>
      <c r="X1082" s="193"/>
      <c r="Y1082" s="193"/>
      <c r="Z1082" s="193"/>
      <c r="AA1082" s="193"/>
      <c r="AB1082" s="193"/>
      <c r="AC1082" s="193"/>
      <c r="AD1082" s="193"/>
      <c r="AE1082" s="193"/>
    </row>
    <row r="1083" ht="14.25" customHeight="1">
      <c r="A1083" s="191" t="s">
        <v>4378</v>
      </c>
      <c r="B1083" s="192" t="s">
        <v>4379</v>
      </c>
      <c r="C1083" s="191" t="s">
        <v>4380</v>
      </c>
      <c r="D1083" s="193"/>
      <c r="E1083" s="193"/>
      <c r="F1083" s="194" t="s">
        <v>4381</v>
      </c>
      <c r="G1083" s="193"/>
      <c r="H1083" s="193"/>
      <c r="I1083" s="193"/>
      <c r="J1083" s="193"/>
      <c r="K1083" s="193"/>
      <c r="L1083" s="193"/>
      <c r="M1083" s="193"/>
      <c r="N1083" s="193"/>
      <c r="O1083" s="193"/>
      <c r="P1083" s="193"/>
      <c r="Q1083" s="193"/>
      <c r="R1083" s="193"/>
      <c r="S1083" s="193"/>
      <c r="T1083" s="193"/>
      <c r="U1083" s="193"/>
      <c r="V1083" s="193"/>
      <c r="W1083" s="193"/>
      <c r="X1083" s="193"/>
      <c r="Y1083" s="193"/>
      <c r="Z1083" s="193"/>
      <c r="AA1083" s="193"/>
      <c r="AB1083" s="193"/>
      <c r="AC1083" s="193"/>
      <c r="AD1083" s="193"/>
      <c r="AE1083" s="193"/>
    </row>
    <row r="1084" ht="14.25" customHeight="1">
      <c r="A1084" s="191" t="s">
        <v>4382</v>
      </c>
      <c r="B1084" s="192" t="s">
        <v>4383</v>
      </c>
      <c r="C1084" s="191" t="s">
        <v>4384</v>
      </c>
      <c r="D1084" s="193"/>
      <c r="E1084" s="193"/>
      <c r="F1084" s="195"/>
      <c r="G1084" s="193"/>
      <c r="H1084" s="193"/>
      <c r="I1084" s="193"/>
      <c r="J1084" s="193"/>
      <c r="K1084" s="193"/>
      <c r="L1084" s="193"/>
      <c r="M1084" s="193"/>
      <c r="N1084" s="193"/>
      <c r="O1084" s="193"/>
      <c r="P1084" s="193"/>
      <c r="Q1084" s="193"/>
      <c r="R1084" s="193"/>
      <c r="S1084" s="193"/>
      <c r="T1084" s="193"/>
      <c r="U1084" s="193"/>
      <c r="V1084" s="193"/>
      <c r="W1084" s="193"/>
      <c r="X1084" s="193"/>
      <c r="Y1084" s="193"/>
      <c r="Z1084" s="193"/>
      <c r="AA1084" s="193"/>
      <c r="AB1084" s="193"/>
      <c r="AC1084" s="193"/>
      <c r="AD1084" s="193"/>
      <c r="AE1084" s="193"/>
    </row>
    <row r="1085" ht="14.25" customHeight="1">
      <c r="A1085" s="191" t="s">
        <v>4385</v>
      </c>
      <c r="B1085" s="192" t="s">
        <v>4386</v>
      </c>
      <c r="C1085" s="191" t="s">
        <v>4387</v>
      </c>
      <c r="D1085" s="193"/>
      <c r="E1085" s="193"/>
      <c r="F1085" s="194" t="s">
        <v>4388</v>
      </c>
      <c r="G1085" s="193"/>
      <c r="H1085" s="193"/>
      <c r="I1085" s="193"/>
      <c r="J1085" s="193"/>
      <c r="K1085" s="193"/>
      <c r="L1085" s="193"/>
      <c r="M1085" s="193"/>
      <c r="N1085" s="193"/>
      <c r="O1085" s="193"/>
      <c r="P1085" s="193"/>
      <c r="Q1085" s="193"/>
      <c r="R1085" s="193"/>
      <c r="S1085" s="193"/>
      <c r="T1085" s="193"/>
      <c r="U1085" s="193"/>
      <c r="V1085" s="193"/>
      <c r="W1085" s="193"/>
      <c r="X1085" s="193"/>
      <c r="Y1085" s="193"/>
      <c r="Z1085" s="193"/>
      <c r="AA1085" s="193"/>
      <c r="AB1085" s="193"/>
      <c r="AC1085" s="193"/>
      <c r="AD1085" s="193"/>
      <c r="AE1085" s="193"/>
    </row>
    <row r="1086" ht="14.25" customHeight="1">
      <c r="A1086" s="191" t="s">
        <v>4389</v>
      </c>
      <c r="B1086" s="192" t="s">
        <v>4390</v>
      </c>
      <c r="C1086" s="191" t="s">
        <v>4391</v>
      </c>
      <c r="D1086" s="193"/>
      <c r="E1086" s="193"/>
      <c r="F1086" s="194" t="s">
        <v>4392</v>
      </c>
      <c r="G1086" s="193"/>
      <c r="H1086" s="193"/>
      <c r="I1086" s="193"/>
      <c r="J1086" s="193"/>
      <c r="K1086" s="193"/>
      <c r="L1086" s="193"/>
      <c r="M1086" s="193"/>
      <c r="N1086" s="193"/>
      <c r="O1086" s="193"/>
      <c r="P1086" s="193"/>
      <c r="Q1086" s="193"/>
      <c r="R1086" s="193"/>
      <c r="S1086" s="193"/>
      <c r="T1086" s="193"/>
      <c r="U1086" s="193"/>
      <c r="V1086" s="193"/>
      <c r="W1086" s="193"/>
      <c r="X1086" s="193"/>
      <c r="Y1086" s="193"/>
      <c r="Z1086" s="193"/>
      <c r="AA1086" s="193"/>
      <c r="AB1086" s="193"/>
      <c r="AC1086" s="193"/>
      <c r="AD1086" s="193"/>
      <c r="AE1086" s="193"/>
    </row>
    <row r="1087" ht="14.25" customHeight="1">
      <c r="A1087" s="191" t="s">
        <v>4393</v>
      </c>
      <c r="B1087" s="192" t="s">
        <v>4394</v>
      </c>
      <c r="C1087" s="191" t="s">
        <v>4395</v>
      </c>
      <c r="D1087" s="193"/>
      <c r="E1087" s="193"/>
      <c r="F1087" s="194" t="s">
        <v>4396</v>
      </c>
      <c r="G1087" s="193"/>
      <c r="H1087" s="193"/>
      <c r="I1087" s="193"/>
      <c r="J1087" s="193"/>
      <c r="K1087" s="193"/>
      <c r="L1087" s="193"/>
      <c r="M1087" s="193"/>
      <c r="N1087" s="193"/>
      <c r="O1087" s="193"/>
      <c r="P1087" s="193"/>
      <c r="Q1087" s="193"/>
      <c r="R1087" s="193"/>
      <c r="S1087" s="193"/>
      <c r="T1087" s="193"/>
      <c r="U1087" s="193"/>
      <c r="V1087" s="193"/>
      <c r="W1087" s="193"/>
      <c r="X1087" s="193"/>
      <c r="Y1087" s="193"/>
      <c r="Z1087" s="193"/>
      <c r="AA1087" s="193"/>
      <c r="AB1087" s="193"/>
      <c r="AC1087" s="193"/>
      <c r="AD1087" s="193"/>
      <c r="AE1087" s="193"/>
    </row>
    <row r="1088" ht="14.25" customHeight="1">
      <c r="A1088" s="191" t="s">
        <v>4397</v>
      </c>
      <c r="B1088" s="192" t="s">
        <v>4398</v>
      </c>
      <c r="C1088" s="191" t="s">
        <v>4399</v>
      </c>
      <c r="D1088" s="193"/>
      <c r="E1088" s="193"/>
      <c r="F1088" s="194" t="s">
        <v>4400</v>
      </c>
      <c r="G1088" s="193"/>
      <c r="H1088" s="193"/>
      <c r="I1088" s="193"/>
      <c r="J1088" s="193"/>
      <c r="K1088" s="193"/>
      <c r="L1088" s="193"/>
      <c r="M1088" s="193"/>
      <c r="N1088" s="193"/>
      <c r="O1088" s="193"/>
      <c r="P1088" s="193"/>
      <c r="Q1088" s="193"/>
      <c r="R1088" s="193"/>
      <c r="S1088" s="193"/>
      <c r="T1088" s="193"/>
      <c r="U1088" s="193"/>
      <c r="V1088" s="193"/>
      <c r="W1088" s="193"/>
      <c r="X1088" s="193"/>
      <c r="Y1088" s="193"/>
      <c r="Z1088" s="193"/>
      <c r="AA1088" s="193"/>
      <c r="AB1088" s="193"/>
      <c r="AC1088" s="193"/>
      <c r="AD1088" s="193"/>
      <c r="AE1088" s="193"/>
    </row>
    <row r="1089" ht="14.25" customHeight="1">
      <c r="A1089" s="191" t="s">
        <v>4401</v>
      </c>
      <c r="B1089" s="192" t="s">
        <v>4402</v>
      </c>
      <c r="C1089" s="191" t="s">
        <v>4403</v>
      </c>
      <c r="D1089" s="193"/>
      <c r="E1089" s="193"/>
      <c r="F1089" s="194" t="s">
        <v>4404</v>
      </c>
      <c r="G1089" s="193"/>
      <c r="H1089" s="193"/>
      <c r="I1089" s="193"/>
      <c r="J1089" s="193"/>
      <c r="K1089" s="193"/>
      <c r="L1089" s="193"/>
      <c r="M1089" s="193"/>
      <c r="N1089" s="193"/>
      <c r="O1089" s="193"/>
      <c r="P1089" s="193"/>
      <c r="Q1089" s="193"/>
      <c r="R1089" s="193"/>
      <c r="S1089" s="193"/>
      <c r="T1089" s="193"/>
      <c r="U1089" s="193"/>
      <c r="V1089" s="193"/>
      <c r="W1089" s="193"/>
      <c r="X1089" s="193"/>
      <c r="Y1089" s="193"/>
      <c r="Z1089" s="193"/>
      <c r="AA1089" s="193"/>
      <c r="AB1089" s="193"/>
      <c r="AC1089" s="193"/>
      <c r="AD1089" s="193"/>
      <c r="AE1089" s="193"/>
    </row>
    <row r="1090" ht="14.25" customHeight="1">
      <c r="A1090" s="191" t="s">
        <v>4405</v>
      </c>
      <c r="B1090" s="192" t="s">
        <v>4406</v>
      </c>
      <c r="C1090" s="191" t="s">
        <v>4407</v>
      </c>
      <c r="D1090" s="193"/>
      <c r="E1090" s="193"/>
      <c r="F1090" s="194" t="s">
        <v>4408</v>
      </c>
      <c r="G1090" s="193"/>
      <c r="H1090" s="193"/>
      <c r="I1090" s="193"/>
      <c r="J1090" s="193"/>
      <c r="K1090" s="193"/>
      <c r="L1090" s="193"/>
      <c r="M1090" s="193"/>
      <c r="N1090" s="193"/>
      <c r="O1090" s="193"/>
      <c r="P1090" s="193"/>
      <c r="Q1090" s="193"/>
      <c r="R1090" s="193"/>
      <c r="S1090" s="193"/>
      <c r="T1090" s="193"/>
      <c r="U1090" s="193"/>
      <c r="V1090" s="193"/>
      <c r="W1090" s="193"/>
      <c r="X1090" s="193"/>
      <c r="Y1090" s="193"/>
      <c r="Z1090" s="193"/>
      <c r="AA1090" s="193"/>
      <c r="AB1090" s="193"/>
      <c r="AC1090" s="193"/>
      <c r="AD1090" s="193"/>
      <c r="AE1090" s="193"/>
    </row>
    <row r="1091" ht="14.25" customHeight="1">
      <c r="A1091" s="191" t="s">
        <v>4409</v>
      </c>
      <c r="B1091" s="192" t="s">
        <v>4410</v>
      </c>
      <c r="C1091" s="191" t="s">
        <v>4411</v>
      </c>
      <c r="D1091" s="193"/>
      <c r="E1091" s="193"/>
      <c r="F1091" s="194" t="s">
        <v>4412</v>
      </c>
      <c r="G1091" s="193"/>
      <c r="H1091" s="193"/>
      <c r="I1091" s="193"/>
      <c r="J1091" s="193"/>
      <c r="K1091" s="193"/>
      <c r="L1091" s="193"/>
      <c r="M1091" s="193"/>
      <c r="N1091" s="193"/>
      <c r="O1091" s="193"/>
      <c r="P1091" s="193"/>
      <c r="Q1091" s="193"/>
      <c r="R1091" s="193"/>
      <c r="S1091" s="193"/>
      <c r="T1091" s="193"/>
      <c r="U1091" s="193"/>
      <c r="V1091" s="193"/>
      <c r="W1091" s="193"/>
      <c r="X1091" s="193"/>
      <c r="Y1091" s="193"/>
      <c r="Z1091" s="193"/>
      <c r="AA1091" s="193"/>
      <c r="AB1091" s="193"/>
      <c r="AC1091" s="193"/>
      <c r="AD1091" s="193"/>
      <c r="AE1091" s="193"/>
    </row>
    <row r="1092" ht="14.25" customHeight="1">
      <c r="A1092" s="191" t="s">
        <v>4413</v>
      </c>
      <c r="B1092" s="192" t="s">
        <v>4414</v>
      </c>
      <c r="C1092" s="191" t="s">
        <v>4415</v>
      </c>
      <c r="D1092" s="193"/>
      <c r="E1092" s="193"/>
      <c r="F1092" s="194" t="s">
        <v>4416</v>
      </c>
      <c r="G1092" s="193"/>
      <c r="H1092" s="193"/>
      <c r="I1092" s="193"/>
      <c r="J1092" s="193"/>
      <c r="K1092" s="193"/>
      <c r="L1092" s="193"/>
      <c r="M1092" s="193"/>
      <c r="N1092" s="193"/>
      <c r="O1092" s="193"/>
      <c r="P1092" s="193"/>
      <c r="Q1092" s="193"/>
      <c r="R1092" s="193"/>
      <c r="S1092" s="193"/>
      <c r="T1092" s="193"/>
      <c r="U1092" s="193"/>
      <c r="V1092" s="193"/>
      <c r="W1092" s="193"/>
      <c r="X1092" s="193"/>
      <c r="Y1092" s="193"/>
      <c r="Z1092" s="193"/>
      <c r="AA1092" s="193"/>
      <c r="AB1092" s="193"/>
      <c r="AC1092" s="193"/>
      <c r="AD1092" s="193"/>
      <c r="AE1092" s="193"/>
    </row>
    <row r="1093" ht="14.25" customHeight="1">
      <c r="A1093" s="191" t="s">
        <v>4417</v>
      </c>
      <c r="B1093" s="192" t="s">
        <v>4418</v>
      </c>
      <c r="C1093" s="191" t="s">
        <v>4419</v>
      </c>
      <c r="D1093" s="193"/>
      <c r="E1093" s="193"/>
      <c r="F1093" s="194" t="s">
        <v>4420</v>
      </c>
      <c r="G1093" s="193"/>
      <c r="H1093" s="193"/>
      <c r="I1093" s="193"/>
      <c r="J1093" s="193"/>
      <c r="K1093" s="193"/>
      <c r="L1093" s="193"/>
      <c r="M1093" s="193"/>
      <c r="N1093" s="193"/>
      <c r="O1093" s="193"/>
      <c r="P1093" s="193"/>
      <c r="Q1093" s="193"/>
      <c r="R1093" s="193"/>
      <c r="S1093" s="193"/>
      <c r="T1093" s="193"/>
      <c r="U1093" s="193"/>
      <c r="V1093" s="193"/>
      <c r="W1093" s="193"/>
      <c r="X1093" s="193"/>
      <c r="Y1093" s="193"/>
      <c r="Z1093" s="193"/>
      <c r="AA1093" s="193"/>
      <c r="AB1093" s="193"/>
      <c r="AC1093" s="193"/>
      <c r="AD1093" s="193"/>
      <c r="AE1093" s="193"/>
    </row>
    <row r="1094" ht="14.25" customHeight="1">
      <c r="A1094" s="191" t="s">
        <v>4421</v>
      </c>
      <c r="B1094" s="192" t="s">
        <v>4422</v>
      </c>
      <c r="C1094" s="191" t="s">
        <v>4423</v>
      </c>
      <c r="D1094" s="193"/>
      <c r="E1094" s="193"/>
      <c r="F1094" s="194" t="s">
        <v>4424</v>
      </c>
      <c r="G1094" s="193"/>
      <c r="H1094" s="193"/>
      <c r="I1094" s="193"/>
      <c r="J1094" s="193"/>
      <c r="K1094" s="193"/>
      <c r="L1094" s="193"/>
      <c r="M1094" s="193"/>
      <c r="N1094" s="193"/>
      <c r="O1094" s="193"/>
      <c r="P1094" s="193"/>
      <c r="Q1094" s="193"/>
      <c r="R1094" s="193"/>
      <c r="S1094" s="193"/>
      <c r="T1094" s="193"/>
      <c r="U1094" s="193"/>
      <c r="V1094" s="193"/>
      <c r="W1094" s="193"/>
      <c r="X1094" s="193"/>
      <c r="Y1094" s="193"/>
      <c r="Z1094" s="193"/>
      <c r="AA1094" s="193"/>
      <c r="AB1094" s="193"/>
      <c r="AC1094" s="193"/>
      <c r="AD1094" s="193"/>
      <c r="AE1094" s="193"/>
    </row>
    <row r="1095" ht="14.25" customHeight="1">
      <c r="A1095" s="191" t="s">
        <v>4425</v>
      </c>
      <c r="B1095" s="192" t="s">
        <v>4426</v>
      </c>
      <c r="C1095" s="191" t="s">
        <v>4427</v>
      </c>
      <c r="D1095" s="193"/>
      <c r="E1095" s="193"/>
      <c r="F1095" s="194" t="s">
        <v>4428</v>
      </c>
      <c r="G1095" s="193"/>
      <c r="H1095" s="193"/>
      <c r="I1095" s="193"/>
      <c r="J1095" s="193"/>
      <c r="K1095" s="193"/>
      <c r="L1095" s="193"/>
      <c r="M1095" s="193"/>
      <c r="N1095" s="193"/>
      <c r="O1095" s="193"/>
      <c r="P1095" s="193"/>
      <c r="Q1095" s="193"/>
      <c r="R1095" s="193"/>
      <c r="S1095" s="193"/>
      <c r="T1095" s="193"/>
      <c r="U1095" s="193"/>
      <c r="V1095" s="193"/>
      <c r="W1095" s="193"/>
      <c r="X1095" s="193"/>
      <c r="Y1095" s="193"/>
      <c r="Z1095" s="193"/>
      <c r="AA1095" s="193"/>
      <c r="AB1095" s="193"/>
      <c r="AC1095" s="193"/>
      <c r="AD1095" s="193"/>
      <c r="AE1095" s="193"/>
    </row>
    <row r="1096" ht="14.25" customHeight="1">
      <c r="A1096" s="191" t="s">
        <v>4429</v>
      </c>
      <c r="B1096" s="192" t="s">
        <v>4430</v>
      </c>
      <c r="C1096" s="191" t="s">
        <v>4431</v>
      </c>
      <c r="D1096" s="193"/>
      <c r="E1096" s="193"/>
      <c r="F1096" s="194" t="s">
        <v>4432</v>
      </c>
      <c r="G1096" s="193"/>
      <c r="H1096" s="193"/>
      <c r="I1096" s="193"/>
      <c r="J1096" s="193"/>
      <c r="K1096" s="193"/>
      <c r="L1096" s="193"/>
      <c r="M1096" s="193"/>
      <c r="N1096" s="193"/>
      <c r="O1096" s="193"/>
      <c r="P1096" s="193"/>
      <c r="Q1096" s="193"/>
      <c r="R1096" s="193"/>
      <c r="S1096" s="193"/>
      <c r="T1096" s="193"/>
      <c r="U1096" s="193"/>
      <c r="V1096" s="193"/>
      <c r="W1096" s="193"/>
      <c r="X1096" s="193"/>
      <c r="Y1096" s="193"/>
      <c r="Z1096" s="193"/>
      <c r="AA1096" s="193"/>
      <c r="AB1096" s="193"/>
      <c r="AC1096" s="193"/>
      <c r="AD1096" s="193"/>
      <c r="AE1096" s="193"/>
    </row>
    <row r="1097" ht="14.25" customHeight="1">
      <c r="A1097" s="191" t="s">
        <v>4433</v>
      </c>
      <c r="B1097" s="192" t="s">
        <v>4434</v>
      </c>
      <c r="C1097" s="191" t="s">
        <v>4435</v>
      </c>
      <c r="D1097" s="193"/>
      <c r="E1097" s="193"/>
      <c r="F1097" s="194" t="s">
        <v>4436</v>
      </c>
      <c r="G1097" s="193"/>
      <c r="H1097" s="193"/>
      <c r="I1097" s="193"/>
      <c r="J1097" s="193"/>
      <c r="K1097" s="193"/>
      <c r="L1097" s="193"/>
      <c r="M1097" s="193"/>
      <c r="N1097" s="193"/>
      <c r="O1097" s="193"/>
      <c r="P1097" s="193"/>
      <c r="Q1097" s="193"/>
      <c r="R1097" s="193"/>
      <c r="S1097" s="193"/>
      <c r="T1097" s="193"/>
      <c r="U1097" s="193"/>
      <c r="V1097" s="193"/>
      <c r="W1097" s="193"/>
      <c r="X1097" s="193"/>
      <c r="Y1097" s="193"/>
      <c r="Z1097" s="193"/>
      <c r="AA1097" s="193"/>
      <c r="AB1097" s="193"/>
      <c r="AC1097" s="193"/>
      <c r="AD1097" s="193"/>
      <c r="AE1097" s="193"/>
    </row>
    <row r="1098" ht="14.25" customHeight="1">
      <c r="A1098" s="191" t="s">
        <v>4437</v>
      </c>
      <c r="B1098" s="192" t="s">
        <v>4438</v>
      </c>
      <c r="C1098" s="191" t="s">
        <v>4439</v>
      </c>
      <c r="D1098" s="193"/>
      <c r="E1098" s="193"/>
      <c r="F1098" s="194" t="s">
        <v>4440</v>
      </c>
      <c r="G1098" s="193"/>
      <c r="H1098" s="193"/>
      <c r="I1098" s="193"/>
      <c r="J1098" s="193"/>
      <c r="K1098" s="193"/>
      <c r="L1098" s="193"/>
      <c r="M1098" s="193"/>
      <c r="N1098" s="193"/>
      <c r="O1098" s="193"/>
      <c r="P1098" s="193"/>
      <c r="Q1098" s="193"/>
      <c r="R1098" s="193"/>
      <c r="S1098" s="193"/>
      <c r="T1098" s="193"/>
      <c r="U1098" s="193"/>
      <c r="V1098" s="193"/>
      <c r="W1098" s="193"/>
      <c r="X1098" s="193"/>
      <c r="Y1098" s="193"/>
      <c r="Z1098" s="193"/>
      <c r="AA1098" s="193"/>
      <c r="AB1098" s="193"/>
      <c r="AC1098" s="193"/>
      <c r="AD1098" s="193"/>
      <c r="AE1098" s="193"/>
    </row>
    <row r="1099" ht="14.25" customHeight="1">
      <c r="A1099" s="191" t="s">
        <v>4441</v>
      </c>
      <c r="B1099" s="192" t="s">
        <v>4442</v>
      </c>
      <c r="C1099" s="191" t="s">
        <v>4443</v>
      </c>
      <c r="D1099" s="193"/>
      <c r="E1099" s="193"/>
      <c r="F1099" s="195"/>
      <c r="G1099" s="193"/>
      <c r="H1099" s="193"/>
      <c r="I1099" s="193"/>
      <c r="J1099" s="193"/>
      <c r="K1099" s="193"/>
      <c r="L1099" s="193"/>
      <c r="M1099" s="193"/>
      <c r="N1099" s="193"/>
      <c r="O1099" s="193"/>
      <c r="P1099" s="193"/>
      <c r="Q1099" s="193"/>
      <c r="R1099" s="193"/>
      <c r="S1099" s="193"/>
      <c r="T1099" s="193"/>
      <c r="U1099" s="193"/>
      <c r="V1099" s="193"/>
      <c r="W1099" s="193"/>
      <c r="X1099" s="193"/>
      <c r="Y1099" s="193"/>
      <c r="Z1099" s="193"/>
      <c r="AA1099" s="193"/>
      <c r="AB1099" s="193"/>
      <c r="AC1099" s="193"/>
      <c r="AD1099" s="193"/>
      <c r="AE1099" s="193"/>
    </row>
    <row r="1100" ht="14.25" customHeight="1">
      <c r="A1100" s="191" t="s">
        <v>4444</v>
      </c>
      <c r="B1100" s="192" t="s">
        <v>4445</v>
      </c>
      <c r="C1100" s="191" t="s">
        <v>4446</v>
      </c>
      <c r="D1100" s="193"/>
      <c r="E1100" s="193"/>
      <c r="F1100" s="195"/>
      <c r="G1100" s="193"/>
      <c r="H1100" s="193"/>
      <c r="I1100" s="193"/>
      <c r="J1100" s="193"/>
      <c r="K1100" s="193"/>
      <c r="L1100" s="193"/>
      <c r="M1100" s="193"/>
      <c r="N1100" s="193"/>
      <c r="O1100" s="193"/>
      <c r="P1100" s="193"/>
      <c r="Q1100" s="193"/>
      <c r="R1100" s="193"/>
      <c r="S1100" s="193"/>
      <c r="T1100" s="193"/>
      <c r="U1100" s="193"/>
      <c r="V1100" s="193"/>
      <c r="W1100" s="193"/>
      <c r="X1100" s="193"/>
      <c r="Y1100" s="193"/>
      <c r="Z1100" s="193"/>
      <c r="AA1100" s="193"/>
      <c r="AB1100" s="193"/>
      <c r="AC1100" s="193"/>
      <c r="AD1100" s="193"/>
      <c r="AE1100" s="193"/>
    </row>
    <row r="1101" ht="14.25" customHeight="1">
      <c r="A1101" s="191" t="s">
        <v>4447</v>
      </c>
      <c r="B1101" s="192" t="s">
        <v>4448</v>
      </c>
      <c r="C1101" s="191" t="s">
        <v>4449</v>
      </c>
      <c r="D1101" s="193"/>
      <c r="E1101" s="193"/>
      <c r="F1101" s="195"/>
      <c r="G1101" s="193"/>
      <c r="H1101" s="193"/>
      <c r="I1101" s="193"/>
      <c r="J1101" s="193"/>
      <c r="K1101" s="193"/>
      <c r="L1101" s="193"/>
      <c r="M1101" s="193"/>
      <c r="N1101" s="193"/>
      <c r="O1101" s="193"/>
      <c r="P1101" s="193"/>
      <c r="Q1101" s="193"/>
      <c r="R1101" s="193"/>
      <c r="S1101" s="193"/>
      <c r="T1101" s="193"/>
      <c r="U1101" s="193"/>
      <c r="V1101" s="193"/>
      <c r="W1101" s="193"/>
      <c r="X1101" s="193"/>
      <c r="Y1101" s="193"/>
      <c r="Z1101" s="193"/>
      <c r="AA1101" s="193"/>
      <c r="AB1101" s="193"/>
      <c r="AC1101" s="193"/>
      <c r="AD1101" s="193"/>
      <c r="AE1101" s="193"/>
    </row>
    <row r="1102" ht="14.25" customHeight="1">
      <c r="A1102" s="191" t="s">
        <v>4450</v>
      </c>
      <c r="B1102" s="192" t="s">
        <v>4451</v>
      </c>
      <c r="C1102" s="191" t="s">
        <v>53</v>
      </c>
      <c r="D1102" s="193"/>
      <c r="E1102" s="193"/>
      <c r="F1102" s="195"/>
      <c r="G1102" s="193"/>
      <c r="H1102" s="193"/>
      <c r="I1102" s="193"/>
      <c r="J1102" s="193"/>
      <c r="K1102" s="193"/>
      <c r="L1102" s="193"/>
      <c r="M1102" s="193"/>
      <c r="N1102" s="193"/>
      <c r="O1102" s="193"/>
      <c r="P1102" s="193"/>
      <c r="Q1102" s="193"/>
      <c r="R1102" s="193"/>
      <c r="S1102" s="193"/>
      <c r="T1102" s="193"/>
      <c r="U1102" s="193"/>
      <c r="V1102" s="193"/>
      <c r="W1102" s="193"/>
      <c r="X1102" s="193"/>
      <c r="Y1102" s="193"/>
      <c r="Z1102" s="193"/>
      <c r="AA1102" s="193"/>
      <c r="AB1102" s="193"/>
      <c r="AC1102" s="193"/>
      <c r="AD1102" s="193"/>
      <c r="AE1102" s="193"/>
    </row>
    <row r="1103" ht="14.25" customHeight="1">
      <c r="A1103" s="191" t="s">
        <v>4452</v>
      </c>
      <c r="B1103" s="192" t="s">
        <v>4453</v>
      </c>
      <c r="C1103" s="191" t="s">
        <v>4454</v>
      </c>
      <c r="D1103" s="193"/>
      <c r="E1103" s="193"/>
      <c r="F1103" s="195"/>
      <c r="G1103" s="193"/>
      <c r="H1103" s="193"/>
      <c r="I1103" s="193"/>
      <c r="J1103" s="193"/>
      <c r="K1103" s="193"/>
      <c r="L1103" s="193"/>
      <c r="M1103" s="193"/>
      <c r="N1103" s="193"/>
      <c r="O1103" s="193"/>
      <c r="P1103" s="193"/>
      <c r="Q1103" s="193"/>
      <c r="R1103" s="193"/>
      <c r="S1103" s="193"/>
      <c r="T1103" s="193"/>
      <c r="U1103" s="193"/>
      <c r="V1103" s="193"/>
      <c r="W1103" s="193"/>
      <c r="X1103" s="193"/>
      <c r="Y1103" s="193"/>
      <c r="Z1103" s="193"/>
      <c r="AA1103" s="193"/>
      <c r="AB1103" s="193"/>
      <c r="AC1103" s="193"/>
      <c r="AD1103" s="193"/>
      <c r="AE1103" s="193"/>
    </row>
    <row r="1104" ht="14.25" customHeight="1">
      <c r="A1104" s="191" t="s">
        <v>4455</v>
      </c>
      <c r="B1104" s="192" t="s">
        <v>4456</v>
      </c>
      <c r="C1104" s="191" t="s">
        <v>69</v>
      </c>
      <c r="D1104" s="193"/>
      <c r="E1104" s="193"/>
      <c r="F1104" s="195"/>
      <c r="G1104" s="193"/>
      <c r="H1104" s="193"/>
      <c r="I1104" s="193"/>
      <c r="J1104" s="193"/>
      <c r="K1104" s="193"/>
      <c r="L1104" s="193"/>
      <c r="M1104" s="193"/>
      <c r="N1104" s="193"/>
      <c r="O1104" s="193"/>
      <c r="P1104" s="193"/>
      <c r="Q1104" s="193"/>
      <c r="R1104" s="193"/>
      <c r="S1104" s="193"/>
      <c r="T1104" s="193"/>
      <c r="U1104" s="193"/>
      <c r="V1104" s="193"/>
      <c r="W1104" s="193"/>
      <c r="X1104" s="193"/>
      <c r="Y1104" s="193"/>
      <c r="Z1104" s="193"/>
      <c r="AA1104" s="193"/>
      <c r="AB1104" s="193"/>
      <c r="AC1104" s="193"/>
      <c r="AD1104" s="193"/>
      <c r="AE1104" s="193"/>
    </row>
    <row r="1105" ht="14.25" customHeight="1">
      <c r="A1105" s="191" t="s">
        <v>4457</v>
      </c>
      <c r="B1105" s="192" t="s">
        <v>4458</v>
      </c>
      <c r="C1105" s="191" t="s">
        <v>4459</v>
      </c>
      <c r="D1105" s="193"/>
      <c r="E1105" s="193"/>
      <c r="F1105" s="195"/>
      <c r="G1105" s="193"/>
      <c r="H1105" s="193"/>
      <c r="I1105" s="193"/>
      <c r="J1105" s="193"/>
      <c r="K1105" s="193"/>
      <c r="L1105" s="193"/>
      <c r="M1105" s="193"/>
      <c r="N1105" s="193"/>
      <c r="O1105" s="193"/>
      <c r="P1105" s="193"/>
      <c r="Q1105" s="193"/>
      <c r="R1105" s="193"/>
      <c r="S1105" s="193"/>
      <c r="T1105" s="193"/>
      <c r="U1105" s="193"/>
      <c r="V1105" s="193"/>
      <c r="W1105" s="193"/>
      <c r="X1105" s="193"/>
      <c r="Y1105" s="193"/>
      <c r="Z1105" s="193"/>
      <c r="AA1105" s="193"/>
      <c r="AB1105" s="193"/>
      <c r="AC1105" s="193"/>
      <c r="AD1105" s="193"/>
      <c r="AE1105" s="193"/>
    </row>
    <row r="1106" ht="14.25" customHeight="1">
      <c r="A1106" s="191" t="s">
        <v>4460</v>
      </c>
      <c r="B1106" s="192" t="s">
        <v>4461</v>
      </c>
      <c r="C1106" s="191" t="s">
        <v>4462</v>
      </c>
      <c r="D1106" s="193"/>
      <c r="E1106" s="193"/>
      <c r="F1106" s="195"/>
      <c r="G1106" s="193"/>
      <c r="H1106" s="193"/>
      <c r="I1106" s="193"/>
      <c r="J1106" s="193"/>
      <c r="K1106" s="193"/>
      <c r="L1106" s="193"/>
      <c r="M1106" s="193"/>
      <c r="N1106" s="193"/>
      <c r="O1106" s="193"/>
      <c r="P1106" s="193"/>
      <c r="Q1106" s="193"/>
      <c r="R1106" s="193"/>
      <c r="S1106" s="193"/>
      <c r="T1106" s="193"/>
      <c r="U1106" s="193"/>
      <c r="V1106" s="193"/>
      <c r="W1106" s="193"/>
      <c r="X1106" s="193"/>
      <c r="Y1106" s="193"/>
      <c r="Z1106" s="193"/>
      <c r="AA1106" s="193"/>
      <c r="AB1106" s="193"/>
      <c r="AC1106" s="193"/>
      <c r="AD1106" s="193"/>
      <c r="AE1106" s="193"/>
    </row>
    <row r="1107" ht="14.25" customHeight="1">
      <c r="A1107" s="191" t="s">
        <v>4463</v>
      </c>
      <c r="B1107" s="192" t="s">
        <v>4464</v>
      </c>
      <c r="C1107" s="191" t="s">
        <v>53</v>
      </c>
      <c r="D1107" s="193"/>
      <c r="E1107" s="193"/>
      <c r="F1107" s="195"/>
      <c r="G1107" s="193"/>
      <c r="H1107" s="193"/>
      <c r="I1107" s="193"/>
      <c r="J1107" s="193"/>
      <c r="K1107" s="193"/>
      <c r="L1107" s="193"/>
      <c r="M1107" s="193"/>
      <c r="N1107" s="193"/>
      <c r="O1107" s="193"/>
      <c r="P1107" s="193"/>
      <c r="Q1107" s="193"/>
      <c r="R1107" s="193"/>
      <c r="S1107" s="193"/>
      <c r="T1107" s="193"/>
      <c r="U1107" s="193"/>
      <c r="V1107" s="193"/>
      <c r="W1107" s="193"/>
      <c r="X1107" s="193"/>
      <c r="Y1107" s="193"/>
      <c r="Z1107" s="193"/>
      <c r="AA1107" s="193"/>
      <c r="AB1107" s="193"/>
      <c r="AC1107" s="193"/>
      <c r="AD1107" s="193"/>
      <c r="AE1107" s="193"/>
    </row>
    <row r="1108" ht="14.25" customHeight="1">
      <c r="A1108" s="191" t="s">
        <v>4465</v>
      </c>
      <c r="B1108" s="192" t="s">
        <v>4466</v>
      </c>
      <c r="C1108" s="191" t="s">
        <v>4467</v>
      </c>
      <c r="D1108" s="193"/>
      <c r="E1108" s="193"/>
      <c r="F1108" s="195"/>
      <c r="G1108" s="193"/>
      <c r="H1108" s="193"/>
      <c r="I1108" s="193"/>
      <c r="J1108" s="193"/>
      <c r="K1108" s="193"/>
      <c r="L1108" s="193"/>
      <c r="M1108" s="193"/>
      <c r="N1108" s="193"/>
      <c r="O1108" s="193"/>
      <c r="P1108" s="193"/>
      <c r="Q1108" s="193"/>
      <c r="R1108" s="193"/>
      <c r="S1108" s="193"/>
      <c r="T1108" s="193"/>
      <c r="U1108" s="193"/>
      <c r="V1108" s="193"/>
      <c r="W1108" s="193"/>
      <c r="X1108" s="193"/>
      <c r="Y1108" s="193"/>
      <c r="Z1108" s="193"/>
      <c r="AA1108" s="193"/>
      <c r="AB1108" s="193"/>
      <c r="AC1108" s="193"/>
      <c r="AD1108" s="193"/>
      <c r="AE1108" s="193"/>
    </row>
    <row r="1109" ht="14.25" customHeight="1">
      <c r="A1109" s="191" t="s">
        <v>4468</v>
      </c>
      <c r="B1109" s="192" t="s">
        <v>4469</v>
      </c>
      <c r="C1109" s="191" t="s">
        <v>4470</v>
      </c>
      <c r="D1109" s="193"/>
      <c r="E1109" s="193"/>
      <c r="F1109" s="194" t="s">
        <v>4471</v>
      </c>
      <c r="G1109" s="193"/>
      <c r="H1109" s="193"/>
      <c r="I1109" s="193"/>
      <c r="J1109" s="193"/>
      <c r="K1109" s="193"/>
      <c r="L1109" s="193"/>
      <c r="M1109" s="193"/>
      <c r="N1109" s="193"/>
      <c r="O1109" s="193"/>
      <c r="P1109" s="193"/>
      <c r="Q1109" s="193"/>
      <c r="R1109" s="193"/>
      <c r="S1109" s="193"/>
      <c r="T1109" s="193"/>
      <c r="U1109" s="193"/>
      <c r="V1109" s="193"/>
      <c r="W1109" s="193"/>
      <c r="X1109" s="193"/>
      <c r="Y1109" s="193"/>
      <c r="Z1109" s="193"/>
      <c r="AA1109" s="193"/>
      <c r="AB1109" s="193"/>
      <c r="AC1109" s="193"/>
      <c r="AD1109" s="193"/>
      <c r="AE1109" s="193"/>
    </row>
    <row r="1110" ht="14.25" customHeight="1">
      <c r="A1110" s="191" t="s">
        <v>4472</v>
      </c>
      <c r="B1110" s="192" t="s">
        <v>4473</v>
      </c>
      <c r="C1110" s="191" t="s">
        <v>4474</v>
      </c>
      <c r="D1110" s="193"/>
      <c r="E1110" s="193"/>
      <c r="F1110" s="194" t="s">
        <v>4475</v>
      </c>
      <c r="G1110" s="193"/>
      <c r="H1110" s="193"/>
      <c r="I1110" s="193"/>
      <c r="J1110" s="193"/>
      <c r="K1110" s="193"/>
      <c r="L1110" s="193"/>
      <c r="M1110" s="193"/>
      <c r="N1110" s="193"/>
      <c r="O1110" s="193"/>
      <c r="P1110" s="193"/>
      <c r="Q1110" s="193"/>
      <c r="R1110" s="193"/>
      <c r="S1110" s="193"/>
      <c r="T1110" s="193"/>
      <c r="U1110" s="193"/>
      <c r="V1110" s="193"/>
      <c r="W1110" s="193"/>
      <c r="X1110" s="193"/>
      <c r="Y1110" s="193"/>
      <c r="Z1110" s="193"/>
      <c r="AA1110" s="193"/>
      <c r="AB1110" s="193"/>
      <c r="AC1110" s="193"/>
      <c r="AD1110" s="193"/>
      <c r="AE1110" s="193"/>
    </row>
    <row r="1111" ht="14.25" customHeight="1">
      <c r="A1111" s="191" t="s">
        <v>4476</v>
      </c>
      <c r="B1111" s="192" t="s">
        <v>4477</v>
      </c>
      <c r="C1111" s="191" t="s">
        <v>4478</v>
      </c>
      <c r="D1111" s="193"/>
      <c r="E1111" s="193"/>
      <c r="F1111" s="194" t="s">
        <v>4479</v>
      </c>
      <c r="G1111" s="193"/>
      <c r="H1111" s="193"/>
      <c r="I1111" s="193"/>
      <c r="J1111" s="193"/>
      <c r="K1111" s="193"/>
      <c r="L1111" s="193"/>
      <c r="M1111" s="193"/>
      <c r="N1111" s="193"/>
      <c r="O1111" s="193"/>
      <c r="P1111" s="193"/>
      <c r="Q1111" s="193"/>
      <c r="R1111" s="193"/>
      <c r="S1111" s="193"/>
      <c r="T1111" s="193"/>
      <c r="U1111" s="193"/>
      <c r="V1111" s="193"/>
      <c r="W1111" s="193"/>
      <c r="X1111" s="193"/>
      <c r="Y1111" s="193"/>
      <c r="Z1111" s="193"/>
      <c r="AA1111" s="193"/>
      <c r="AB1111" s="193"/>
      <c r="AC1111" s="193"/>
      <c r="AD1111" s="193"/>
      <c r="AE1111" s="193"/>
    </row>
    <row r="1112" ht="14.25" customHeight="1">
      <c r="A1112" s="191" t="s">
        <v>4480</v>
      </c>
      <c r="B1112" s="192" t="s">
        <v>4481</v>
      </c>
      <c r="C1112" s="191" t="s">
        <v>4482</v>
      </c>
      <c r="D1112" s="193"/>
      <c r="E1112" s="193"/>
      <c r="F1112" s="194" t="s">
        <v>4483</v>
      </c>
      <c r="G1112" s="193"/>
      <c r="H1112" s="193"/>
      <c r="I1112" s="193"/>
      <c r="J1112" s="193"/>
      <c r="K1112" s="193"/>
      <c r="L1112" s="193"/>
      <c r="M1112" s="193"/>
      <c r="N1112" s="193"/>
      <c r="O1112" s="193"/>
      <c r="P1112" s="193"/>
      <c r="Q1112" s="193"/>
      <c r="R1112" s="193"/>
      <c r="S1112" s="193"/>
      <c r="T1112" s="193"/>
      <c r="U1112" s="193"/>
      <c r="V1112" s="193"/>
      <c r="W1112" s="193"/>
      <c r="X1112" s="193"/>
      <c r="Y1112" s="193"/>
      <c r="Z1112" s="193"/>
      <c r="AA1112" s="193"/>
      <c r="AB1112" s="193"/>
      <c r="AC1112" s="193"/>
      <c r="AD1112" s="193"/>
      <c r="AE1112" s="193"/>
    </row>
    <row r="1113" ht="14.25" customHeight="1">
      <c r="A1113" s="191" t="s">
        <v>4484</v>
      </c>
      <c r="B1113" s="192" t="s">
        <v>4485</v>
      </c>
      <c r="C1113" s="191" t="s">
        <v>4486</v>
      </c>
      <c r="D1113" s="193"/>
      <c r="E1113" s="193"/>
      <c r="F1113" s="194" t="s">
        <v>4487</v>
      </c>
      <c r="G1113" s="193"/>
      <c r="H1113" s="193"/>
      <c r="I1113" s="193"/>
      <c r="J1113" s="193"/>
      <c r="K1113" s="193"/>
      <c r="L1113" s="193"/>
      <c r="M1113" s="193"/>
      <c r="N1113" s="193"/>
      <c r="O1113" s="193"/>
      <c r="P1113" s="193"/>
      <c r="Q1113" s="193"/>
      <c r="R1113" s="193"/>
      <c r="S1113" s="193"/>
      <c r="T1113" s="193"/>
      <c r="U1113" s="193"/>
      <c r="V1113" s="193"/>
      <c r="W1113" s="193"/>
      <c r="X1113" s="193"/>
      <c r="Y1113" s="193"/>
      <c r="Z1113" s="193"/>
      <c r="AA1113" s="193"/>
      <c r="AB1113" s="193"/>
      <c r="AC1113" s="193"/>
      <c r="AD1113" s="193"/>
      <c r="AE1113" s="193"/>
    </row>
    <row r="1114" ht="14.25" customHeight="1">
      <c r="A1114" s="191" t="s">
        <v>4488</v>
      </c>
      <c r="B1114" s="192" t="s">
        <v>4489</v>
      </c>
      <c r="C1114" s="191" t="s">
        <v>4490</v>
      </c>
      <c r="D1114" s="193"/>
      <c r="E1114" s="193"/>
      <c r="F1114" s="194" t="s">
        <v>4491</v>
      </c>
      <c r="G1114" s="193"/>
      <c r="H1114" s="193"/>
      <c r="I1114" s="193"/>
      <c r="J1114" s="193"/>
      <c r="K1114" s="193"/>
      <c r="L1114" s="193"/>
      <c r="M1114" s="193"/>
      <c r="N1114" s="193"/>
      <c r="O1114" s="193"/>
      <c r="P1114" s="193"/>
      <c r="Q1114" s="193"/>
      <c r="R1114" s="193"/>
      <c r="S1114" s="193"/>
      <c r="T1114" s="193"/>
      <c r="U1114" s="193"/>
      <c r="V1114" s="193"/>
      <c r="W1114" s="193"/>
      <c r="X1114" s="193"/>
      <c r="Y1114" s="193"/>
      <c r="Z1114" s="193"/>
      <c r="AA1114" s="193"/>
      <c r="AB1114" s="193"/>
      <c r="AC1114" s="193"/>
      <c r="AD1114" s="193"/>
      <c r="AE1114" s="193"/>
    </row>
    <row r="1115" ht="14.25" customHeight="1">
      <c r="A1115" s="191" t="s">
        <v>4492</v>
      </c>
      <c r="B1115" s="192" t="s">
        <v>4493</v>
      </c>
      <c r="C1115" s="191" t="s">
        <v>4494</v>
      </c>
      <c r="D1115" s="193"/>
      <c r="E1115" s="193"/>
      <c r="F1115" s="194" t="s">
        <v>4495</v>
      </c>
      <c r="G1115" s="193"/>
      <c r="H1115" s="193"/>
      <c r="I1115" s="193"/>
      <c r="J1115" s="193"/>
      <c r="K1115" s="193"/>
      <c r="L1115" s="193"/>
      <c r="M1115" s="193"/>
      <c r="N1115" s="193"/>
      <c r="O1115" s="193"/>
      <c r="P1115" s="193"/>
      <c r="Q1115" s="193"/>
      <c r="R1115" s="193"/>
      <c r="S1115" s="193"/>
      <c r="T1115" s="193"/>
      <c r="U1115" s="193"/>
      <c r="V1115" s="193"/>
      <c r="W1115" s="193"/>
      <c r="X1115" s="193"/>
      <c r="Y1115" s="193"/>
      <c r="Z1115" s="193"/>
      <c r="AA1115" s="193"/>
      <c r="AB1115" s="193"/>
      <c r="AC1115" s="193"/>
      <c r="AD1115" s="193"/>
      <c r="AE1115" s="193"/>
    </row>
    <row r="1116" ht="14.25" customHeight="1">
      <c r="A1116" s="191" t="s">
        <v>4496</v>
      </c>
      <c r="B1116" s="192" t="s">
        <v>4497</v>
      </c>
      <c r="C1116" s="191" t="s">
        <v>4498</v>
      </c>
      <c r="D1116" s="193"/>
      <c r="E1116" s="193"/>
      <c r="F1116" s="194" t="s">
        <v>4499</v>
      </c>
      <c r="G1116" s="193"/>
      <c r="H1116" s="193"/>
      <c r="I1116" s="193"/>
      <c r="J1116" s="193"/>
      <c r="K1116" s="193"/>
      <c r="L1116" s="193"/>
      <c r="M1116" s="193"/>
      <c r="N1116" s="193"/>
      <c r="O1116" s="193"/>
      <c r="P1116" s="193"/>
      <c r="Q1116" s="193"/>
      <c r="R1116" s="193"/>
      <c r="S1116" s="193"/>
      <c r="T1116" s="193"/>
      <c r="U1116" s="193"/>
      <c r="V1116" s="193"/>
      <c r="W1116" s="193"/>
      <c r="X1116" s="193"/>
      <c r="Y1116" s="193"/>
      <c r="Z1116" s="193"/>
      <c r="AA1116" s="193"/>
      <c r="AB1116" s="193"/>
      <c r="AC1116" s="193"/>
      <c r="AD1116" s="193"/>
      <c r="AE1116" s="193"/>
    </row>
    <row r="1117" ht="14.25" customHeight="1">
      <c r="A1117" s="191" t="s">
        <v>4500</v>
      </c>
      <c r="B1117" s="192" t="s">
        <v>4501</v>
      </c>
      <c r="C1117" s="191" t="s">
        <v>4502</v>
      </c>
      <c r="D1117" s="193"/>
      <c r="E1117" s="193"/>
      <c r="F1117" s="194" t="s">
        <v>4503</v>
      </c>
      <c r="G1117" s="193"/>
      <c r="H1117" s="193"/>
      <c r="I1117" s="193"/>
      <c r="J1117" s="193"/>
      <c r="K1117" s="193"/>
      <c r="L1117" s="193"/>
      <c r="M1117" s="193"/>
      <c r="N1117" s="193"/>
      <c r="O1117" s="193"/>
      <c r="P1117" s="193"/>
      <c r="Q1117" s="193"/>
      <c r="R1117" s="193"/>
      <c r="S1117" s="193"/>
      <c r="T1117" s="193"/>
      <c r="U1117" s="193"/>
      <c r="V1117" s="193"/>
      <c r="W1117" s="193"/>
      <c r="X1117" s="193"/>
      <c r="Y1117" s="193"/>
      <c r="Z1117" s="193"/>
      <c r="AA1117" s="193"/>
      <c r="AB1117" s="193"/>
      <c r="AC1117" s="193"/>
      <c r="AD1117" s="193"/>
      <c r="AE1117" s="193"/>
    </row>
    <row r="1118" ht="14.25" customHeight="1">
      <c r="A1118" s="191" t="s">
        <v>4504</v>
      </c>
      <c r="B1118" s="192" t="s">
        <v>4505</v>
      </c>
      <c r="C1118" s="191" t="s">
        <v>4506</v>
      </c>
      <c r="D1118" s="193"/>
      <c r="E1118" s="193"/>
      <c r="F1118" s="194" t="s">
        <v>4507</v>
      </c>
      <c r="G1118" s="193"/>
      <c r="H1118" s="193"/>
      <c r="I1118" s="193"/>
      <c r="J1118" s="193"/>
      <c r="K1118" s="193"/>
      <c r="L1118" s="193"/>
      <c r="M1118" s="193"/>
      <c r="N1118" s="193"/>
      <c r="O1118" s="193"/>
      <c r="P1118" s="193"/>
      <c r="Q1118" s="193"/>
      <c r="R1118" s="193"/>
      <c r="S1118" s="193"/>
      <c r="T1118" s="193"/>
      <c r="U1118" s="193"/>
      <c r="V1118" s="193"/>
      <c r="W1118" s="193"/>
      <c r="X1118" s="193"/>
      <c r="Y1118" s="193"/>
      <c r="Z1118" s="193"/>
      <c r="AA1118" s="193"/>
      <c r="AB1118" s="193"/>
      <c r="AC1118" s="193"/>
      <c r="AD1118" s="193"/>
      <c r="AE1118" s="193"/>
    </row>
    <row r="1119" ht="14.25" customHeight="1">
      <c r="A1119" s="191" t="s">
        <v>4508</v>
      </c>
      <c r="B1119" s="192" t="s">
        <v>4509</v>
      </c>
      <c r="C1119" s="191" t="s">
        <v>4510</v>
      </c>
      <c r="D1119" s="193"/>
      <c r="E1119" s="193"/>
      <c r="F1119" s="194" t="s">
        <v>4511</v>
      </c>
      <c r="G1119" s="193"/>
      <c r="H1119" s="193"/>
      <c r="I1119" s="193"/>
      <c r="J1119" s="193"/>
      <c r="K1119" s="193"/>
      <c r="L1119" s="193"/>
      <c r="M1119" s="193"/>
      <c r="N1119" s="193"/>
      <c r="O1119" s="193"/>
      <c r="P1119" s="193"/>
      <c r="Q1119" s="193"/>
      <c r="R1119" s="193"/>
      <c r="S1119" s="193"/>
      <c r="T1119" s="193"/>
      <c r="U1119" s="193"/>
      <c r="V1119" s="193"/>
      <c r="W1119" s="193"/>
      <c r="X1119" s="193"/>
      <c r="Y1119" s="193"/>
      <c r="Z1119" s="193"/>
      <c r="AA1119" s="193"/>
      <c r="AB1119" s="193"/>
      <c r="AC1119" s="193"/>
      <c r="AD1119" s="193"/>
      <c r="AE1119" s="193"/>
    </row>
    <row r="1120" ht="14.25" customHeight="1">
      <c r="A1120" s="191" t="s">
        <v>4512</v>
      </c>
      <c r="B1120" s="192" t="s">
        <v>4513</v>
      </c>
      <c r="C1120" s="191" t="s">
        <v>4514</v>
      </c>
      <c r="D1120" s="193"/>
      <c r="E1120" s="193"/>
      <c r="F1120" s="194" t="s">
        <v>4515</v>
      </c>
      <c r="G1120" s="193"/>
      <c r="H1120" s="193"/>
      <c r="I1120" s="193"/>
      <c r="J1120" s="193"/>
      <c r="K1120" s="193"/>
      <c r="L1120" s="193"/>
      <c r="M1120" s="193"/>
      <c r="N1120" s="193"/>
      <c r="O1120" s="193"/>
      <c r="P1120" s="193"/>
      <c r="Q1120" s="193"/>
      <c r="R1120" s="193"/>
      <c r="S1120" s="193"/>
      <c r="T1120" s="193"/>
      <c r="U1120" s="193"/>
      <c r="V1120" s="193"/>
      <c r="W1120" s="193"/>
      <c r="X1120" s="193"/>
      <c r="Y1120" s="193"/>
      <c r="Z1120" s="193"/>
      <c r="AA1120" s="193"/>
      <c r="AB1120" s="193"/>
      <c r="AC1120" s="193"/>
      <c r="AD1120" s="193"/>
      <c r="AE1120" s="193"/>
    </row>
    <row r="1121" ht="14.25" customHeight="1">
      <c r="A1121" s="191" t="s">
        <v>4516</v>
      </c>
      <c r="B1121" s="192" t="s">
        <v>4517</v>
      </c>
      <c r="C1121" s="191" t="s">
        <v>4518</v>
      </c>
      <c r="D1121" s="193"/>
      <c r="E1121" s="193"/>
      <c r="F1121" s="194" t="s">
        <v>4519</v>
      </c>
      <c r="G1121" s="193"/>
      <c r="H1121" s="193"/>
      <c r="I1121" s="193"/>
      <c r="J1121" s="193"/>
      <c r="K1121" s="193"/>
      <c r="L1121" s="193"/>
      <c r="M1121" s="193"/>
      <c r="N1121" s="193"/>
      <c r="O1121" s="193"/>
      <c r="P1121" s="193"/>
      <c r="Q1121" s="193"/>
      <c r="R1121" s="193"/>
      <c r="S1121" s="193"/>
      <c r="T1121" s="193"/>
      <c r="U1121" s="193"/>
      <c r="V1121" s="193"/>
      <c r="W1121" s="193"/>
      <c r="X1121" s="193"/>
      <c r="Y1121" s="193"/>
      <c r="Z1121" s="193"/>
      <c r="AA1121" s="193"/>
      <c r="AB1121" s="193"/>
      <c r="AC1121" s="193"/>
      <c r="AD1121" s="193"/>
      <c r="AE1121" s="193"/>
    </row>
    <row r="1122" ht="14.25" customHeight="1">
      <c r="A1122" s="191" t="s">
        <v>4520</v>
      </c>
      <c r="B1122" s="192" t="s">
        <v>4521</v>
      </c>
      <c r="C1122" s="191" t="s">
        <v>4522</v>
      </c>
      <c r="D1122" s="193"/>
      <c r="E1122" s="193"/>
      <c r="F1122" s="194" t="s">
        <v>4523</v>
      </c>
      <c r="G1122" s="193"/>
      <c r="H1122" s="193"/>
      <c r="I1122" s="193"/>
      <c r="J1122" s="193"/>
      <c r="K1122" s="193"/>
      <c r="L1122" s="193"/>
      <c r="M1122" s="193"/>
      <c r="N1122" s="193"/>
      <c r="O1122" s="193"/>
      <c r="P1122" s="193"/>
      <c r="Q1122" s="193"/>
      <c r="R1122" s="193"/>
      <c r="S1122" s="193"/>
      <c r="T1122" s="193"/>
      <c r="U1122" s="193"/>
      <c r="V1122" s="193"/>
      <c r="W1122" s="193"/>
      <c r="X1122" s="193"/>
      <c r="Y1122" s="193"/>
      <c r="Z1122" s="193"/>
      <c r="AA1122" s="193"/>
      <c r="AB1122" s="193"/>
      <c r="AC1122" s="193"/>
      <c r="AD1122" s="193"/>
      <c r="AE1122" s="193"/>
    </row>
    <row r="1123" ht="14.25" customHeight="1">
      <c r="A1123" s="191" t="s">
        <v>4524</v>
      </c>
      <c r="B1123" s="192" t="s">
        <v>4525</v>
      </c>
      <c r="C1123" s="191" t="s">
        <v>4526</v>
      </c>
      <c r="D1123" s="193"/>
      <c r="E1123" s="193"/>
      <c r="F1123" s="194" t="s">
        <v>4527</v>
      </c>
      <c r="G1123" s="193"/>
      <c r="H1123" s="193"/>
      <c r="I1123" s="193"/>
      <c r="J1123" s="193"/>
      <c r="K1123" s="193"/>
      <c r="L1123" s="193"/>
      <c r="M1123" s="193"/>
      <c r="N1123" s="193"/>
      <c r="O1123" s="193"/>
      <c r="P1123" s="193"/>
      <c r="Q1123" s="193"/>
      <c r="R1123" s="193"/>
      <c r="S1123" s="193"/>
      <c r="T1123" s="193"/>
      <c r="U1123" s="193"/>
      <c r="V1123" s="193"/>
      <c r="W1123" s="193"/>
      <c r="X1123" s="193"/>
      <c r="Y1123" s="193"/>
      <c r="Z1123" s="193"/>
      <c r="AA1123" s="193"/>
      <c r="AB1123" s="193"/>
      <c r="AC1123" s="193"/>
      <c r="AD1123" s="193"/>
      <c r="AE1123" s="193"/>
    </row>
    <row r="1124" ht="14.25" customHeight="1">
      <c r="A1124" s="191" t="s">
        <v>4528</v>
      </c>
      <c r="B1124" s="192" t="s">
        <v>4529</v>
      </c>
      <c r="C1124" s="191" t="s">
        <v>4530</v>
      </c>
      <c r="D1124" s="193"/>
      <c r="E1124" s="193"/>
      <c r="F1124" s="194" t="s">
        <v>4531</v>
      </c>
      <c r="G1124" s="193"/>
      <c r="H1124" s="193"/>
      <c r="I1124" s="193"/>
      <c r="J1124" s="193"/>
      <c r="K1124" s="193"/>
      <c r="L1124" s="193"/>
      <c r="M1124" s="193"/>
      <c r="N1124" s="193"/>
      <c r="O1124" s="193"/>
      <c r="P1124" s="193"/>
      <c r="Q1124" s="193"/>
      <c r="R1124" s="193"/>
      <c r="S1124" s="193"/>
      <c r="T1124" s="193"/>
      <c r="U1124" s="193"/>
      <c r="V1124" s="193"/>
      <c r="W1124" s="193"/>
      <c r="X1124" s="193"/>
      <c r="Y1124" s="193"/>
      <c r="Z1124" s="193"/>
      <c r="AA1124" s="193"/>
      <c r="AB1124" s="193"/>
      <c r="AC1124" s="193"/>
      <c r="AD1124" s="193"/>
      <c r="AE1124" s="193"/>
    </row>
    <row r="1125" ht="14.25" customHeight="1">
      <c r="A1125" s="191" t="s">
        <v>4532</v>
      </c>
      <c r="B1125" s="192" t="s">
        <v>4533</v>
      </c>
      <c r="C1125" s="191" t="s">
        <v>4534</v>
      </c>
      <c r="D1125" s="193"/>
      <c r="E1125" s="193"/>
      <c r="F1125" s="194" t="s">
        <v>4535</v>
      </c>
      <c r="G1125" s="193"/>
      <c r="H1125" s="193"/>
      <c r="I1125" s="193"/>
      <c r="J1125" s="193"/>
      <c r="K1125" s="193"/>
      <c r="L1125" s="193"/>
      <c r="M1125" s="193"/>
      <c r="N1125" s="193"/>
      <c r="O1125" s="193"/>
      <c r="P1125" s="193"/>
      <c r="Q1125" s="193"/>
      <c r="R1125" s="193"/>
      <c r="S1125" s="193"/>
      <c r="T1125" s="193"/>
      <c r="U1125" s="193"/>
      <c r="V1125" s="193"/>
      <c r="W1125" s="193"/>
      <c r="X1125" s="193"/>
      <c r="Y1125" s="193"/>
      <c r="Z1125" s="193"/>
      <c r="AA1125" s="193"/>
      <c r="AB1125" s="193"/>
      <c r="AC1125" s="193"/>
      <c r="AD1125" s="193"/>
      <c r="AE1125" s="193"/>
    </row>
    <row r="1126" ht="14.25" customHeight="1">
      <c r="A1126" s="191" t="s">
        <v>4536</v>
      </c>
      <c r="B1126" s="192" t="s">
        <v>4537</v>
      </c>
      <c r="C1126" s="191" t="s">
        <v>4538</v>
      </c>
      <c r="D1126" s="193"/>
      <c r="E1126" s="193"/>
      <c r="F1126" s="194" t="s">
        <v>4539</v>
      </c>
      <c r="G1126" s="193"/>
      <c r="H1126" s="193"/>
      <c r="I1126" s="193"/>
      <c r="J1126" s="193"/>
      <c r="K1126" s="193"/>
      <c r="L1126" s="193"/>
      <c r="M1126" s="193"/>
      <c r="N1126" s="193"/>
      <c r="O1126" s="193"/>
      <c r="P1126" s="193"/>
      <c r="Q1126" s="193"/>
      <c r="R1126" s="193"/>
      <c r="S1126" s="193"/>
      <c r="T1126" s="193"/>
      <c r="U1126" s="193"/>
      <c r="V1126" s="193"/>
      <c r="W1126" s="193"/>
      <c r="X1126" s="193"/>
      <c r="Y1126" s="193"/>
      <c r="Z1126" s="193"/>
      <c r="AA1126" s="193"/>
      <c r="AB1126" s="193"/>
      <c r="AC1126" s="193"/>
      <c r="AD1126" s="193"/>
      <c r="AE1126" s="193"/>
    </row>
    <row r="1127" ht="14.25" customHeight="1">
      <c r="A1127" s="191" t="s">
        <v>4540</v>
      </c>
      <c r="B1127" s="192" t="s">
        <v>4541</v>
      </c>
      <c r="C1127" s="191" t="s">
        <v>4542</v>
      </c>
      <c r="D1127" s="193"/>
      <c r="E1127" s="193"/>
      <c r="F1127" s="194" t="s">
        <v>4543</v>
      </c>
      <c r="G1127" s="193"/>
      <c r="H1127" s="193"/>
      <c r="I1127" s="193"/>
      <c r="J1127" s="193"/>
      <c r="K1127" s="193"/>
      <c r="L1127" s="193"/>
      <c r="M1127" s="193"/>
      <c r="N1127" s="193"/>
      <c r="O1127" s="193"/>
      <c r="P1127" s="193"/>
      <c r="Q1127" s="193"/>
      <c r="R1127" s="193"/>
      <c r="S1127" s="193"/>
      <c r="T1127" s="193"/>
      <c r="U1127" s="193"/>
      <c r="V1127" s="193"/>
      <c r="W1127" s="193"/>
      <c r="X1127" s="193"/>
      <c r="Y1127" s="193"/>
      <c r="Z1127" s="193"/>
      <c r="AA1127" s="193"/>
      <c r="AB1127" s="193"/>
      <c r="AC1127" s="193"/>
      <c r="AD1127" s="193"/>
      <c r="AE1127" s="193"/>
    </row>
    <row r="1128" ht="14.25" customHeight="1">
      <c r="A1128" s="191" t="s">
        <v>4544</v>
      </c>
      <c r="B1128" s="192" t="s">
        <v>4545</v>
      </c>
      <c r="C1128" s="191" t="s">
        <v>4546</v>
      </c>
      <c r="D1128" s="193"/>
      <c r="E1128" s="193"/>
      <c r="F1128" s="194" t="s">
        <v>4547</v>
      </c>
      <c r="G1128" s="193"/>
      <c r="H1128" s="193"/>
      <c r="I1128" s="193"/>
      <c r="J1128" s="193"/>
      <c r="K1128" s="193"/>
      <c r="L1128" s="193"/>
      <c r="M1128" s="193"/>
      <c r="N1128" s="193"/>
      <c r="O1128" s="193"/>
      <c r="P1128" s="193"/>
      <c r="Q1128" s="193"/>
      <c r="R1128" s="193"/>
      <c r="S1128" s="193"/>
      <c r="T1128" s="193"/>
      <c r="U1128" s="193"/>
      <c r="V1128" s="193"/>
      <c r="W1128" s="193"/>
      <c r="X1128" s="193"/>
      <c r="Y1128" s="193"/>
      <c r="Z1128" s="193"/>
      <c r="AA1128" s="193"/>
      <c r="AB1128" s="193"/>
      <c r="AC1128" s="193"/>
      <c r="AD1128" s="193"/>
      <c r="AE1128" s="193"/>
    </row>
    <row r="1129" ht="14.25" customHeight="1">
      <c r="A1129" s="191" t="s">
        <v>4548</v>
      </c>
      <c r="B1129" s="192" t="s">
        <v>4549</v>
      </c>
      <c r="C1129" s="191" t="s">
        <v>4550</v>
      </c>
      <c r="D1129" s="193"/>
      <c r="E1129" s="193"/>
      <c r="F1129" s="194" t="s">
        <v>3944</v>
      </c>
      <c r="G1129" s="193"/>
      <c r="H1129" s="193"/>
      <c r="I1129" s="193"/>
      <c r="J1129" s="193"/>
      <c r="K1129" s="193"/>
      <c r="L1129" s="193"/>
      <c r="M1129" s="193"/>
      <c r="N1129" s="193"/>
      <c r="O1129" s="193"/>
      <c r="P1129" s="193"/>
      <c r="Q1129" s="193"/>
      <c r="R1129" s="193"/>
      <c r="S1129" s="193"/>
      <c r="T1129" s="193"/>
      <c r="U1129" s="193"/>
      <c r="V1129" s="193"/>
      <c r="W1129" s="193"/>
      <c r="X1129" s="193"/>
      <c r="Y1129" s="193"/>
      <c r="Z1129" s="193"/>
      <c r="AA1129" s="193"/>
      <c r="AB1129" s="193"/>
      <c r="AC1129" s="193"/>
      <c r="AD1129" s="193"/>
      <c r="AE1129" s="193"/>
    </row>
    <row r="1130" ht="14.25" customHeight="1">
      <c r="A1130" s="191" t="s">
        <v>4551</v>
      </c>
      <c r="B1130" s="192" t="s">
        <v>4552</v>
      </c>
      <c r="C1130" s="191" t="s">
        <v>4553</v>
      </c>
      <c r="D1130" s="193"/>
      <c r="E1130" s="193"/>
      <c r="F1130" s="194" t="s">
        <v>3988</v>
      </c>
      <c r="G1130" s="193"/>
      <c r="H1130" s="193"/>
      <c r="I1130" s="193"/>
      <c r="J1130" s="193"/>
      <c r="K1130" s="193"/>
      <c r="L1130" s="193"/>
      <c r="M1130" s="193"/>
      <c r="N1130" s="193"/>
      <c r="O1130" s="193"/>
      <c r="P1130" s="193"/>
      <c r="Q1130" s="193"/>
      <c r="R1130" s="193"/>
      <c r="S1130" s="193"/>
      <c r="T1130" s="193"/>
      <c r="U1130" s="193"/>
      <c r="V1130" s="193"/>
      <c r="W1130" s="193"/>
      <c r="X1130" s="193"/>
      <c r="Y1130" s="193"/>
      <c r="Z1130" s="193"/>
      <c r="AA1130" s="193"/>
      <c r="AB1130" s="193"/>
      <c r="AC1130" s="193"/>
      <c r="AD1130" s="193"/>
      <c r="AE1130" s="193"/>
    </row>
    <row r="1131" ht="14.25" customHeight="1">
      <c r="A1131" s="191" t="s">
        <v>4554</v>
      </c>
      <c r="B1131" s="192" t="s">
        <v>4555</v>
      </c>
      <c r="C1131" s="191" t="s">
        <v>4556</v>
      </c>
      <c r="D1131" s="193"/>
      <c r="E1131" s="193"/>
      <c r="F1131" s="194" t="s">
        <v>4557</v>
      </c>
      <c r="G1131" s="193"/>
      <c r="H1131" s="193"/>
      <c r="I1131" s="193"/>
      <c r="J1131" s="193"/>
      <c r="K1131" s="193"/>
      <c r="L1131" s="193"/>
      <c r="M1131" s="193"/>
      <c r="N1131" s="193"/>
      <c r="O1131" s="193"/>
      <c r="P1131" s="193"/>
      <c r="Q1131" s="193"/>
      <c r="R1131" s="193"/>
      <c r="S1131" s="193"/>
      <c r="T1131" s="193"/>
      <c r="U1131" s="193"/>
      <c r="V1131" s="193"/>
      <c r="W1131" s="193"/>
      <c r="X1131" s="193"/>
      <c r="Y1131" s="193"/>
      <c r="Z1131" s="193"/>
      <c r="AA1131" s="193"/>
      <c r="AB1131" s="193"/>
      <c r="AC1131" s="193"/>
      <c r="AD1131" s="193"/>
      <c r="AE1131" s="193"/>
    </row>
    <row r="1132" ht="14.25" customHeight="1">
      <c r="A1132" s="191" t="s">
        <v>4558</v>
      </c>
      <c r="B1132" s="192" t="s">
        <v>4559</v>
      </c>
      <c r="C1132" s="191" t="s">
        <v>4560</v>
      </c>
      <c r="D1132" s="193"/>
      <c r="E1132" s="193"/>
      <c r="F1132" s="194" t="s">
        <v>3976</v>
      </c>
      <c r="G1132" s="193"/>
      <c r="H1132" s="193"/>
      <c r="I1132" s="193"/>
      <c r="J1132" s="193"/>
      <c r="K1132" s="193"/>
      <c r="L1132" s="193"/>
      <c r="M1132" s="193"/>
      <c r="N1132" s="193"/>
      <c r="O1132" s="193"/>
      <c r="P1132" s="193"/>
      <c r="Q1132" s="193"/>
      <c r="R1132" s="193"/>
      <c r="S1132" s="193"/>
      <c r="T1132" s="193"/>
      <c r="U1132" s="193"/>
      <c r="V1132" s="193"/>
      <c r="W1132" s="193"/>
      <c r="X1132" s="193"/>
      <c r="Y1132" s="193"/>
      <c r="Z1132" s="193"/>
      <c r="AA1132" s="193"/>
      <c r="AB1132" s="193"/>
      <c r="AC1132" s="193"/>
      <c r="AD1132" s="193"/>
      <c r="AE1132" s="193"/>
    </row>
    <row r="1133" ht="14.25" customHeight="1">
      <c r="A1133" s="191" t="s">
        <v>4561</v>
      </c>
      <c r="B1133" s="192" t="s">
        <v>4562</v>
      </c>
      <c r="C1133" s="191" t="s">
        <v>4563</v>
      </c>
      <c r="D1133" s="193"/>
      <c r="E1133" s="193"/>
      <c r="F1133" s="194" t="s">
        <v>3928</v>
      </c>
      <c r="G1133" s="193"/>
      <c r="H1133" s="193"/>
      <c r="I1133" s="193"/>
      <c r="J1133" s="193"/>
      <c r="K1133" s="193"/>
      <c r="L1133" s="193"/>
      <c r="M1133" s="193"/>
      <c r="N1133" s="193"/>
      <c r="O1133" s="193"/>
      <c r="P1133" s="193"/>
      <c r="Q1133" s="193"/>
      <c r="R1133" s="193"/>
      <c r="S1133" s="193"/>
      <c r="T1133" s="193"/>
      <c r="U1133" s="193"/>
      <c r="V1133" s="193"/>
      <c r="W1133" s="193"/>
      <c r="X1133" s="193"/>
      <c r="Y1133" s="193"/>
      <c r="Z1133" s="193"/>
      <c r="AA1133" s="193"/>
      <c r="AB1133" s="193"/>
      <c r="AC1133" s="193"/>
      <c r="AD1133" s="193"/>
      <c r="AE1133" s="193"/>
    </row>
    <row r="1134" ht="14.25" customHeight="1">
      <c r="A1134" s="191" t="s">
        <v>4564</v>
      </c>
      <c r="B1134" s="192" t="s">
        <v>4565</v>
      </c>
      <c r="C1134" s="191" t="s">
        <v>4566</v>
      </c>
      <c r="D1134" s="193"/>
      <c r="E1134" s="193"/>
      <c r="F1134" s="194" t="s">
        <v>4567</v>
      </c>
      <c r="G1134" s="193"/>
      <c r="H1134" s="193"/>
      <c r="I1134" s="193"/>
      <c r="J1134" s="193"/>
      <c r="K1134" s="193"/>
      <c r="L1134" s="193"/>
      <c r="M1134" s="193"/>
      <c r="N1134" s="193"/>
      <c r="O1134" s="193"/>
      <c r="P1134" s="193"/>
      <c r="Q1134" s="193"/>
      <c r="R1134" s="193"/>
      <c r="S1134" s="193"/>
      <c r="T1134" s="193"/>
      <c r="U1134" s="193"/>
      <c r="V1134" s="193"/>
      <c r="W1134" s="193"/>
      <c r="X1134" s="193"/>
      <c r="Y1134" s="193"/>
      <c r="Z1134" s="193"/>
      <c r="AA1134" s="193"/>
      <c r="AB1134" s="193"/>
      <c r="AC1134" s="193"/>
      <c r="AD1134" s="193"/>
      <c r="AE1134" s="193"/>
    </row>
    <row r="1135" ht="14.25" customHeight="1">
      <c r="A1135" s="191" t="s">
        <v>4568</v>
      </c>
      <c r="B1135" s="192" t="s">
        <v>4569</v>
      </c>
      <c r="C1135" s="191" t="s">
        <v>4570</v>
      </c>
      <c r="D1135" s="193"/>
      <c r="E1135" s="193"/>
      <c r="F1135" s="194" t="s">
        <v>4519</v>
      </c>
      <c r="G1135" s="193"/>
      <c r="H1135" s="193"/>
      <c r="I1135" s="193"/>
      <c r="J1135" s="193"/>
      <c r="K1135" s="193"/>
      <c r="L1135" s="193"/>
      <c r="M1135" s="193"/>
      <c r="N1135" s="193"/>
      <c r="O1135" s="193"/>
      <c r="P1135" s="193"/>
      <c r="Q1135" s="193"/>
      <c r="R1135" s="193"/>
      <c r="S1135" s="193"/>
      <c r="T1135" s="193"/>
      <c r="U1135" s="193"/>
      <c r="V1135" s="193"/>
      <c r="W1135" s="193"/>
      <c r="X1135" s="193"/>
      <c r="Y1135" s="193"/>
      <c r="Z1135" s="193"/>
      <c r="AA1135" s="193"/>
      <c r="AB1135" s="193"/>
      <c r="AC1135" s="193"/>
      <c r="AD1135" s="193"/>
      <c r="AE1135" s="193"/>
    </row>
    <row r="1136" ht="14.25" customHeight="1">
      <c r="A1136" s="191" t="s">
        <v>4571</v>
      </c>
      <c r="B1136" s="192" t="s">
        <v>4572</v>
      </c>
      <c r="C1136" s="191" t="s">
        <v>4573</v>
      </c>
      <c r="D1136" s="193"/>
      <c r="E1136" s="193"/>
      <c r="F1136" s="194" t="s">
        <v>4519</v>
      </c>
      <c r="G1136" s="193"/>
      <c r="H1136" s="193"/>
      <c r="I1136" s="193"/>
      <c r="J1136" s="193"/>
      <c r="K1136" s="193"/>
      <c r="L1136" s="193"/>
      <c r="M1136" s="193"/>
      <c r="N1136" s="193"/>
      <c r="O1136" s="193"/>
      <c r="P1136" s="193"/>
      <c r="Q1136" s="193"/>
      <c r="R1136" s="193"/>
      <c r="S1136" s="193"/>
      <c r="T1136" s="193"/>
      <c r="U1136" s="193"/>
      <c r="V1136" s="193"/>
      <c r="W1136" s="193"/>
      <c r="X1136" s="193"/>
      <c r="Y1136" s="193"/>
      <c r="Z1136" s="193"/>
      <c r="AA1136" s="193"/>
      <c r="AB1136" s="193"/>
      <c r="AC1136" s="193"/>
      <c r="AD1136" s="193"/>
      <c r="AE1136" s="193"/>
    </row>
    <row r="1137" ht="14.25" customHeight="1">
      <c r="A1137" s="191" t="s">
        <v>4574</v>
      </c>
      <c r="B1137" s="192" t="s">
        <v>4575</v>
      </c>
      <c r="C1137" s="191" t="s">
        <v>4576</v>
      </c>
      <c r="D1137" s="193"/>
      <c r="E1137" s="193"/>
      <c r="F1137" s="194" t="s">
        <v>4515</v>
      </c>
      <c r="G1137" s="193"/>
      <c r="H1137" s="193"/>
      <c r="I1137" s="193"/>
      <c r="J1137" s="193"/>
      <c r="K1137" s="193"/>
      <c r="L1137" s="193"/>
      <c r="M1137" s="193"/>
      <c r="N1137" s="193"/>
      <c r="O1137" s="193"/>
      <c r="P1137" s="193"/>
      <c r="Q1137" s="193"/>
      <c r="R1137" s="193"/>
      <c r="S1137" s="193"/>
      <c r="T1137" s="193"/>
      <c r="U1137" s="193"/>
      <c r="V1137" s="193"/>
      <c r="W1137" s="193"/>
      <c r="X1137" s="193"/>
      <c r="Y1137" s="193"/>
      <c r="Z1137" s="193"/>
      <c r="AA1137" s="193"/>
      <c r="AB1137" s="193"/>
      <c r="AC1137" s="193"/>
      <c r="AD1137" s="193"/>
      <c r="AE1137" s="193"/>
    </row>
    <row r="1138" ht="14.25" customHeight="1">
      <c r="A1138" s="191" t="s">
        <v>4577</v>
      </c>
      <c r="B1138" s="192" t="s">
        <v>4578</v>
      </c>
      <c r="C1138" s="191" t="s">
        <v>4579</v>
      </c>
      <c r="D1138" s="193"/>
      <c r="E1138" s="193"/>
      <c r="F1138" s="194" t="s">
        <v>4523</v>
      </c>
      <c r="G1138" s="193"/>
      <c r="H1138" s="193"/>
      <c r="I1138" s="193"/>
      <c r="J1138" s="193"/>
      <c r="K1138" s="193"/>
      <c r="L1138" s="193"/>
      <c r="M1138" s="193"/>
      <c r="N1138" s="193"/>
      <c r="O1138" s="193"/>
      <c r="P1138" s="193"/>
      <c r="Q1138" s="193"/>
      <c r="R1138" s="193"/>
      <c r="S1138" s="193"/>
      <c r="T1138" s="193"/>
      <c r="U1138" s="193"/>
      <c r="V1138" s="193"/>
      <c r="W1138" s="193"/>
      <c r="X1138" s="193"/>
      <c r="Y1138" s="193"/>
      <c r="Z1138" s="193"/>
      <c r="AA1138" s="193"/>
      <c r="AB1138" s="193"/>
      <c r="AC1138" s="193"/>
      <c r="AD1138" s="193"/>
      <c r="AE1138" s="193"/>
    </row>
    <row r="1139" ht="14.25" customHeight="1">
      <c r="A1139" s="191" t="s">
        <v>4580</v>
      </c>
      <c r="B1139" s="192" t="s">
        <v>4581</v>
      </c>
      <c r="C1139" s="191" t="s">
        <v>4582</v>
      </c>
      <c r="D1139" s="193"/>
      <c r="E1139" s="193"/>
      <c r="F1139" s="194" t="s">
        <v>4527</v>
      </c>
      <c r="G1139" s="193"/>
      <c r="H1139" s="193"/>
      <c r="I1139" s="193"/>
      <c r="J1139" s="193"/>
      <c r="K1139" s="193"/>
      <c r="L1139" s="193"/>
      <c r="M1139" s="193"/>
      <c r="N1139" s="193"/>
      <c r="O1139" s="193"/>
      <c r="P1139" s="193"/>
      <c r="Q1139" s="193"/>
      <c r="R1139" s="193"/>
      <c r="S1139" s="193"/>
      <c r="T1139" s="193"/>
      <c r="U1139" s="193"/>
      <c r="V1139" s="193"/>
      <c r="W1139" s="193"/>
      <c r="X1139" s="193"/>
      <c r="Y1139" s="193"/>
      <c r="Z1139" s="193"/>
      <c r="AA1139" s="193"/>
      <c r="AB1139" s="193"/>
      <c r="AC1139" s="193"/>
      <c r="AD1139" s="193"/>
      <c r="AE1139" s="193"/>
    </row>
    <row r="1140" ht="14.25" customHeight="1">
      <c r="A1140" s="191" t="s">
        <v>4583</v>
      </c>
      <c r="B1140" s="192" t="s">
        <v>4584</v>
      </c>
      <c r="C1140" s="191" t="s">
        <v>4585</v>
      </c>
      <c r="D1140" s="193"/>
      <c r="E1140" s="193"/>
      <c r="F1140" s="194" t="s">
        <v>4535</v>
      </c>
      <c r="G1140" s="193"/>
      <c r="H1140" s="193"/>
      <c r="I1140" s="193"/>
      <c r="J1140" s="193"/>
      <c r="K1140" s="193"/>
      <c r="L1140" s="193"/>
      <c r="M1140" s="193"/>
      <c r="N1140" s="193"/>
      <c r="O1140" s="193"/>
      <c r="P1140" s="193"/>
      <c r="Q1140" s="193"/>
      <c r="R1140" s="193"/>
      <c r="S1140" s="193"/>
      <c r="T1140" s="193"/>
      <c r="U1140" s="193"/>
      <c r="V1140" s="193"/>
      <c r="W1140" s="193"/>
      <c r="X1140" s="193"/>
      <c r="Y1140" s="193"/>
      <c r="Z1140" s="193"/>
      <c r="AA1140" s="193"/>
      <c r="AB1140" s="193"/>
      <c r="AC1140" s="193"/>
      <c r="AD1140" s="193"/>
      <c r="AE1140" s="193"/>
    </row>
    <row r="1141" ht="14.25" customHeight="1">
      <c r="A1141" s="191" t="s">
        <v>4586</v>
      </c>
      <c r="B1141" s="192" t="s">
        <v>4587</v>
      </c>
      <c r="C1141" s="191" t="s">
        <v>4588</v>
      </c>
      <c r="D1141" s="193"/>
      <c r="E1141" s="193"/>
      <c r="F1141" s="194" t="s">
        <v>4531</v>
      </c>
      <c r="G1141" s="193"/>
      <c r="H1141" s="193"/>
      <c r="I1141" s="193"/>
      <c r="J1141" s="193"/>
      <c r="K1141" s="193"/>
      <c r="L1141" s="193"/>
      <c r="M1141" s="193"/>
      <c r="N1141" s="193"/>
      <c r="O1141" s="193"/>
      <c r="P1141" s="193"/>
      <c r="Q1141" s="193"/>
      <c r="R1141" s="193"/>
      <c r="S1141" s="193"/>
      <c r="T1141" s="193"/>
      <c r="U1141" s="193"/>
      <c r="V1141" s="193"/>
      <c r="W1141" s="193"/>
      <c r="X1141" s="193"/>
      <c r="Y1141" s="193"/>
      <c r="Z1141" s="193"/>
      <c r="AA1141" s="193"/>
      <c r="AB1141" s="193"/>
      <c r="AC1141" s="193"/>
      <c r="AD1141" s="193"/>
      <c r="AE1141" s="193"/>
    </row>
    <row r="1142" ht="14.25" customHeight="1">
      <c r="A1142" s="191" t="s">
        <v>4589</v>
      </c>
      <c r="B1142" s="192" t="s">
        <v>4590</v>
      </c>
      <c r="C1142" s="191" t="s">
        <v>4591</v>
      </c>
      <c r="D1142" s="193"/>
      <c r="E1142" s="193"/>
      <c r="F1142" s="195"/>
      <c r="G1142" s="193"/>
      <c r="H1142" s="193"/>
      <c r="I1142" s="193"/>
      <c r="J1142" s="193"/>
      <c r="K1142" s="193"/>
      <c r="L1142" s="193"/>
      <c r="M1142" s="193"/>
      <c r="N1142" s="193"/>
      <c r="O1142" s="193"/>
      <c r="P1142" s="193"/>
      <c r="Q1142" s="193"/>
      <c r="R1142" s="193"/>
      <c r="S1142" s="193"/>
      <c r="T1142" s="193"/>
      <c r="U1142" s="193"/>
      <c r="V1142" s="193"/>
      <c r="W1142" s="193"/>
      <c r="X1142" s="193"/>
      <c r="Y1142" s="193"/>
      <c r="Z1142" s="193"/>
      <c r="AA1142" s="193"/>
      <c r="AB1142" s="193"/>
      <c r="AC1142" s="193"/>
      <c r="AD1142" s="193"/>
      <c r="AE1142" s="193"/>
    </row>
    <row r="1143" ht="14.25" customHeight="1">
      <c r="A1143" s="191" t="s">
        <v>4592</v>
      </c>
      <c r="B1143" s="192" t="s">
        <v>4593</v>
      </c>
      <c r="C1143" s="191" t="s">
        <v>4594</v>
      </c>
      <c r="D1143" s="193"/>
      <c r="E1143" s="193"/>
      <c r="F1143" s="194" t="s">
        <v>4595</v>
      </c>
      <c r="G1143" s="193"/>
      <c r="H1143" s="193"/>
      <c r="I1143" s="193"/>
      <c r="J1143" s="193"/>
      <c r="K1143" s="193"/>
      <c r="L1143" s="193"/>
      <c r="M1143" s="193"/>
      <c r="N1143" s="193"/>
      <c r="O1143" s="193"/>
      <c r="P1143" s="193"/>
      <c r="Q1143" s="193"/>
      <c r="R1143" s="193"/>
      <c r="S1143" s="193"/>
      <c r="T1143" s="193"/>
      <c r="U1143" s="193"/>
      <c r="V1143" s="193"/>
      <c r="W1143" s="193"/>
      <c r="X1143" s="193"/>
      <c r="Y1143" s="193"/>
      <c r="Z1143" s="193"/>
      <c r="AA1143" s="193"/>
      <c r="AB1143" s="193"/>
      <c r="AC1143" s="193"/>
      <c r="AD1143" s="193"/>
      <c r="AE1143" s="193"/>
    </row>
    <row r="1144" ht="14.25" customHeight="1">
      <c r="A1144" s="191" t="s">
        <v>4596</v>
      </c>
      <c r="B1144" s="192" t="s">
        <v>4597</v>
      </c>
      <c r="C1144" s="191" t="s">
        <v>4598</v>
      </c>
      <c r="D1144" s="193"/>
      <c r="E1144" s="193"/>
      <c r="F1144" s="195"/>
      <c r="G1144" s="193"/>
      <c r="H1144" s="193"/>
      <c r="I1144" s="193"/>
      <c r="J1144" s="193"/>
      <c r="K1144" s="193"/>
      <c r="L1144" s="193"/>
      <c r="M1144" s="193"/>
      <c r="N1144" s="193"/>
      <c r="O1144" s="193"/>
      <c r="P1144" s="193"/>
      <c r="Q1144" s="193"/>
      <c r="R1144" s="193"/>
      <c r="S1144" s="193"/>
      <c r="T1144" s="193"/>
      <c r="U1144" s="193"/>
      <c r="V1144" s="193"/>
      <c r="W1144" s="193"/>
      <c r="X1144" s="193"/>
      <c r="Y1144" s="193"/>
      <c r="Z1144" s="193"/>
      <c r="AA1144" s="193"/>
      <c r="AB1144" s="193"/>
      <c r="AC1144" s="193"/>
      <c r="AD1144" s="193"/>
      <c r="AE1144" s="193"/>
    </row>
    <row r="1145" ht="14.25" customHeight="1">
      <c r="A1145" s="191" t="s">
        <v>4599</v>
      </c>
      <c r="B1145" s="192" t="s">
        <v>4600</v>
      </c>
      <c r="C1145" s="191" t="s">
        <v>4601</v>
      </c>
      <c r="D1145" s="193"/>
      <c r="E1145" s="193"/>
      <c r="F1145" s="194" t="s">
        <v>4602</v>
      </c>
      <c r="G1145" s="193"/>
      <c r="H1145" s="193"/>
      <c r="I1145" s="193"/>
      <c r="J1145" s="193"/>
      <c r="K1145" s="193"/>
      <c r="L1145" s="193"/>
      <c r="M1145" s="193"/>
      <c r="N1145" s="193"/>
      <c r="O1145" s="193"/>
      <c r="P1145" s="193"/>
      <c r="Q1145" s="193"/>
      <c r="R1145" s="193"/>
      <c r="S1145" s="193"/>
      <c r="T1145" s="193"/>
      <c r="U1145" s="193"/>
      <c r="V1145" s="193"/>
      <c r="W1145" s="193"/>
      <c r="X1145" s="193"/>
      <c r="Y1145" s="193"/>
      <c r="Z1145" s="193"/>
      <c r="AA1145" s="193"/>
      <c r="AB1145" s="193"/>
      <c r="AC1145" s="193"/>
      <c r="AD1145" s="193"/>
      <c r="AE1145" s="193"/>
    </row>
    <row r="1146" ht="14.25" customHeight="1">
      <c r="A1146" s="191" t="s">
        <v>4603</v>
      </c>
      <c r="B1146" s="192" t="s">
        <v>4604</v>
      </c>
      <c r="C1146" s="191" t="s">
        <v>4605</v>
      </c>
      <c r="D1146" s="193"/>
      <c r="E1146" s="193"/>
      <c r="F1146" s="195"/>
      <c r="G1146" s="193"/>
      <c r="H1146" s="193"/>
      <c r="I1146" s="193"/>
      <c r="J1146" s="193"/>
      <c r="K1146" s="193"/>
      <c r="L1146" s="193"/>
      <c r="M1146" s="193"/>
      <c r="N1146" s="193"/>
      <c r="O1146" s="193"/>
      <c r="P1146" s="193"/>
      <c r="Q1146" s="193"/>
      <c r="R1146" s="193"/>
      <c r="S1146" s="193"/>
      <c r="T1146" s="193"/>
      <c r="U1146" s="193"/>
      <c r="V1146" s="193"/>
      <c r="W1146" s="193"/>
      <c r="X1146" s="193"/>
      <c r="Y1146" s="193"/>
      <c r="Z1146" s="193"/>
      <c r="AA1146" s="193"/>
      <c r="AB1146" s="193"/>
      <c r="AC1146" s="193"/>
      <c r="AD1146" s="193"/>
      <c r="AE1146" s="193"/>
    </row>
    <row r="1147" ht="14.25" customHeight="1">
      <c r="A1147" s="191" t="s">
        <v>4606</v>
      </c>
      <c r="B1147" s="192" t="s">
        <v>4607</v>
      </c>
      <c r="C1147" s="191" t="s">
        <v>4608</v>
      </c>
      <c r="D1147" s="193"/>
      <c r="E1147" s="193"/>
      <c r="F1147" s="195"/>
      <c r="G1147" s="193"/>
      <c r="H1147" s="193"/>
      <c r="I1147" s="193"/>
      <c r="J1147" s="193"/>
      <c r="K1147" s="193"/>
      <c r="L1147" s="193"/>
      <c r="M1147" s="193"/>
      <c r="N1147" s="193"/>
      <c r="O1147" s="193"/>
      <c r="P1147" s="193"/>
      <c r="Q1147" s="193"/>
      <c r="R1147" s="193"/>
      <c r="S1147" s="193"/>
      <c r="T1147" s="193"/>
      <c r="U1147" s="193"/>
      <c r="V1147" s="193"/>
      <c r="W1147" s="193"/>
      <c r="X1147" s="193"/>
      <c r="Y1147" s="193"/>
      <c r="Z1147" s="193"/>
      <c r="AA1147" s="193"/>
      <c r="AB1147" s="193"/>
      <c r="AC1147" s="193"/>
      <c r="AD1147" s="193"/>
      <c r="AE1147" s="193"/>
    </row>
    <row r="1148" ht="14.25" customHeight="1">
      <c r="A1148" s="191" t="s">
        <v>4609</v>
      </c>
      <c r="B1148" s="192" t="s">
        <v>4610</v>
      </c>
      <c r="C1148" s="191" t="s">
        <v>4611</v>
      </c>
      <c r="D1148" s="193"/>
      <c r="E1148" s="193"/>
      <c r="F1148" s="194" t="s">
        <v>4612</v>
      </c>
      <c r="G1148" s="193"/>
      <c r="H1148" s="193"/>
      <c r="I1148" s="193"/>
      <c r="J1148" s="193"/>
      <c r="K1148" s="193"/>
      <c r="L1148" s="193"/>
      <c r="M1148" s="193"/>
      <c r="N1148" s="193"/>
      <c r="O1148" s="193"/>
      <c r="P1148" s="193"/>
      <c r="Q1148" s="193"/>
      <c r="R1148" s="193"/>
      <c r="S1148" s="193"/>
      <c r="T1148" s="193"/>
      <c r="U1148" s="193"/>
      <c r="V1148" s="193"/>
      <c r="W1148" s="193"/>
      <c r="X1148" s="193"/>
      <c r="Y1148" s="193"/>
      <c r="Z1148" s="193"/>
      <c r="AA1148" s="193"/>
      <c r="AB1148" s="193"/>
      <c r="AC1148" s="193"/>
      <c r="AD1148" s="193"/>
      <c r="AE1148" s="193"/>
    </row>
    <row r="1149" ht="14.25" customHeight="1">
      <c r="A1149" s="191" t="s">
        <v>4613</v>
      </c>
      <c r="B1149" s="192" t="s">
        <v>4614</v>
      </c>
      <c r="C1149" s="191" t="s">
        <v>4615</v>
      </c>
      <c r="D1149" s="193"/>
      <c r="E1149" s="193"/>
      <c r="F1149" s="194" t="s">
        <v>4535</v>
      </c>
      <c r="G1149" s="193"/>
      <c r="H1149" s="193"/>
      <c r="I1149" s="193"/>
      <c r="J1149" s="193"/>
      <c r="K1149" s="193"/>
      <c r="L1149" s="193"/>
      <c r="M1149" s="193"/>
      <c r="N1149" s="193"/>
      <c r="O1149" s="193"/>
      <c r="P1149" s="193"/>
      <c r="Q1149" s="193"/>
      <c r="R1149" s="193"/>
      <c r="S1149" s="193"/>
      <c r="T1149" s="193"/>
      <c r="U1149" s="193"/>
      <c r="V1149" s="193"/>
      <c r="W1149" s="193"/>
      <c r="X1149" s="193"/>
      <c r="Y1149" s="193"/>
      <c r="Z1149" s="193"/>
      <c r="AA1149" s="193"/>
      <c r="AB1149" s="193"/>
      <c r="AC1149" s="193"/>
      <c r="AD1149" s="193"/>
      <c r="AE1149" s="193"/>
    </row>
    <row r="1150" ht="14.25" customHeight="1">
      <c r="A1150" s="191" t="s">
        <v>4616</v>
      </c>
      <c r="B1150" s="192" t="s">
        <v>4617</v>
      </c>
      <c r="C1150" s="191" t="s">
        <v>4618</v>
      </c>
      <c r="D1150" s="193"/>
      <c r="E1150" s="193"/>
      <c r="F1150" s="194" t="s">
        <v>4539</v>
      </c>
      <c r="G1150" s="193"/>
      <c r="H1150" s="193"/>
      <c r="I1150" s="193"/>
      <c r="J1150" s="193"/>
      <c r="K1150" s="193"/>
      <c r="L1150" s="193"/>
      <c r="M1150" s="193"/>
      <c r="N1150" s="193"/>
      <c r="O1150" s="193"/>
      <c r="P1150" s="193"/>
      <c r="Q1150" s="193"/>
      <c r="R1150" s="193"/>
      <c r="S1150" s="193"/>
      <c r="T1150" s="193"/>
      <c r="U1150" s="193"/>
      <c r="V1150" s="193"/>
      <c r="W1150" s="193"/>
      <c r="X1150" s="193"/>
      <c r="Y1150" s="193"/>
      <c r="Z1150" s="193"/>
      <c r="AA1150" s="193"/>
      <c r="AB1150" s="193"/>
      <c r="AC1150" s="193"/>
      <c r="AD1150" s="193"/>
      <c r="AE1150" s="193"/>
    </row>
    <row r="1151" ht="14.25" customHeight="1">
      <c r="A1151" s="191" t="s">
        <v>4619</v>
      </c>
      <c r="B1151" s="192" t="s">
        <v>4620</v>
      </c>
      <c r="C1151" s="191" t="s">
        <v>4618</v>
      </c>
      <c r="D1151" s="193"/>
      <c r="E1151" s="193"/>
      <c r="F1151" s="194" t="s">
        <v>4539</v>
      </c>
      <c r="G1151" s="193"/>
      <c r="H1151" s="193"/>
      <c r="I1151" s="193"/>
      <c r="J1151" s="193"/>
      <c r="K1151" s="193"/>
      <c r="L1151" s="193"/>
      <c r="M1151" s="193"/>
      <c r="N1151" s="193"/>
      <c r="O1151" s="193"/>
      <c r="P1151" s="193"/>
      <c r="Q1151" s="193"/>
      <c r="R1151" s="193"/>
      <c r="S1151" s="193"/>
      <c r="T1151" s="193"/>
      <c r="U1151" s="193"/>
      <c r="V1151" s="193"/>
      <c r="W1151" s="193"/>
      <c r="X1151" s="193"/>
      <c r="Y1151" s="193"/>
      <c r="Z1151" s="193"/>
      <c r="AA1151" s="193"/>
      <c r="AB1151" s="193"/>
      <c r="AC1151" s="193"/>
      <c r="AD1151" s="193"/>
      <c r="AE1151" s="193"/>
    </row>
    <row r="1152" ht="14.25" customHeight="1">
      <c r="A1152" s="191" t="s">
        <v>4621</v>
      </c>
      <c r="B1152" s="192" t="s">
        <v>4622</v>
      </c>
      <c r="C1152" s="191" t="s">
        <v>4623</v>
      </c>
      <c r="D1152" s="193"/>
      <c r="E1152" s="193"/>
      <c r="F1152" s="194" t="s">
        <v>4624</v>
      </c>
      <c r="G1152" s="193"/>
      <c r="H1152" s="193"/>
      <c r="I1152" s="193"/>
      <c r="J1152" s="193"/>
      <c r="K1152" s="193"/>
      <c r="L1152" s="193"/>
      <c r="M1152" s="193"/>
      <c r="N1152" s="193"/>
      <c r="O1152" s="193"/>
      <c r="P1152" s="193"/>
      <c r="Q1152" s="193"/>
      <c r="R1152" s="193"/>
      <c r="S1152" s="193"/>
      <c r="T1152" s="193"/>
      <c r="U1152" s="193"/>
      <c r="V1152" s="193"/>
      <c r="W1152" s="193"/>
      <c r="X1152" s="193"/>
      <c r="Y1152" s="193"/>
      <c r="Z1152" s="193"/>
      <c r="AA1152" s="193"/>
      <c r="AB1152" s="193"/>
      <c r="AC1152" s="193"/>
      <c r="AD1152" s="193"/>
      <c r="AE1152" s="193"/>
    </row>
    <row r="1153" ht="14.25" customHeight="1">
      <c r="A1153" s="191" t="s">
        <v>4625</v>
      </c>
      <c r="B1153" s="192" t="s">
        <v>4626</v>
      </c>
      <c r="C1153" s="191" t="s">
        <v>4627</v>
      </c>
      <c r="D1153" s="193"/>
      <c r="E1153" s="193"/>
      <c r="F1153" s="194" t="s">
        <v>4628</v>
      </c>
      <c r="G1153" s="193"/>
      <c r="H1153" s="193"/>
      <c r="I1153" s="193"/>
      <c r="J1153" s="193"/>
      <c r="K1153" s="193"/>
      <c r="L1153" s="193"/>
      <c r="M1153" s="193"/>
      <c r="N1153" s="193"/>
      <c r="O1153" s="193"/>
      <c r="P1153" s="193"/>
      <c r="Q1153" s="193"/>
      <c r="R1153" s="193"/>
      <c r="S1153" s="193"/>
      <c r="T1153" s="193"/>
      <c r="U1153" s="193"/>
      <c r="V1153" s="193"/>
      <c r="W1153" s="193"/>
      <c r="X1153" s="193"/>
      <c r="Y1153" s="193"/>
      <c r="Z1153" s="193"/>
      <c r="AA1153" s="193"/>
      <c r="AB1153" s="193"/>
      <c r="AC1153" s="193"/>
      <c r="AD1153" s="193"/>
      <c r="AE1153" s="193"/>
    </row>
    <row r="1154" ht="14.25" customHeight="1">
      <c r="A1154" s="191" t="s">
        <v>4629</v>
      </c>
      <c r="B1154" s="192" t="s">
        <v>4630</v>
      </c>
      <c r="C1154" s="191" t="s">
        <v>4631</v>
      </c>
      <c r="D1154" s="193"/>
      <c r="E1154" s="193"/>
      <c r="F1154" s="194" t="s">
        <v>4632</v>
      </c>
      <c r="G1154" s="193"/>
      <c r="H1154" s="193"/>
      <c r="I1154" s="193"/>
      <c r="J1154" s="193"/>
      <c r="K1154" s="193"/>
      <c r="L1154" s="193"/>
      <c r="M1154" s="193"/>
      <c r="N1154" s="193"/>
      <c r="O1154" s="193"/>
      <c r="P1154" s="193"/>
      <c r="Q1154" s="193"/>
      <c r="R1154" s="193"/>
      <c r="S1154" s="193"/>
      <c r="T1154" s="193"/>
      <c r="U1154" s="193"/>
      <c r="V1154" s="193"/>
      <c r="W1154" s="193"/>
      <c r="X1154" s="193"/>
      <c r="Y1154" s="193"/>
      <c r="Z1154" s="193"/>
      <c r="AA1154" s="193"/>
      <c r="AB1154" s="193"/>
      <c r="AC1154" s="193"/>
      <c r="AD1154" s="193"/>
      <c r="AE1154" s="193"/>
    </row>
    <row r="1155" ht="14.25" customHeight="1">
      <c r="A1155" s="191" t="s">
        <v>4633</v>
      </c>
      <c r="B1155" s="192" t="s">
        <v>4634</v>
      </c>
      <c r="C1155" s="191" t="s">
        <v>4635</v>
      </c>
      <c r="D1155" s="193"/>
      <c r="E1155" s="193"/>
      <c r="F1155" s="194" t="s">
        <v>4636</v>
      </c>
      <c r="G1155" s="193"/>
      <c r="H1155" s="193"/>
      <c r="I1155" s="193"/>
      <c r="J1155" s="193"/>
      <c r="K1155" s="193"/>
      <c r="L1155" s="193"/>
      <c r="M1155" s="193"/>
      <c r="N1155" s="193"/>
      <c r="O1155" s="193"/>
      <c r="P1155" s="193"/>
      <c r="Q1155" s="193"/>
      <c r="R1155" s="193"/>
      <c r="S1155" s="193"/>
      <c r="T1155" s="193"/>
      <c r="U1155" s="193"/>
      <c r="V1155" s="193"/>
      <c r="W1155" s="193"/>
      <c r="X1155" s="193"/>
      <c r="Y1155" s="193"/>
      <c r="Z1155" s="193"/>
      <c r="AA1155" s="193"/>
      <c r="AB1155" s="193"/>
      <c r="AC1155" s="193"/>
      <c r="AD1155" s="193"/>
      <c r="AE1155" s="193"/>
    </row>
    <row r="1156" ht="14.25" customHeight="1">
      <c r="A1156" s="191" t="s">
        <v>4637</v>
      </c>
      <c r="B1156" s="192" t="s">
        <v>4638</v>
      </c>
      <c r="C1156" s="191" t="s">
        <v>4639</v>
      </c>
      <c r="D1156" s="193"/>
      <c r="E1156" s="193"/>
      <c r="F1156" s="194" t="s">
        <v>4640</v>
      </c>
      <c r="G1156" s="193"/>
      <c r="H1156" s="193"/>
      <c r="I1156" s="193"/>
      <c r="J1156" s="193"/>
      <c r="K1156" s="193"/>
      <c r="L1156" s="193"/>
      <c r="M1156" s="193"/>
      <c r="N1156" s="193"/>
      <c r="O1156" s="193"/>
      <c r="P1156" s="193"/>
      <c r="Q1156" s="193"/>
      <c r="R1156" s="193"/>
      <c r="S1156" s="193"/>
      <c r="T1156" s="193"/>
      <c r="U1156" s="193"/>
      <c r="V1156" s="193"/>
      <c r="W1156" s="193"/>
      <c r="X1156" s="193"/>
      <c r="Y1156" s="193"/>
      <c r="Z1156" s="193"/>
      <c r="AA1156" s="193"/>
      <c r="AB1156" s="193"/>
      <c r="AC1156" s="193"/>
      <c r="AD1156" s="193"/>
      <c r="AE1156" s="193"/>
    </row>
    <row r="1157" ht="14.25" customHeight="1">
      <c r="A1157" s="191" t="s">
        <v>4641</v>
      </c>
      <c r="B1157" s="192" t="s">
        <v>4642</v>
      </c>
      <c r="C1157" s="191" t="s">
        <v>4643</v>
      </c>
      <c r="D1157" s="193"/>
      <c r="E1157" s="193"/>
      <c r="F1157" s="194" t="s">
        <v>4644</v>
      </c>
      <c r="G1157" s="193"/>
      <c r="H1157" s="193"/>
      <c r="I1157" s="193"/>
      <c r="J1157" s="193"/>
      <c r="K1157" s="193"/>
      <c r="L1157" s="193"/>
      <c r="M1157" s="193"/>
      <c r="N1157" s="193"/>
      <c r="O1157" s="193"/>
      <c r="P1157" s="193"/>
      <c r="Q1157" s="193"/>
      <c r="R1157" s="193"/>
      <c r="S1157" s="193"/>
      <c r="T1157" s="193"/>
      <c r="U1157" s="193"/>
      <c r="V1157" s="193"/>
      <c r="W1157" s="193"/>
      <c r="X1157" s="193"/>
      <c r="Y1157" s="193"/>
      <c r="Z1157" s="193"/>
      <c r="AA1157" s="193"/>
      <c r="AB1157" s="193"/>
      <c r="AC1157" s="193"/>
      <c r="AD1157" s="193"/>
      <c r="AE1157" s="193"/>
    </row>
    <row r="1158" ht="14.25" customHeight="1">
      <c r="A1158" s="191" t="s">
        <v>4645</v>
      </c>
      <c r="B1158" s="192" t="s">
        <v>4646</v>
      </c>
      <c r="C1158" s="191" t="s">
        <v>4647</v>
      </c>
      <c r="D1158" s="193"/>
      <c r="E1158" s="193"/>
      <c r="F1158" s="194" t="s">
        <v>4648</v>
      </c>
      <c r="G1158" s="193"/>
      <c r="H1158" s="193"/>
      <c r="I1158" s="193"/>
      <c r="J1158" s="193"/>
      <c r="K1158" s="193"/>
      <c r="L1158" s="193"/>
      <c r="M1158" s="193"/>
      <c r="N1158" s="193"/>
      <c r="O1158" s="193"/>
      <c r="P1158" s="193"/>
      <c r="Q1158" s="193"/>
      <c r="R1158" s="193"/>
      <c r="S1158" s="193"/>
      <c r="T1158" s="193"/>
      <c r="U1158" s="193"/>
      <c r="V1158" s="193"/>
      <c r="W1158" s="193"/>
      <c r="X1158" s="193"/>
      <c r="Y1158" s="193"/>
      <c r="Z1158" s="193"/>
      <c r="AA1158" s="193"/>
      <c r="AB1158" s="193"/>
      <c r="AC1158" s="193"/>
      <c r="AD1158" s="193"/>
      <c r="AE1158" s="193"/>
    </row>
    <row r="1159" ht="14.25" customHeight="1">
      <c r="A1159" s="191" t="s">
        <v>4649</v>
      </c>
      <c r="B1159" s="192" t="s">
        <v>4650</v>
      </c>
      <c r="C1159" s="191" t="s">
        <v>4651</v>
      </c>
      <c r="D1159" s="193"/>
      <c r="E1159" s="193"/>
      <c r="F1159" s="194" t="s">
        <v>4652</v>
      </c>
      <c r="G1159" s="193"/>
      <c r="H1159" s="193"/>
      <c r="I1159" s="193"/>
      <c r="J1159" s="193"/>
      <c r="K1159" s="193"/>
      <c r="L1159" s="193"/>
      <c r="M1159" s="193"/>
      <c r="N1159" s="193"/>
      <c r="O1159" s="193"/>
      <c r="P1159" s="193"/>
      <c r="Q1159" s="193"/>
      <c r="R1159" s="193"/>
      <c r="S1159" s="193"/>
      <c r="T1159" s="193"/>
      <c r="U1159" s="193"/>
      <c r="V1159" s="193"/>
      <c r="W1159" s="193"/>
      <c r="X1159" s="193"/>
      <c r="Y1159" s="193"/>
      <c r="Z1159" s="193"/>
      <c r="AA1159" s="193"/>
      <c r="AB1159" s="193"/>
      <c r="AC1159" s="193"/>
      <c r="AD1159" s="193"/>
      <c r="AE1159" s="193"/>
    </row>
    <row r="1160" ht="14.25" customHeight="1">
      <c r="A1160" s="191" t="s">
        <v>4653</v>
      </c>
      <c r="B1160" s="192" t="s">
        <v>4654</v>
      </c>
      <c r="C1160" s="191" t="s">
        <v>4655</v>
      </c>
      <c r="D1160" s="193"/>
      <c r="E1160" s="193"/>
      <c r="F1160" s="194" t="s">
        <v>4656</v>
      </c>
      <c r="G1160" s="193"/>
      <c r="H1160" s="193"/>
      <c r="I1160" s="193"/>
      <c r="J1160" s="193"/>
      <c r="K1160" s="193"/>
      <c r="L1160" s="193"/>
      <c r="M1160" s="193"/>
      <c r="N1160" s="193"/>
      <c r="O1160" s="193"/>
      <c r="P1160" s="193"/>
      <c r="Q1160" s="193"/>
      <c r="R1160" s="193"/>
      <c r="S1160" s="193"/>
      <c r="T1160" s="193"/>
      <c r="U1160" s="193"/>
      <c r="V1160" s="193"/>
      <c r="W1160" s="193"/>
      <c r="X1160" s="193"/>
      <c r="Y1160" s="193"/>
      <c r="Z1160" s="193"/>
      <c r="AA1160" s="193"/>
      <c r="AB1160" s="193"/>
      <c r="AC1160" s="193"/>
      <c r="AD1160" s="193"/>
      <c r="AE1160" s="193"/>
    </row>
    <row r="1161" ht="14.25" customHeight="1">
      <c r="A1161" s="191" t="s">
        <v>4657</v>
      </c>
      <c r="B1161" s="192" t="s">
        <v>4658</v>
      </c>
      <c r="C1161" s="191" t="s">
        <v>4659</v>
      </c>
      <c r="D1161" s="193"/>
      <c r="E1161" s="193"/>
      <c r="F1161" s="194" t="s">
        <v>4660</v>
      </c>
      <c r="G1161" s="193"/>
      <c r="H1161" s="193"/>
      <c r="I1161" s="193"/>
      <c r="J1161" s="193"/>
      <c r="K1161" s="193"/>
      <c r="L1161" s="193"/>
      <c r="M1161" s="193"/>
      <c r="N1161" s="193"/>
      <c r="O1161" s="193"/>
      <c r="P1161" s="193"/>
      <c r="Q1161" s="193"/>
      <c r="R1161" s="193"/>
      <c r="S1161" s="193"/>
      <c r="T1161" s="193"/>
      <c r="U1161" s="193"/>
      <c r="V1161" s="193"/>
      <c r="W1161" s="193"/>
      <c r="X1161" s="193"/>
      <c r="Y1161" s="193"/>
      <c r="Z1161" s="193"/>
      <c r="AA1161" s="193"/>
      <c r="AB1161" s="193"/>
      <c r="AC1161" s="193"/>
      <c r="AD1161" s="193"/>
      <c r="AE1161" s="193"/>
    </row>
    <row r="1162" ht="14.25" customHeight="1">
      <c r="A1162" s="191" t="s">
        <v>4661</v>
      </c>
      <c r="B1162" s="192" t="s">
        <v>4662</v>
      </c>
      <c r="C1162" s="191" t="s">
        <v>4663</v>
      </c>
      <c r="D1162" s="193"/>
      <c r="E1162" s="193"/>
      <c r="F1162" s="194" t="s">
        <v>4664</v>
      </c>
      <c r="G1162" s="193"/>
      <c r="H1162" s="193"/>
      <c r="I1162" s="193"/>
      <c r="J1162" s="193"/>
      <c r="K1162" s="193"/>
      <c r="L1162" s="193"/>
      <c r="M1162" s="193"/>
      <c r="N1162" s="193"/>
      <c r="O1162" s="193"/>
      <c r="P1162" s="193"/>
      <c r="Q1162" s="193"/>
      <c r="R1162" s="193"/>
      <c r="S1162" s="193"/>
      <c r="T1162" s="193"/>
      <c r="U1162" s="193"/>
      <c r="V1162" s="193"/>
      <c r="W1162" s="193"/>
      <c r="X1162" s="193"/>
      <c r="Y1162" s="193"/>
      <c r="Z1162" s="193"/>
      <c r="AA1162" s="193"/>
      <c r="AB1162" s="193"/>
      <c r="AC1162" s="193"/>
      <c r="AD1162" s="193"/>
      <c r="AE1162" s="193"/>
    </row>
    <row r="1163" ht="14.25" customHeight="1">
      <c r="A1163" s="191" t="s">
        <v>4665</v>
      </c>
      <c r="B1163" s="192" t="s">
        <v>4666</v>
      </c>
      <c r="C1163" s="191" t="s">
        <v>4667</v>
      </c>
      <c r="D1163" s="193"/>
      <c r="E1163" s="193"/>
      <c r="F1163" s="194" t="s">
        <v>4668</v>
      </c>
      <c r="G1163" s="193"/>
      <c r="H1163" s="193"/>
      <c r="I1163" s="193"/>
      <c r="J1163" s="193"/>
      <c r="K1163" s="193"/>
      <c r="L1163" s="193"/>
      <c r="M1163" s="193"/>
      <c r="N1163" s="193"/>
      <c r="O1163" s="193"/>
      <c r="P1163" s="193"/>
      <c r="Q1163" s="193"/>
      <c r="R1163" s="193"/>
      <c r="S1163" s="193"/>
      <c r="T1163" s="193"/>
      <c r="U1163" s="193"/>
      <c r="V1163" s="193"/>
      <c r="W1163" s="193"/>
      <c r="X1163" s="193"/>
      <c r="Y1163" s="193"/>
      <c r="Z1163" s="193"/>
      <c r="AA1163" s="193"/>
      <c r="AB1163" s="193"/>
      <c r="AC1163" s="193"/>
      <c r="AD1163" s="193"/>
      <c r="AE1163" s="193"/>
    </row>
    <row r="1164" ht="14.25" customHeight="1">
      <c r="A1164" s="191" t="s">
        <v>4669</v>
      </c>
      <c r="B1164" s="192" t="s">
        <v>4670</v>
      </c>
      <c r="C1164" s="191" t="s">
        <v>4671</v>
      </c>
      <c r="D1164" s="193"/>
      <c r="E1164" s="193"/>
      <c r="F1164" s="194" t="s">
        <v>4672</v>
      </c>
      <c r="G1164" s="193"/>
      <c r="H1164" s="193"/>
      <c r="I1164" s="193"/>
      <c r="J1164" s="193"/>
      <c r="K1164" s="193"/>
      <c r="L1164" s="193"/>
      <c r="M1164" s="193"/>
      <c r="N1164" s="193"/>
      <c r="O1164" s="193"/>
      <c r="P1164" s="193"/>
      <c r="Q1164" s="193"/>
      <c r="R1164" s="193"/>
      <c r="S1164" s="193"/>
      <c r="T1164" s="193"/>
      <c r="U1164" s="193"/>
      <c r="V1164" s="193"/>
      <c r="W1164" s="193"/>
      <c r="X1164" s="193"/>
      <c r="Y1164" s="193"/>
      <c r="Z1164" s="193"/>
      <c r="AA1164" s="193"/>
      <c r="AB1164" s="193"/>
      <c r="AC1164" s="193"/>
      <c r="AD1164" s="193"/>
      <c r="AE1164" s="193"/>
    </row>
    <row r="1165" ht="14.25" customHeight="1">
      <c r="A1165" s="191" t="s">
        <v>4673</v>
      </c>
      <c r="B1165" s="192" t="s">
        <v>4674</v>
      </c>
      <c r="C1165" s="191" t="s">
        <v>4675</v>
      </c>
      <c r="D1165" s="193"/>
      <c r="E1165" s="193"/>
      <c r="F1165" s="195"/>
      <c r="G1165" s="193"/>
      <c r="H1165" s="193"/>
      <c r="I1165" s="193"/>
      <c r="J1165" s="193"/>
      <c r="K1165" s="193"/>
      <c r="L1165" s="193"/>
      <c r="M1165" s="193"/>
      <c r="N1165" s="193"/>
      <c r="O1165" s="193"/>
      <c r="P1165" s="193"/>
      <c r="Q1165" s="193"/>
      <c r="R1165" s="193"/>
      <c r="S1165" s="193"/>
      <c r="T1165" s="193"/>
      <c r="U1165" s="193"/>
      <c r="V1165" s="193"/>
      <c r="W1165" s="193"/>
      <c r="X1165" s="193"/>
      <c r="Y1165" s="193"/>
      <c r="Z1165" s="193"/>
      <c r="AA1165" s="193"/>
      <c r="AB1165" s="193"/>
      <c r="AC1165" s="193"/>
      <c r="AD1165" s="193"/>
      <c r="AE1165" s="193"/>
    </row>
    <row r="1166" ht="14.25" customHeight="1">
      <c r="A1166" s="191" t="s">
        <v>4676</v>
      </c>
      <c r="B1166" s="192" t="s">
        <v>4677</v>
      </c>
      <c r="C1166" s="191" t="s">
        <v>4678</v>
      </c>
      <c r="D1166" s="193"/>
      <c r="E1166" s="193"/>
      <c r="F1166" s="194" t="s">
        <v>4679</v>
      </c>
      <c r="G1166" s="193"/>
      <c r="H1166" s="193"/>
      <c r="I1166" s="193"/>
      <c r="J1166" s="193"/>
      <c r="K1166" s="193"/>
      <c r="L1166" s="193"/>
      <c r="M1166" s="193"/>
      <c r="N1166" s="193"/>
      <c r="O1166" s="193"/>
      <c r="P1166" s="193"/>
      <c r="Q1166" s="193"/>
      <c r="R1166" s="193"/>
      <c r="S1166" s="193"/>
      <c r="T1166" s="193"/>
      <c r="U1166" s="193"/>
      <c r="V1166" s="193"/>
      <c r="W1166" s="193"/>
      <c r="X1166" s="193"/>
      <c r="Y1166" s="193"/>
      <c r="Z1166" s="193"/>
      <c r="AA1166" s="193"/>
      <c r="AB1166" s="193"/>
      <c r="AC1166" s="193"/>
      <c r="AD1166" s="193"/>
      <c r="AE1166" s="193"/>
    </row>
    <row r="1167" ht="14.25" customHeight="1">
      <c r="A1167" s="191" t="s">
        <v>4680</v>
      </c>
      <c r="B1167" s="192" t="s">
        <v>4681</v>
      </c>
      <c r="C1167" s="191" t="s">
        <v>4682</v>
      </c>
      <c r="D1167" s="193"/>
      <c r="E1167" s="193"/>
      <c r="F1167" s="194" t="s">
        <v>4683</v>
      </c>
      <c r="G1167" s="193"/>
      <c r="H1167" s="193"/>
      <c r="I1167" s="193"/>
      <c r="J1167" s="193"/>
      <c r="K1167" s="193"/>
      <c r="L1167" s="193"/>
      <c r="M1167" s="193"/>
      <c r="N1167" s="193"/>
      <c r="O1167" s="193"/>
      <c r="P1167" s="193"/>
      <c r="Q1167" s="193"/>
      <c r="R1167" s="193"/>
      <c r="S1167" s="193"/>
      <c r="T1167" s="193"/>
      <c r="U1167" s="193"/>
      <c r="V1167" s="193"/>
      <c r="W1167" s="193"/>
      <c r="X1167" s="193"/>
      <c r="Y1167" s="193"/>
      <c r="Z1167" s="193"/>
      <c r="AA1167" s="193"/>
      <c r="AB1167" s="193"/>
      <c r="AC1167" s="193"/>
      <c r="AD1167" s="193"/>
      <c r="AE1167" s="193"/>
    </row>
    <row r="1168" ht="14.25" customHeight="1">
      <c r="A1168" s="191" t="s">
        <v>4684</v>
      </c>
      <c r="B1168" s="192" t="s">
        <v>4685</v>
      </c>
      <c r="C1168" s="191" t="s">
        <v>4686</v>
      </c>
      <c r="D1168" s="193"/>
      <c r="E1168" s="193"/>
      <c r="F1168" s="194" t="s">
        <v>2637</v>
      </c>
      <c r="G1168" s="193"/>
      <c r="H1168" s="193"/>
      <c r="I1168" s="193"/>
      <c r="J1168" s="193"/>
      <c r="K1168" s="193"/>
      <c r="L1168" s="193"/>
      <c r="M1168" s="193"/>
      <c r="N1168" s="193"/>
      <c r="O1168" s="193"/>
      <c r="P1168" s="193"/>
      <c r="Q1168" s="193"/>
      <c r="R1168" s="193"/>
      <c r="S1168" s="193"/>
      <c r="T1168" s="193"/>
      <c r="U1168" s="193"/>
      <c r="V1168" s="193"/>
      <c r="W1168" s="193"/>
      <c r="X1168" s="193"/>
      <c r="Y1168" s="193"/>
      <c r="Z1168" s="193"/>
      <c r="AA1168" s="193"/>
      <c r="AB1168" s="193"/>
      <c r="AC1168" s="193"/>
      <c r="AD1168" s="193"/>
      <c r="AE1168" s="193"/>
    </row>
    <row r="1169" ht="14.25" customHeight="1">
      <c r="A1169" s="191" t="s">
        <v>4687</v>
      </c>
      <c r="B1169" s="192" t="s">
        <v>4688</v>
      </c>
      <c r="C1169" s="191" t="s">
        <v>4689</v>
      </c>
      <c r="D1169" s="193"/>
      <c r="E1169" s="193"/>
      <c r="F1169" s="194" t="s">
        <v>4690</v>
      </c>
      <c r="G1169" s="193"/>
      <c r="H1169" s="193"/>
      <c r="I1169" s="193"/>
      <c r="J1169" s="193"/>
      <c r="K1169" s="193"/>
      <c r="L1169" s="193"/>
      <c r="M1169" s="193"/>
      <c r="N1169" s="193"/>
      <c r="O1169" s="193"/>
      <c r="P1169" s="193"/>
      <c r="Q1169" s="193"/>
      <c r="R1169" s="193"/>
      <c r="S1169" s="193"/>
      <c r="T1169" s="193"/>
      <c r="U1169" s="193"/>
      <c r="V1169" s="193"/>
      <c r="W1169" s="193"/>
      <c r="X1169" s="193"/>
      <c r="Y1169" s="193"/>
      <c r="Z1169" s="193"/>
      <c r="AA1169" s="193"/>
      <c r="AB1169" s="193"/>
      <c r="AC1169" s="193"/>
      <c r="AD1169" s="193"/>
      <c r="AE1169" s="193"/>
    </row>
    <row r="1170" ht="14.25" customHeight="1">
      <c r="A1170" s="191" t="s">
        <v>4691</v>
      </c>
      <c r="B1170" s="192" t="s">
        <v>4692</v>
      </c>
      <c r="C1170" s="191" t="s">
        <v>4693</v>
      </c>
      <c r="D1170" s="193"/>
      <c r="E1170" s="193"/>
      <c r="F1170" s="194" t="s">
        <v>4694</v>
      </c>
      <c r="G1170" s="193"/>
      <c r="H1170" s="193"/>
      <c r="I1170" s="193"/>
      <c r="J1170" s="193"/>
      <c r="K1170" s="193"/>
      <c r="L1170" s="193"/>
      <c r="M1170" s="193"/>
      <c r="N1170" s="193"/>
      <c r="O1170" s="193"/>
      <c r="P1170" s="193"/>
      <c r="Q1170" s="193"/>
      <c r="R1170" s="193"/>
      <c r="S1170" s="193"/>
      <c r="T1170" s="193"/>
      <c r="U1170" s="193"/>
      <c r="V1170" s="193"/>
      <c r="W1170" s="193"/>
      <c r="X1170" s="193"/>
      <c r="Y1170" s="193"/>
      <c r="Z1170" s="193"/>
      <c r="AA1170" s="193"/>
      <c r="AB1170" s="193"/>
      <c r="AC1170" s="193"/>
      <c r="AD1170" s="193"/>
      <c r="AE1170" s="193"/>
    </row>
    <row r="1171" ht="14.25" customHeight="1">
      <c r="A1171" s="191" t="s">
        <v>4695</v>
      </c>
      <c r="B1171" s="192" t="s">
        <v>4696</v>
      </c>
      <c r="C1171" s="191" t="s">
        <v>4697</v>
      </c>
      <c r="D1171" s="193"/>
      <c r="E1171" s="193"/>
      <c r="F1171" s="194" t="s">
        <v>4698</v>
      </c>
      <c r="G1171" s="193"/>
      <c r="H1171" s="193"/>
      <c r="I1171" s="193"/>
      <c r="J1171" s="193"/>
      <c r="K1171" s="193"/>
      <c r="L1171" s="193"/>
      <c r="M1171" s="193"/>
      <c r="N1171" s="193"/>
      <c r="O1171" s="193"/>
      <c r="P1171" s="193"/>
      <c r="Q1171" s="193"/>
      <c r="R1171" s="193"/>
      <c r="S1171" s="193"/>
      <c r="T1171" s="193"/>
      <c r="U1171" s="193"/>
      <c r="V1171" s="193"/>
      <c r="W1171" s="193"/>
      <c r="X1171" s="193"/>
      <c r="Y1171" s="193"/>
      <c r="Z1171" s="193"/>
      <c r="AA1171" s="193"/>
      <c r="AB1171" s="193"/>
      <c r="AC1171" s="193"/>
      <c r="AD1171" s="193"/>
      <c r="AE1171" s="193"/>
    </row>
    <row r="1172" ht="14.25" customHeight="1">
      <c r="A1172" s="191" t="s">
        <v>4699</v>
      </c>
      <c r="B1172" s="192" t="s">
        <v>4700</v>
      </c>
      <c r="C1172" s="191" t="s">
        <v>4701</v>
      </c>
      <c r="D1172" s="193"/>
      <c r="E1172" s="193"/>
      <c r="F1172" s="194" t="s">
        <v>4702</v>
      </c>
      <c r="G1172" s="193"/>
      <c r="H1172" s="193"/>
      <c r="I1172" s="193"/>
      <c r="J1172" s="193"/>
      <c r="K1172" s="193"/>
      <c r="L1172" s="193"/>
      <c r="M1172" s="193"/>
      <c r="N1172" s="193"/>
      <c r="O1172" s="193"/>
      <c r="P1172" s="193"/>
      <c r="Q1172" s="193"/>
      <c r="R1172" s="193"/>
      <c r="S1172" s="193"/>
      <c r="T1172" s="193"/>
      <c r="U1172" s="193"/>
      <c r="V1172" s="193"/>
      <c r="W1172" s="193"/>
      <c r="X1172" s="193"/>
      <c r="Y1172" s="193"/>
      <c r="Z1172" s="193"/>
      <c r="AA1172" s="193"/>
      <c r="AB1172" s="193"/>
      <c r="AC1172" s="193"/>
      <c r="AD1172" s="193"/>
      <c r="AE1172" s="193"/>
    </row>
    <row r="1173" ht="14.25" customHeight="1">
      <c r="A1173" s="191" t="s">
        <v>4703</v>
      </c>
      <c r="B1173" s="192" t="s">
        <v>4704</v>
      </c>
      <c r="C1173" s="191" t="s">
        <v>101</v>
      </c>
      <c r="D1173" s="193"/>
      <c r="E1173" s="193"/>
      <c r="F1173" s="194"/>
      <c r="G1173" s="193"/>
      <c r="H1173" s="193"/>
      <c r="I1173" s="193"/>
      <c r="J1173" s="193"/>
      <c r="K1173" s="193"/>
      <c r="L1173" s="193"/>
      <c r="M1173" s="193"/>
      <c r="N1173" s="193"/>
      <c r="O1173" s="193"/>
      <c r="P1173" s="193"/>
      <c r="Q1173" s="193"/>
      <c r="R1173" s="193"/>
      <c r="S1173" s="193"/>
      <c r="T1173" s="193"/>
      <c r="U1173" s="193"/>
      <c r="V1173" s="193"/>
      <c r="W1173" s="193"/>
      <c r="X1173" s="193"/>
      <c r="Y1173" s="193"/>
      <c r="Z1173" s="193"/>
      <c r="AA1173" s="193"/>
      <c r="AB1173" s="193"/>
      <c r="AC1173" s="193"/>
      <c r="AD1173" s="193"/>
      <c r="AE1173" s="193"/>
    </row>
    <row r="1174" ht="14.25" customHeight="1">
      <c r="A1174" s="191" t="s">
        <v>4705</v>
      </c>
      <c r="B1174" s="192" t="s">
        <v>4706</v>
      </c>
      <c r="C1174" s="191" t="s">
        <v>118</v>
      </c>
      <c r="D1174" s="193"/>
      <c r="E1174" s="193"/>
      <c r="F1174" s="194"/>
      <c r="G1174" s="193"/>
      <c r="H1174" s="193"/>
      <c r="I1174" s="193"/>
      <c r="J1174" s="193"/>
      <c r="K1174" s="193"/>
      <c r="L1174" s="193"/>
      <c r="M1174" s="193"/>
      <c r="N1174" s="193"/>
      <c r="O1174" s="193"/>
      <c r="P1174" s="193"/>
      <c r="Q1174" s="193"/>
      <c r="R1174" s="193"/>
      <c r="S1174" s="193"/>
      <c r="T1174" s="193"/>
      <c r="U1174" s="193"/>
      <c r="V1174" s="193"/>
      <c r="W1174" s="193"/>
      <c r="X1174" s="193"/>
      <c r="Y1174" s="193"/>
      <c r="Z1174" s="193"/>
      <c r="AA1174" s="193"/>
      <c r="AB1174" s="193"/>
      <c r="AC1174" s="193"/>
      <c r="AD1174" s="193"/>
      <c r="AE1174" s="193"/>
    </row>
    <row r="1175" ht="14.25" customHeight="1">
      <c r="A1175" s="191" t="s">
        <v>4707</v>
      </c>
      <c r="B1175" s="192" t="s">
        <v>4708</v>
      </c>
      <c r="C1175" s="191" t="s">
        <v>111</v>
      </c>
      <c r="D1175" s="193"/>
      <c r="E1175" s="193"/>
      <c r="F1175" s="194"/>
      <c r="G1175" s="193"/>
      <c r="H1175" s="193"/>
      <c r="I1175" s="193"/>
      <c r="J1175" s="193"/>
      <c r="K1175" s="193"/>
      <c r="L1175" s="193"/>
      <c r="M1175" s="193"/>
      <c r="N1175" s="193"/>
      <c r="O1175" s="193"/>
      <c r="P1175" s="193"/>
      <c r="Q1175" s="193"/>
      <c r="R1175" s="193"/>
      <c r="S1175" s="193"/>
      <c r="T1175" s="193"/>
      <c r="U1175" s="193"/>
      <c r="V1175" s="193"/>
      <c r="W1175" s="193"/>
      <c r="X1175" s="193"/>
      <c r="Y1175" s="193"/>
      <c r="Z1175" s="193"/>
      <c r="AA1175" s="193"/>
      <c r="AB1175" s="193"/>
      <c r="AC1175" s="193"/>
      <c r="AD1175" s="193"/>
      <c r="AE1175" s="193"/>
    </row>
    <row r="1176" ht="14.25" customHeight="1">
      <c r="A1176" s="191" t="s">
        <v>4709</v>
      </c>
      <c r="B1176" s="192" t="s">
        <v>4710</v>
      </c>
      <c r="C1176" s="191" t="s">
        <v>90</v>
      </c>
      <c r="D1176" s="193"/>
      <c r="E1176" s="193"/>
      <c r="F1176" s="194"/>
      <c r="G1176" s="193"/>
      <c r="H1176" s="193"/>
      <c r="I1176" s="193"/>
      <c r="J1176" s="193"/>
      <c r="K1176" s="193"/>
      <c r="L1176" s="193"/>
      <c r="M1176" s="193"/>
      <c r="N1176" s="193"/>
      <c r="O1176" s="193"/>
      <c r="P1176" s="193"/>
      <c r="Q1176" s="193"/>
      <c r="R1176" s="193"/>
      <c r="S1176" s="193"/>
      <c r="T1176" s="193"/>
      <c r="U1176" s="193"/>
      <c r="V1176" s="193"/>
      <c r="W1176" s="193"/>
      <c r="X1176" s="193"/>
      <c r="Y1176" s="193"/>
      <c r="Z1176" s="193"/>
      <c r="AA1176" s="193"/>
      <c r="AB1176" s="193"/>
      <c r="AC1176" s="193"/>
      <c r="AD1176" s="193"/>
      <c r="AE1176" s="193"/>
    </row>
    <row r="1177" ht="14.25" customHeight="1">
      <c r="A1177" s="191" t="s">
        <v>4711</v>
      </c>
      <c r="B1177" s="192" t="s">
        <v>4712</v>
      </c>
      <c r="C1177" s="191" t="s">
        <v>86</v>
      </c>
      <c r="D1177" s="193"/>
      <c r="E1177" s="193"/>
      <c r="F1177" s="194"/>
      <c r="G1177" s="193"/>
      <c r="H1177" s="193"/>
      <c r="I1177" s="193"/>
      <c r="J1177" s="193"/>
      <c r="K1177" s="193"/>
      <c r="L1177" s="193"/>
      <c r="M1177" s="193"/>
      <c r="N1177" s="193"/>
      <c r="O1177" s="193"/>
      <c r="P1177" s="193"/>
      <c r="Q1177" s="193"/>
      <c r="R1177" s="193"/>
      <c r="S1177" s="193"/>
      <c r="T1177" s="193"/>
      <c r="U1177" s="193"/>
      <c r="V1177" s="193"/>
      <c r="W1177" s="193"/>
      <c r="X1177" s="193"/>
      <c r="Y1177" s="193"/>
      <c r="Z1177" s="193"/>
      <c r="AA1177" s="193"/>
      <c r="AB1177" s="193"/>
      <c r="AC1177" s="193"/>
      <c r="AD1177" s="193"/>
      <c r="AE1177" s="193"/>
    </row>
    <row r="1178" ht="14.25" customHeight="1">
      <c r="A1178" s="191" t="s">
        <v>4713</v>
      </c>
      <c r="B1178" s="192" t="s">
        <v>4714</v>
      </c>
      <c r="C1178" s="191" t="s">
        <v>59</v>
      </c>
      <c r="D1178" s="193"/>
      <c r="E1178" s="193"/>
      <c r="F1178" s="194"/>
      <c r="G1178" s="193"/>
      <c r="H1178" s="193"/>
      <c r="I1178" s="193"/>
      <c r="J1178" s="193"/>
      <c r="K1178" s="193"/>
      <c r="L1178" s="193"/>
      <c r="M1178" s="193"/>
      <c r="N1178" s="193"/>
      <c r="O1178" s="193"/>
      <c r="P1178" s="193"/>
      <c r="Q1178" s="193"/>
      <c r="R1178" s="193"/>
      <c r="S1178" s="193"/>
      <c r="T1178" s="193"/>
      <c r="U1178" s="193"/>
      <c r="V1178" s="193"/>
      <c r="W1178" s="193"/>
      <c r="X1178" s="193"/>
      <c r="Y1178" s="193"/>
      <c r="Z1178" s="193"/>
      <c r="AA1178" s="193"/>
      <c r="AB1178" s="193"/>
      <c r="AC1178" s="193"/>
      <c r="AD1178" s="193"/>
      <c r="AE1178" s="19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76"/>
      <c r="D1" s="176"/>
    </row>
    <row r="2">
      <c r="A2" s="196" t="s">
        <v>27</v>
      </c>
      <c r="B2" s="7" t="s">
        <v>5</v>
      </c>
      <c r="C2" s="197" t="s">
        <v>4715</v>
      </c>
      <c r="D2" s="198" t="str">
        <f>IFERROR(__xludf.DUMMYFUNCTION("IFERROR(FILTER(products!B2:B4117 &amp; "" - "" &amp; products!C2:C4117 &amp; "" ("" &amp; products!F2:F4117 &amp; "")"" , (REGEXMATCH(products!C2:C4117, "".*"" &amp; A1 &amp; "".*"") + REGEXMATCH(products!F2:F4117, "".*"" &amp; A1 &amp; "".*"")) &gt; 0) , ""Нет результатов"")"),"8400916 - CILINDRO CRISTAL 155XH350MM (YE6000760)")</f>
        <v>8400916 - CILINDRO CRISTAL 155XH350MM (YE6000760)</v>
      </c>
    </row>
    <row r="3">
      <c r="A3" s="196" t="s">
        <v>4716</v>
      </c>
      <c r="B3" s="7" t="s">
        <v>6</v>
      </c>
      <c r="C3" s="197" t="s">
        <v>4717</v>
      </c>
      <c r="D3" s="176" t="str">
        <f>IFERROR(__xludf.DUMMYFUNCTION("""COMPUTED_VALUE"""),"R00038 - MARCADOR ( rotulador)")</f>
        <v>R00038 - MARCADOR ( rotulador)</v>
      </c>
    </row>
    <row r="4">
      <c r="A4" s="196" t="s">
        <v>4718</v>
      </c>
      <c r="B4" s="7" t="s">
        <v>7</v>
      </c>
      <c r="C4" s="197" t="s">
        <v>4719</v>
      </c>
      <c r="D4" s="176" t="str">
        <f>IFERROR(__xludf.DUMMYFUNCTION("""COMPUTED_VALUE"""),"R00037 - BOLIGRAFO ( )")</f>
        <v>R00037 - BOLIGRAFO ( )</v>
      </c>
    </row>
    <row r="5">
      <c r="A5" s="196" t="s">
        <v>4720</v>
      </c>
      <c r="B5" s="7" t="s">
        <v>8</v>
      </c>
      <c r="C5" s="197" t="s">
        <v>4721</v>
      </c>
      <c r="D5" s="176" t="str">
        <f>IFERROR(__xludf.DUMMYFUNCTION("""COMPUTED_VALUE"""),"R00036 - TRAPO PARA FREGONA ( )")</f>
        <v>R00036 - TRAPO PARA FREGONA ( )</v>
      </c>
    </row>
    <row r="6">
      <c r="A6" s="196" t="s">
        <v>4722</v>
      </c>
      <c r="B6" s="7" t="s">
        <v>9</v>
      </c>
      <c r="C6" s="197" t="s">
        <v>4723</v>
      </c>
      <c r="D6" s="176" t="str">
        <f>IFERROR(__xludf.DUMMYFUNCTION("""COMPUTED_VALUE"""),"R00035 - ESPONJA PARA LAVAR ( )")</f>
        <v>R00035 - ESPONJA PARA LAVAR ( )</v>
      </c>
    </row>
    <row r="7">
      <c r="A7" s="196" t="s">
        <v>4724</v>
      </c>
      <c r="D7" s="176" t="str">
        <f>IFERROR(__xludf.DUMMYFUNCTION("""COMPUTED_VALUE"""),"R00034 - BOLSAS DE BASURA ( )")</f>
        <v>R00034 - BOLSAS DE BASURA ( )</v>
      </c>
    </row>
    <row r="8">
      <c r="A8" s="196" t="s">
        <v>4725</v>
      </c>
      <c r="D8" s="176" t="str">
        <f>IFERROR(__xludf.DUMMYFUNCTION("""COMPUTED_VALUE"""),"R00033 - LIMPIACRISTALES ( )")</f>
        <v>R00033 - LIMPIACRISTALES ( )</v>
      </c>
    </row>
    <row r="9">
      <c r="A9" s="196" t="s">
        <v>4726</v>
      </c>
      <c r="D9" s="176" t="str">
        <f>IFERROR(__xludf.DUMMYFUNCTION("""COMPUTED_VALUE"""),"R00032 - LIMPIADOR DE SUELOS ( )")</f>
        <v>R00032 - LIMPIADOR DE SUELOS ( )</v>
      </c>
    </row>
    <row r="10">
      <c r="A10" s="196" t="s">
        <v>4727</v>
      </c>
      <c r="D10" s="176" t="str">
        <f>IFERROR(__xludf.DUMMYFUNCTION("""COMPUTED_VALUE"""),"R00031 - BAYETA DE LIMPIEZA ( )")</f>
        <v>R00031 - BAYETA DE LIMPIEZA ( )</v>
      </c>
    </row>
    <row r="11">
      <c r="A11" s="196" t="s">
        <v>4728</v>
      </c>
      <c r="D11" s="176" t="str">
        <f>IFERROR(__xludf.DUMMYFUNCTION("""COMPUTED_VALUE"""),"R00030 - GUANTES FLORISTICOS ( )")</f>
        <v>R00030 - GUANTES FLORISTICOS ( )</v>
      </c>
    </row>
    <row r="12">
      <c r="A12" s="196" t="s">
        <v>4729</v>
      </c>
      <c r="D12" s="176" t="str">
        <f>IFERROR(__xludf.DUMMYFUNCTION("""COMPUTED_VALUE"""),"R00029 - TOALLA DE PAPEL ( )")</f>
        <v>R00029 - TOALLA DE PAPEL ( )</v>
      </c>
    </row>
    <row r="13">
      <c r="A13" s="196" t="s">
        <v>4730</v>
      </c>
      <c r="D13" s="176" t="str">
        <f>IFERROR(__xludf.DUMMYFUNCTION("""COMPUTED_VALUE"""),"R00028 - BOLSA ARAIK TAMAÑO XL (6050 8400274 8050503522105)")</f>
        <v>R00028 - BOLSA ARAIK TAMAÑO XL (6050 8400274 8050503522105)</v>
      </c>
    </row>
    <row r="14">
      <c r="A14" s="196" t="s">
        <v>4731</v>
      </c>
      <c r="D14" s="176" t="str">
        <f>IFERROR(__xludf.DUMMYFUNCTION("""COMPUTED_VALUE"""),"R00027 - BOLSA ARAIK TAMAÑO M (6106 8400273)")</f>
        <v>R00027 - BOLSA ARAIK TAMAÑO M (6106 8400273)</v>
      </c>
    </row>
    <row r="15">
      <c r="A15" s="196" t="s">
        <v>4732</v>
      </c>
      <c r="D15" s="176" t="str">
        <f>IFERROR(__xludf.DUMMYFUNCTION("""COMPUTED_VALUE"""),"R00026 - BOLSA ARAIK TAMAÑO S (2623)")</f>
        <v>R00026 - BOLSA ARAIK TAMAÑO S (2623)</v>
      </c>
    </row>
    <row r="16">
      <c r="A16" s="196" t="s">
        <v>4733</v>
      </c>
      <c r="D16" s="176" t="str">
        <f>IFERROR(__xludf.DUMMYFUNCTION("""COMPUTED_VALUE"""),"R00025 - Albaran de traslado de mercancias ( Albaran de traslado de mercancias)")</f>
        <v>R00025 - Albaran de traslado de mercancias ( Albaran de traslado de mercancias)</v>
      </c>
    </row>
    <row r="17">
      <c r="A17" s="196" t="s">
        <v>4734</v>
      </c>
      <c r="D17" s="176" t="str">
        <f>IFERROR(__xludf.DUMMYFUNCTION("""COMPUTED_VALUE"""),"R00024 - Acta de recepcion de mercancia ( Acta de recepcion de mercancia)")</f>
        <v>R00024 - Acta de recepcion de mercancia ( Acta de recepcion de mercancia)</v>
      </c>
    </row>
    <row r="18">
      <c r="A18" s="196" t="s">
        <v>4735</v>
      </c>
      <c r="D18" s="176" t="str">
        <f>IFERROR(__xludf.DUMMYFUNCTION("""COMPUTED_VALUE"""),"R00023 - Etiquetas adhesivas (impresora de precios) ( Etiquetas adhesivas)")</f>
        <v>R00023 - Etiquetas adhesivas (impresora de precios) ( Etiquetas adhesivas)</v>
      </c>
    </row>
    <row r="19">
      <c r="A19" s="196" t="s">
        <v>4736</v>
      </c>
      <c r="D19" s="176" t="str">
        <f>IFERROR(__xludf.DUMMYFUNCTION("""COMPUTED_VALUE"""),"R00022 - CUCHILLO FLORISTA 1UND (5024242421459, 1987-16)")</f>
        <v>R00022 - CUCHILLO FLORISTA 1UND (5024242421459, 1987-16)</v>
      </c>
    </row>
    <row r="20">
      <c r="A20" s="199" t="s">
        <v>4737</v>
      </c>
      <c r="D20" s="176" t="str">
        <f>IFERROR(__xludf.DUMMYFUNCTION("""COMPUTED_VALUE"""),"R00021 - TIJERAS DE PODAR (8422347199018, 80523360176, 4000510982830, secadores, 32-00011)")</f>
        <v>R00021 - TIJERAS DE PODAR (8422347199018, 80523360176, 4000510982830, secadores, 32-00011)</v>
      </c>
    </row>
    <row r="21">
      <c r="A21" s="176"/>
      <c r="D21" s="176" t="str">
        <f>IFERROR(__xludf.DUMMYFUNCTION("""COMPUTED_VALUE"""),"R00020 - TIJERAS FLORES (8719202891010, 5024242421527, 8410990001284)")</f>
        <v>R00020 - TIJERAS FLORES (8719202891010, 5024242421527, 8410990001284)</v>
      </c>
    </row>
    <row r="22">
      <c r="A22" s="176"/>
      <c r="D22" s="176" t="str">
        <f>IFERROR(__xludf.DUMMYFUNCTION("""COMPUTED_VALUE"""),"R00019 - ADHESIVO DE SILICONA 1KG OASIS (5024242663071 ADHESIVO DE SILICONA 1KG OASIS )")</f>
        <v>R00019 - ADHESIVO DE SILICONA 1KG OASIS (5024242663071 ADHESIVO DE SILICONA 1KG OASIS )</v>
      </c>
    </row>
    <row r="23">
      <c r="A23" s="176"/>
      <c r="D23" s="176" t="str">
        <f>IFERROR(__xludf.DUMMYFUNCTION("""COMPUTED_VALUE"""),"R00018 - PISTOLA SILICONA 80W OASIS (4000510929200 PISTOLA SILICONA 80W OASIS)")</f>
        <v>R00018 - PISTOLA SILICONA 80W OASIS (4000510929200 PISTOLA SILICONA 80W OASIS)</v>
      </c>
    </row>
    <row r="24">
      <c r="A24" s="176"/>
      <c r="D24" s="176" t="str">
        <f>IFERROR(__xludf.DUMMYFUNCTION("""COMPUTED_VALUE"""),"R00017 - PALITOS DE BAMBU ( )")</f>
        <v>R00017 - PALITOS DE BAMBU ( )</v>
      </c>
    </row>
    <row r="25">
      <c r="A25" s="176"/>
      <c r="D25" s="176" t="str">
        <f>IFERROR(__xludf.DUMMYFUNCTION("""COMPUTED_VALUE"""),"R00016 - CINTA ADHESIVA NEGRA ( CINTA ADHESIVA NEGRA)")</f>
        <v>R00016 - CINTA ADHESIVA NEGRA ( CINTA ADHESIVA NEGRA)</v>
      </c>
    </row>
    <row r="26">
      <c r="A26" s="176"/>
      <c r="D26" s="176" t="str">
        <f>IFERROR(__xludf.DUMMYFUNCTION("""COMPUTED_VALUE"""),"R00015 - Hilo negro para etiquetas (8436036131531, 8436548911973)")</f>
        <v>R00015 - Hilo negro para etiquetas (8436036131531, 8436548911973)</v>
      </c>
    </row>
    <row r="27">
      <c r="A27" s="176"/>
      <c r="D27" s="176" t="str">
        <f>IFERROR(__xludf.DUMMYFUNCTION("""COMPUTED_VALUE"""),"R00014 - CINTA ORGANZA ( CINTA ORGANZA, 2716)")</f>
        <v>R00014 - CINTA ORGANZA ( CINTA ORGANZA, 2716)</v>
      </c>
    </row>
    <row r="28">
      <c r="A28" s="176"/>
      <c r="D28" s="176" t="str">
        <f>IFERROR(__xludf.DUMMYFUNCTION("""COMPUTED_VALUE"""),"R00013 - CELOFAN BLANCO MATE (8434329000038, 09001735070050)")</f>
        <v>R00013 - CELOFAN BLANCO MATE (8434329000038, 09001735070050)</v>
      </c>
    </row>
    <row r="29">
      <c r="A29" s="176"/>
      <c r="D29" s="176" t="str">
        <f>IFERROR(__xludf.DUMMYFUNCTION("""COMPUTED_VALUE"""),"R00012 - CELOFAN NEGRO OPACO ( 34224323070025)")</f>
        <v>R00012 - CELOFAN NEGRO OPACO ( 34224323070025)</v>
      </c>
    </row>
    <row r="30">
      <c r="A30" s="176"/>
      <c r="D30" s="176" t="str">
        <f>IFERROR(__xludf.DUMMYFUNCTION("""COMPUTED_VALUE"""),"R00011 - Etiquetas de marca Araik Galstyan (8400224 Etiquetas de marca Araik Galstyan)")</f>
        <v>R00011 - Etiquetas de marca Araik Galstyan (8400224 Etiquetas de marca Araik Galstyan)</v>
      </c>
    </row>
    <row r="31">
      <c r="A31" s="176"/>
      <c r="D31" s="176" t="str">
        <f>IFERROR(__xludf.DUMMYFUNCTION("""COMPUTED_VALUE"""),"R00010 - PULVERIZADOR 1L (8711295692222 PULVERIZADOR 1L)")</f>
        <v>R00010 - PULVERIZADOR 1L (8711295692222 PULVERIZADOR 1L)</v>
      </c>
    </row>
    <row r="32">
      <c r="A32" s="176"/>
      <c r="D32" s="176" t="str">
        <f>IFERROR(__xludf.DUMMYFUNCTION("""COMPUTED_VALUE"""),"R00009 - OASIS ESPONJA FLORAL 1 und (4000510010106, 10-01010, 1002002, 5104)")</f>
        <v>R00009 - OASIS ESPONJA FLORAL 1 und (4000510010106, 10-01010, 1002002, 5104)</v>
      </c>
    </row>
    <row r="33">
      <c r="A33" s="176"/>
      <c r="D33" s="176" t="str">
        <f>IFERROR(__xludf.DUMMYFUNCTION("""COMPUTED_VALUE"""),"R00008 - Papel térmico en rollo (terminal) ( Papel para terminal)")</f>
        <v>R00008 - Papel térmico en rollo (terminal) ( Papel para terminal)</v>
      </c>
    </row>
    <row r="34">
      <c r="A34" s="176"/>
      <c r="D34" s="176" t="str">
        <f>IFERROR(__xludf.DUMMYFUNCTION("""COMPUTED_VALUE"""),"R00006 - Papel blanco en rollo Fernando (PP05 Papel blanco en rollo Fernando)")</f>
        <v>R00006 - Papel blanco en rollo Fernando (PP05 Papel blanco en rollo Fernando)</v>
      </c>
    </row>
    <row r="35">
      <c r="A35" s="176"/>
      <c r="D35" s="176" t="str">
        <f>IFERROR(__xludf.DUMMYFUNCTION("""COMPUTED_VALUE"""),"R00005 - Papel transparente en rollo (70050 Papel transparente en rollo)")</f>
        <v>R00005 - Papel transparente en rollo (70050 Papel transparente en rollo)</v>
      </c>
    </row>
    <row r="36">
      <c r="A36" s="176"/>
      <c r="D36" s="176" t="str">
        <f>IFERROR(__xludf.DUMMYFUNCTION("""COMPUTED_VALUE"""),"R00004 - Papel blanco, negro en rollo (491901 Papel blanco en rollo)")</f>
        <v>R00004 - Papel blanco, negro en rollo (491901 Papel blanco en rollo)</v>
      </c>
    </row>
    <row r="37">
      <c r="A37" s="176"/>
      <c r="D37" s="176" t="str">
        <f>IFERROR(__xludf.DUMMYFUNCTION("""COMPUTED_VALUE"""),"R00003 - Papel térmico en rollo 80*80 (caja) ( termoroll)")</f>
        <v>R00003 - Papel térmico en rollo 80*80 (caja) ( termoroll)</v>
      </c>
    </row>
    <row r="38">
      <c r="A38" s="176"/>
      <c r="D38" s="176" t="str">
        <f>IFERROR(__xludf.DUMMYFUNCTION("""COMPUTED_VALUE"""),"R00002 - Etiquetas Kraft Negras 4 cm x 9 cm 100un ( Etiquetas Kraft Negras)")</f>
        <v>R00002 - Etiquetas Kraft Negras 4 cm x 9 cm 100un ( Etiquetas Kraft Negras)</v>
      </c>
    </row>
    <row r="39">
      <c r="A39" s="176"/>
      <c r="D39" s="176" t="str">
        <f>IFERROR(__xludf.DUMMYFUNCTION("""COMPUTED_VALUE"""),"R00001 - Cuerda de Yute 1,2mm, 250m  Natural Yute Twine ( Cuerda de Yute )")</f>
        <v>R00001 - Cuerda de Yute 1,2mm, 250m  Natural Yute Twine ( Cuerda de Yute )</v>
      </c>
    </row>
    <row r="40">
      <c r="A40" s="176"/>
      <c r="D40" s="176" t="str">
        <f>IFERROR(__xludf.DUMMYFUNCTION("""COMPUTED_VALUE"""),"R00058 - BANDEJA PORTA-FLORES (50398 BANDEJA PORTA-FLORES)")</f>
        <v>R00058 - BANDEJA PORTA-FLORES (50398 BANDEJA PORTA-FLORES)</v>
      </c>
    </row>
    <row r="41">
      <c r="A41" s="176"/>
      <c r="D41" s="176" t="str">
        <f>IFERROR(__xludf.DUMMYFUNCTION("""COMPUTED_VALUE"""),"R00039 - CUBO NEGRO REDONDO DE PLASTICO ( 14109, 14110)")</f>
        <v>R00039 - CUBO NEGRO REDONDO DE PLASTICO ( 14109, 14110)</v>
      </c>
    </row>
    <row r="42">
      <c r="A42" s="176"/>
      <c r="D42" s="176" t="str">
        <f>IFERROR(__xludf.DUMMYFUNCTION("""COMPUTED_VALUE"""),"8400007 - CESTA MIMBRE GRANDE ( )")</f>
        <v>8400007 - CESTA MIMBRE GRANDE ( )</v>
      </c>
    </row>
    <row r="43">
      <c r="A43" s="176"/>
      <c r="D43" s="176" t="str">
        <f>IFERROR(__xludf.DUMMYFUNCTION("""COMPUTED_VALUE"""),"8400459 - [closed] ALMENDRA con FLORES 1,5-2m - rama ( 8400459)")</f>
        <v>8400459 - [closed] ALMENDRA con FLORES 1,5-2m - rama ( 8400459)</v>
      </c>
    </row>
    <row r="44">
      <c r="A44" s="176"/>
      <c r="D44" s="176" t="str">
        <f>IFERROR(__xludf.DUMMYFUNCTION("""COMPUTED_VALUE"""),"8400458 - HELECHO T10 - planta/14 ( 8400458)")</f>
        <v>8400458 - HELECHO T10 - planta/14 ( 8400458)</v>
      </c>
    </row>
    <row r="45">
      <c r="A45" s="176"/>
      <c r="D45" s="176" t="str">
        <f>IFERROR(__xludf.DUMMYFUNCTION("""COMPUTED_VALUE"""),"8400457 - HORTENSIA T14, T15 -  planta/28 (HOR, 130498, 99757, 130498, 175237, 176490,10104, 172749)")</f>
        <v>8400457 - HORTENSIA T14, T15 -  planta/28 (HOR, 130498, 99757, 130498, 175237, 176490,10104, 172749)</v>
      </c>
    </row>
    <row r="46">
      <c r="A46" s="176"/>
      <c r="D46" s="176" t="str">
        <f>IFERROR(__xludf.DUMMYFUNCTION("""COMPUTED_VALUE"""),"8400456 - ROSA - Mondial (RSC60 8400456, 177325, 177160, 177161, 177161)")</f>
        <v>8400456 - ROSA - Mondial (RSC60 8400456, 177325, 177160, 177161, 177161)</v>
      </c>
    </row>
    <row r="47">
      <c r="A47" s="176"/>
      <c r="D47" s="176" t="str">
        <f>IFERROR(__xludf.DUMMYFUNCTION("""COMPUTED_VALUE"""),"8400455 - CALA MIX - planta/20 (Cala  8400455, 95, 1035, 193945)")</f>
        <v>8400455 - CALA MIX - planta/20 (Cala  8400455, 95, 1035, 193945)</v>
      </c>
    </row>
    <row r="48">
      <c r="A48" s="176"/>
      <c r="D48" s="176" t="str">
        <f>IFERROR(__xludf.DUMMYFUNCTION("""COMPUTED_VALUE"""),"8400454 - YUCCA 120cm - planta/165 ( YUCCA 120cm planta)")</f>
        <v>8400454 - YUCCA 120cm - planta/165 ( YUCCA 120cm planta)</v>
      </c>
    </row>
    <row r="49">
      <c r="A49" s="176"/>
      <c r="D49" s="176" t="str">
        <f>IFERROR(__xludf.DUMMYFUNCTION("""COMPUTED_VALUE"""),"8400453 - YUCCA 90cm - planta/135 ( YUCCA 90cm planta)")</f>
        <v>8400453 - YUCCA 90cm - planta/135 ( YUCCA 90cm planta)</v>
      </c>
    </row>
    <row r="50">
      <c r="A50" s="176"/>
      <c r="D50" s="176" t="str">
        <f>IFERROR(__xludf.DUMMYFUNCTION("""COMPUTED_VALUE"""),"8400452 - FICUS T20 - Benjamina - planta/35 (FICBEN20PAC  FICUS BENJAMINA T-20 planta)")</f>
        <v>8400452 - FICUS T20 - Benjamina - planta/35 (FICBEN20PAC  FICUS BENJAMINA T-20 planta)</v>
      </c>
    </row>
    <row r="51">
      <c r="A51" s="176"/>
      <c r="D51" s="176" t="str">
        <f>IFERROR(__xludf.DUMMYFUNCTION("""COMPUTED_VALUE"""),"8400451 - DRACAENA T5L- Compacta - planta/42 (dracaena DRACENA COMPACTA 5L planta)")</f>
        <v>8400451 - DRACAENA T5L- Compacta - planta/42 (dracaena DRACENA COMPACTA 5L planta)</v>
      </c>
    </row>
    <row r="52">
      <c r="A52" s="176"/>
      <c r="D52" s="176" t="str">
        <f>IFERROR(__xludf.DUMMYFUNCTION("""COMPUTED_VALUE"""),"8400450 - [closed] CALA T5L - planta/15 (CA21  Calla Zantedeschia Aethiopica  5L planta)")</f>
        <v>8400450 - [closed] CALA T5L - planta/15 (CA21  Calla Zantedeschia Aethiopica  5L planta)</v>
      </c>
    </row>
    <row r="53">
      <c r="A53" s="176"/>
      <c r="D53" s="176" t="str">
        <f>IFERROR(__xludf.DUMMYFUNCTION("""COMPUTED_VALUE"""),"8400449 - PHILODENDRON T14 - Birkin - planta/18 (PHILB, 179578, WHITE, BIRKIN   PHILODENDRON BIRKIN T-14 planta)")</f>
        <v>8400449 - PHILODENDRON T14 - Birkin - planta/18 (PHILB, 179578, WHITE, BIRKIN   PHILODENDRON BIRKIN T-14 planta)</v>
      </c>
    </row>
    <row r="54">
      <c r="A54" s="176"/>
      <c r="D54" s="176" t="str">
        <f>IFERROR(__xludf.DUMMYFUNCTION("""COMPUTED_VALUE"""),"8400448 - KALANCHOE T25 - Pumila - planta/18 (KAL-P  KALANCHOE PUMILA T-25 planta, KCALT)")</f>
        <v>8400448 - KALANCHOE T25 - Pumila - planta/18 (KAL-P  KALANCHOE PUMILA T-25 planta, KCALT)</v>
      </c>
    </row>
    <row r="55">
      <c r="A55" s="176"/>
      <c r="D55" s="176" t="str">
        <f>IFERROR(__xludf.DUMMYFUNCTION("""COMPUTED_VALUE"""),"8400447 - EUCALIPTO SECO -MIX - rama (EUCU, KUCU  EUCALIPTO CINEREA TEÑIDO)")</f>
        <v>8400447 - EUCALIPTO SECO -MIX - rama (EUCU, KUCU  EUCALIPTO CINEREA TEÑIDO)</v>
      </c>
    </row>
    <row r="56">
      <c r="A56" s="176"/>
      <c r="D56" s="176" t="str">
        <f>IFERROR(__xludf.DUMMYFUNCTION("""COMPUTED_VALUE"""),"8400443 - [closed] SUCCULENTUS T8 - MIX - planta/6 (CRASSULACEAE, CRA8  Succulentus MIX T-8 planta)")</f>
        <v>8400443 - [closed] SUCCULENTUS T8 - MIX - planta/6 (CRASSULACEAE, CRA8  Succulentus MIX T-8 planta)</v>
      </c>
    </row>
    <row r="57">
      <c r="A57" s="176"/>
      <c r="D57" s="176" t="str">
        <f>IFERROR(__xludf.DUMMYFUNCTION("""COMPUTED_VALUE"""),"8400442 - EUPHORBIA T18 - Eritrea - planta/79 (EUPH18  EUPHORBIA ERITREA T-18 planta)")</f>
        <v>8400442 - EUPHORBIA T18 - Eritrea - planta/79 (EUPH18  EUPHORBIA ERITREA T-18 planta)</v>
      </c>
    </row>
    <row r="58">
      <c r="A58" s="176"/>
      <c r="D58" s="176" t="str">
        <f>IFERROR(__xludf.DUMMYFUNCTION("""COMPUTED_VALUE"""),"8400441 - [closed] CAMPANULA T11 - planta/7 (CAMPA11H  CAMPANULA T-11 planta)")</f>
        <v>8400441 - [closed] CAMPANULA T11 - planta/7 (CAMPA11H  CAMPANULA T-11 planta)</v>
      </c>
    </row>
    <row r="59">
      <c r="A59" s="176"/>
      <c r="D59" s="176" t="str">
        <f>IFERROR(__xludf.DUMMYFUNCTION("""COMPUTED_VALUE"""),"8400440 - DIEFFENBACHIA T12 MIX - planta/12 (DIEF  DIEFFENBACCHIA MIX T-12 planta)")</f>
        <v>8400440 - DIEFFENBACHIA T12 MIX - planta/12 (DIEF  DIEFFENBACCHIA MIX T-12 planta)</v>
      </c>
    </row>
    <row r="60">
      <c r="A60" s="176"/>
      <c r="D60" s="176" t="str">
        <f>IFERROR(__xludf.DUMMYFUNCTION("""COMPUTED_VALUE"""),"8400439 - [deleted] DENDROBIUM MIX T-12 planta (DEND  DENDROBIUM MIX T-12 planta)")</f>
        <v>8400439 - [deleted] DENDROBIUM MIX T-12 planta (DEND  DENDROBIUM MIX T-12 planta)</v>
      </c>
    </row>
    <row r="61">
      <c r="A61" s="176"/>
      <c r="D61" s="176" t="str">
        <f>IFERROR(__xludf.DUMMYFUNCTION("""COMPUTED_VALUE"""),"8400438 - PACHIRA T9 - planta/18 (PACH9  PACHIRA T-9 planta)")</f>
        <v>8400438 - PACHIRA T9 - planta/18 (PACH9  PACHIRA T-9 planta)</v>
      </c>
    </row>
    <row r="62">
      <c r="A62" s="176"/>
      <c r="D62" s="176" t="str">
        <f>IFERROR(__xludf.DUMMYFUNCTION("""COMPUTED_VALUE"""),"8400437 - FICUS T26 - Tineke - planta/89 (FTI26 FICUS TINEKE T-26 planta)")</f>
        <v>8400437 - FICUS T26 - Tineke - planta/89 (FTI26 FICUS TINEKE T-26 planta)</v>
      </c>
    </row>
    <row r="63">
      <c r="A63" s="176"/>
      <c r="D63" s="176" t="str">
        <f>IFERROR(__xludf.DUMMYFUNCTION("""COMPUTED_VALUE"""),"8400436 - [deleted] ANTHURIUM MICRA T-12 planta (MIC12 ANTHURIUM MICRA T-12 planta, )")</f>
        <v>8400436 - [deleted] ANTHURIUM MICRA T-12 planta (MIC12 ANTHURIUM MICRA T-12 planta, )</v>
      </c>
    </row>
    <row r="64">
      <c r="A64" s="176"/>
      <c r="D64" s="176" t="str">
        <f>IFERROR(__xludf.DUMMYFUNCTION("""COMPUTED_VALUE"""),"8400435 - BEGONIA T20 - Maculata - planta/42 (1096   BEGONIA MACULATA T-20 planta)")</f>
        <v>8400435 - BEGONIA T20 - Maculata - planta/42 (1096   BEGONIA MACULATA T-20 planta)</v>
      </c>
    </row>
    <row r="65">
      <c r="A65" s="176"/>
      <c r="D65" s="176" t="str">
        <f>IFERROR(__xludf.DUMMYFUNCTION("""COMPUTED_VALUE"""),"8400434 - DIPLADEMIA - planta/25 ( DIPLODEMIA planta)")</f>
        <v>8400434 - DIPLADEMIA - planta/25 ( DIPLODEMIA planta)</v>
      </c>
    </row>
    <row r="66">
      <c r="A66" s="176"/>
      <c r="D66" s="176" t="str">
        <f>IFERROR(__xludf.DUMMYFUNCTION("""COMPUTED_VALUE"""),"8400433 - IRIS - flor (IRIA  IRIS de corte IRI, 53473, 33546)")</f>
        <v>8400433 - IRIS - flor (IRIA  IRIS de corte IRI, 53473, 33546)</v>
      </c>
    </row>
    <row r="67">
      <c r="A67" s="176"/>
      <c r="D67" s="176"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8">
      <c r="A68" s="176"/>
      <c r="D68" s="176" t="str">
        <f>IFERROR(__xludf.DUMMYFUNCTION("""COMPUTED_VALUE"""),"8400431 - FORSYTHIA - rama  (2121  FORSYTHIA RAMA 60 cm)")</f>
        <v>8400431 - FORSYTHIA - rama  (2121  FORSYTHIA RAMA 60 cm)</v>
      </c>
    </row>
    <row r="69">
      <c r="A69" s="176"/>
      <c r="D69" s="176" t="str">
        <f>IFERROR(__xludf.DUMMYFUNCTION("""COMPUTED_VALUE"""),"8400430 - MAGNOLIA con BROTES- rama (9514  MAGNOLIA RAMA 50 cm)")</f>
        <v>8400430 - MAGNOLIA con BROTES- rama (9514  MAGNOLIA RAMA 50 cm)</v>
      </c>
    </row>
    <row r="70">
      <c r="A70" s="176"/>
      <c r="D70" s="176" t="str">
        <f>IFERROR(__xludf.DUMMYFUNCTION("""COMPUTED_VALUE"""),"8400429 - ESCABIOSA  HOLANDA - flor ( ESCABIOSA HOLANDA, 135562, 129766)")</f>
        <v>8400429 - ESCABIOSA  HOLANDA - flor ( ESCABIOSA HOLANDA, 135562, 129766)</v>
      </c>
    </row>
    <row r="71">
      <c r="A71" s="176"/>
      <c r="D71" s="176" t="str">
        <f>IFERROR(__xludf.DUMMYFUNCTION("""COMPUTED_VALUE"""),"8400428 - CYMBIDIUM 4V - planta/75 (PL.CYM CYMBIDIUM 4-RAMA PLANTA CYM4V)")</f>
        <v>8400428 - CYMBIDIUM 4V - planta/75 (PL.CYM CYMBIDIUM 4-RAMA PLANTA CYM4V)</v>
      </c>
    </row>
    <row r="72">
      <c r="A72" s="176"/>
      <c r="D72" s="176" t="str">
        <f>IFERROR(__xludf.DUMMYFUNCTION("""COMPUTED_VALUE"""),"8400427 - CORTADERIA - herbacea ( CORTADERIA RAMA)")</f>
        <v>8400427 - CORTADERIA - herbacea ( CORTADERIA RAMA)</v>
      </c>
    </row>
    <row r="73">
      <c r="A73" s="176"/>
      <c r="D73" s="176" t="str">
        <f>IFERROR(__xludf.DUMMYFUNCTION("""COMPUTED_VALUE"""),"8400426 - NARCISO - flor (NAD, NADAL, NADALES,  NARCISSUS , 48711, 39962)")</f>
        <v>8400426 - NARCISO - flor (NAD, NADAL, NADALES,  NARCISSUS , 48711, 39962)</v>
      </c>
    </row>
    <row r="74">
      <c r="A74" s="176"/>
      <c r="D74" s="176" t="str">
        <f>IFERROR(__xludf.DUMMYFUNCTION("""COMPUTED_VALUE"""),"8400425 - [closed] FRESIA - flor (FRE  FRESIA de corte)")</f>
        <v>8400425 - [closed] FRESIA - flor (FRE  FRESIA de corte)</v>
      </c>
    </row>
    <row r="75">
      <c r="A75" s="176"/>
      <c r="D75" s="176" t="str">
        <f>IFERROR(__xludf.DUMMYFUNCTION("""COMPUTED_VALUE"""),"8400424 - [closed] RS ROSA - Flamingo ( ROSA FLAMINGO)")</f>
        <v>8400424 - [closed] RS ROSA - Flamingo ( ROSA FLAMINGO)</v>
      </c>
    </row>
    <row r="76">
      <c r="A76" s="176"/>
      <c r="D76" s="176" t="str">
        <f>IFERROR(__xludf.DUMMYFUNCTION("""COMPUTED_VALUE"""),"8400423 - [closed] ALMENDRA con FLORES - MINI - rama ( ALMENDRA CON FLORES RAMA PEQUEÑA)")</f>
        <v>8400423 - [closed] ALMENDRA con FLORES - MINI - rama ( ALMENDRA CON FLORES RAMA PEQUEÑA)</v>
      </c>
    </row>
    <row r="77">
      <c r="A77" s="176"/>
      <c r="D77" s="176" t="str">
        <f>IFERROR(__xludf.DUMMYFUNCTION("""COMPUTED_VALUE"""),"8400422 - [closed] LAUREL - MINI - rama ( LAUREL RAMA PEQUEÑA)")</f>
        <v>8400422 - [closed] LAUREL - MINI - rama ( LAUREL RAMA PEQUEÑA)</v>
      </c>
    </row>
    <row r="78">
      <c r="A78" s="176"/>
      <c r="D78" s="176" t="str">
        <f>IFERROR(__xludf.DUMMYFUNCTION("""COMPUTED_VALUE"""),"8400421 - [closed] LAUREL - rama ( LAUREL RAMA GRANDE)")</f>
        <v>8400421 - [closed] LAUREL - rama ( LAUREL RAMA GRANDE)</v>
      </c>
    </row>
    <row r="79">
      <c r="A79" s="176"/>
      <c r="D79" s="176" t="str">
        <f>IFERROR(__xludf.DUMMYFUNCTION("""COMPUTED_VALUE"""),"8400420 - [closed] HIEDRA (HEDERA) - MIX - planta/25 ( HIEDRA MIX planta)")</f>
        <v>8400420 - [closed] HIEDRA (HEDERA) - MIX - planta/25 ( HIEDRA MIX planta)</v>
      </c>
    </row>
    <row r="80">
      <c r="A80" s="176"/>
      <c r="D80" s="176" t="str">
        <f>IFERROR(__xludf.DUMMYFUNCTION("""COMPUTED_VALUE"""),"8400419 - [closed] RS ROSA - Clarence (4452  Rosa Clarence 70 cm Naranja)")</f>
        <v>8400419 - [closed] RS ROSA - Clarence (4452  Rosa Clarence 70 cm Naranja)</v>
      </c>
    </row>
    <row r="81">
      <c r="A81" s="176"/>
      <c r="D81" s="176" t="str">
        <f>IFERROR(__xludf.DUMMYFUNCTION("""COMPUTED_VALUE"""),"8400418 - ORNITHOGALUM - flor (JACIPO  ORNITHOGALUM)")</f>
        <v>8400418 - ORNITHOGALUM - flor (JACIPO  ORNITHOGALUM)</v>
      </c>
    </row>
    <row r="82">
      <c r="A82" s="176"/>
      <c r="D82" s="176" t="str">
        <f>IFERROR(__xludf.DUMMYFUNCTION("""COMPUTED_VALUE"""),"8400417 - [closed] MACETA ANTIGUA ( MACETA ANTIGUA)")</f>
        <v>8400417 - [closed] MACETA ANTIGUA ( MACETA ANTIGUA)</v>
      </c>
    </row>
    <row r="83">
      <c r="A83" s="176"/>
      <c r="D83" s="176" t="str">
        <f>IFERROR(__xludf.DUMMYFUNCTION("""COMPUTED_VALUE"""),"8400416 - [closed] LIMONERO T20 - planta/100 (LLI20 LLIMONER T-20 planta)")</f>
        <v>8400416 - [closed] LIMONERO T20 - planta/100 (LLI20 LLIMONER T-20 planta)</v>
      </c>
    </row>
    <row r="84">
      <c r="A84" s="176"/>
      <c r="D84" s="176" t="str">
        <f>IFERROR(__xludf.DUMMYFUNCTION("""COMPUTED_VALUE"""),"8400415 - RHIPSALIS GRANDE - planta/95 (RHI9 RHIPSALIS GRANDE planta)")</f>
        <v>8400415 - RHIPSALIS GRANDE - planta/95 (RHI9 RHIPSALIS GRANDE planta)</v>
      </c>
    </row>
    <row r="85">
      <c r="A85" s="176"/>
      <c r="D85" s="176" t="str">
        <f>IFERROR(__xludf.DUMMYFUNCTION("""COMPUTED_VALUE"""),"8400413 - ALOCASIA T12 - Frydek - planta/15 (ALOF  ALOCASIA FRYDEK T-12 planta)")</f>
        <v>8400413 - ALOCASIA T12 - Frydek - planta/15 (ALOF  ALOCASIA FRYDEK T-12 planta)</v>
      </c>
    </row>
    <row r="86">
      <c r="A86" s="176"/>
      <c r="D86" s="176" t="str">
        <f>IFERROR(__xludf.DUMMYFUNCTION("""COMPUTED_VALUE"""),"8400412 - EUPHORBIA T20 - Eritrea - planta/110 (EUPH20  EUPHORBIA ERITREA T-20 planta)")</f>
        <v>8400412 - EUPHORBIA T20 - Eritrea - planta/110 (EUPH20  EUPHORBIA ERITREA T-20 planta)</v>
      </c>
    </row>
    <row r="87">
      <c r="A87" s="176"/>
      <c r="D87" s="176"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88">
      <c r="A88" s="176"/>
      <c r="D88" s="176" t="str">
        <f>IFERROR(__xludf.DUMMYFUNCTION("""COMPUTED_VALUE"""),"8400410 - SUCCULENTUS T16, T22 - MIX - planta/22 (6CRASA22, 54, CRASS16 )")</f>
        <v>8400410 - SUCCULENTUS T16, T22 - MIX - planta/22 (6CRASA22, 54, CRASS16 )</v>
      </c>
    </row>
    <row r="89">
      <c r="A89" s="176"/>
      <c r="D89" s="176" t="str">
        <f>IFERROR(__xludf.DUMMYFUNCTION("""COMPUTED_VALUE"""),"8400409 - SUCCULENTUS  T13 - MIX - planta/8 (GORASA13, 52б  crasa, 172028, CRA13, crassulaceae Succulentus MIX T-13 planta, CRA, SED, LAEON. 011, Aeonium arboreum m13)")</f>
        <v>8400409 - SUCCULENTUS  T13 - MIX - planta/8 (GORASA13, 52б  crasa, 172028, CRA13, crassulaceae Succulentus MIX T-13 planta, CRA, SED, LAEON. 011, Aeonium arboreum m13)</v>
      </c>
    </row>
    <row r="90">
      <c r="A90" s="176"/>
      <c r="D90" s="176" t="str">
        <f>IFERROR(__xludf.DUMMYFUNCTION("""COMPUTED_VALUE"""),"8400408 - SUCCULENTUS T20 - MIX - planta/15 (6GRASA20, 53, crasa, 6CRASA20, A70100, CRA17)")</f>
        <v>8400408 - SUCCULENTUS T20 - MIX - planta/15 (6GRASA20, 53, crasa, 6CRASA20, A70100, CRA17)</v>
      </c>
    </row>
    <row r="91">
      <c r="A91" s="176"/>
      <c r="D91" s="176" t="str">
        <f>IFERROR(__xludf.DUMMYFUNCTION("""COMPUTED_VALUE"""),"8400407 - ROMERO T5L - planta/15 (DROMO05L  ROSMARINUS OFFICINALIS 5L planta)")</f>
        <v>8400407 - ROMERO T5L - planta/15 (DROMO05L  ROSMARINUS OFFICINALIS 5L planta)</v>
      </c>
    </row>
    <row r="92">
      <c r="A92" s="176"/>
      <c r="D92" s="176" t="str">
        <f>IFERROR(__xludf.DUMMYFUNCTION("""COMPUTED_VALUE"""),"8400404 - CALATHEA T19 - planta/54 (CALM19  CALATHEA MIX T-19 planta, 128628)")</f>
        <v>8400404 - CALATHEA T19 - planta/54 (CALM19  CALATHEA MIX T-19 planta, 128628)</v>
      </c>
    </row>
    <row r="93">
      <c r="A93" s="176"/>
      <c r="D93" s="176" t="str">
        <f>IFERROR(__xludf.DUMMYFUNCTION("""COMPUTED_VALUE"""),"8400403 - [closed] KALANCHOE T22 - Tessa - planta/35 (KAL-22 KALANCHOE TESSA T-22 planta)")</f>
        <v>8400403 - [closed] KALANCHOE T22 - Tessa - planta/35 (KAL-22 KALANCHOE TESSA T-22 planta)</v>
      </c>
    </row>
    <row r="94">
      <c r="A94" s="176"/>
      <c r="D94" s="176" t="str">
        <f>IFERROR(__xludf.DUMMYFUNCTION("""COMPUTED_VALUE"""),"8400402 - OXYPETALUM (TVIDYA) - flor ( OXYPETALUM, 83266, 112967)")</f>
        <v>8400402 - OXYPETALUM (TVIDYA) - flor ( OXYPETALUM, 83266, 112967)</v>
      </c>
    </row>
    <row r="95">
      <c r="A95" s="176"/>
      <c r="D95" s="176" t="str">
        <f>IFERROR(__xludf.DUMMYFUNCTION("""COMPUTED_VALUE"""),"8400401 - ANEMONA - flor ( ANEMONA, 9445, 74232, 145198, 149541, )")</f>
        <v>8400401 - ANEMONA - flor ( ANEMONA, 9445, 74232, 145198, 149541, )</v>
      </c>
    </row>
    <row r="96">
      <c r="A96" s="176"/>
      <c r="D96" s="176" t="str">
        <f>IFERROR(__xludf.DUMMYFUNCTION("""COMPUTED_VALUE"""),"8400400 - [closed] STRELITZIA con FLORES - rama (ESTERLITZIA STRELITZIA hojas con flores)")</f>
        <v>8400400 - [closed] STRELITZIA con FLORES - rama (ESTERLITZIA STRELITZIA hojas con flores)</v>
      </c>
    </row>
    <row r="97">
      <c r="A97" s="176"/>
      <c r="D97" s="176" t="str">
        <f>IFERROR(__xludf.DUMMYFUNCTION("""COMPUTED_VALUE"""),"8400399 - RSR ROSA RAMI - MIX (7929-54 ROSA RAMIFICADA Assorte, 498, 19736 180319 38529 9451)")</f>
        <v>8400399 - RSR ROSA RAMI - MIX (7929-54 ROSA RAMIFICADA Assorte, 498, 19736 180319 38529 9451)</v>
      </c>
    </row>
    <row r="98">
      <c r="A98" s="176"/>
      <c r="D98" s="176" t="str">
        <f>IFERROR(__xludf.DUMMYFUNCTION("""COMPUTED_VALUE"""),"8400398 - [closed] OLIVO - rama ( OLIVA)")</f>
        <v>8400398 - [closed] OLIVO - rama ( OLIVA)</v>
      </c>
    </row>
    <row r="99">
      <c r="A99" s="176"/>
      <c r="D99" s="176" t="str">
        <f>IFERROR(__xludf.DUMMYFUNCTION("""COMPUTED_VALUE"""),"8400397 - [deleted] Ricinus con flor - rama ( Ricinus con flor)")</f>
        <v>8400397 - [deleted] Ricinus con flor - rama ( Ricinus con flor)</v>
      </c>
    </row>
    <row r="100">
      <c r="A100" s="176"/>
      <c r="D100" s="176" t="str">
        <f>IFERROR(__xludf.DUMMYFUNCTION("""COMPUTED_VALUE"""),"8400396 - [closed] RICINUS -rama ( Ricinus Grande)")</f>
        <v>8400396 - [closed] RICINUS -rama ( Ricinus Grande)</v>
      </c>
    </row>
    <row r="101">
      <c r="A101" s="176"/>
      <c r="D101" s="176" t="str">
        <f>IFERROR(__xludf.DUMMYFUNCTION("""COMPUTED_VALUE"""),"8400395 - MARFULL - Arbol- rama ( Marful Arbol (Rama))")</f>
        <v>8400395 - MARFULL - Arbol- rama ( Marful Arbol (Rama))</v>
      </c>
    </row>
    <row r="102">
      <c r="A102" s="176"/>
      <c r="D102" s="176" t="str">
        <f>IFERROR(__xludf.DUMMYFUNCTION("""COMPUTED_VALUE"""),"8400394 - [deleted] Marful Rama pequeña ( Marful Rama pequeña)")</f>
        <v>8400394 - [deleted] Marful Rama pequeña ( Marful Rama pequeña)</v>
      </c>
    </row>
    <row r="103">
      <c r="A103" s="176"/>
      <c r="D103" s="176" t="str">
        <f>IFERROR(__xludf.DUMMYFUNCTION("""COMPUTED_VALUE"""),"8400393 - [deleted] Piscantus grande - rama ( Piscantus grande)")</f>
        <v>8400393 - [deleted] Piscantus grande - rama ( Piscantus grande)</v>
      </c>
    </row>
    <row r="104">
      <c r="A104" s="176"/>
      <c r="D104" s="176" t="str">
        <f>IFERROR(__xludf.DUMMYFUNCTION("""COMPUTED_VALUE"""),"8400392 - [deleted] Piscantus pequeño - rama ( Piscantus pequeño)")</f>
        <v>8400392 - [deleted] Piscantus pequeño - rama ( Piscantus pequeño)</v>
      </c>
    </row>
    <row r="105">
      <c r="A105" s="176"/>
      <c r="D105" s="176" t="str">
        <f>IFERROR(__xludf.DUMMYFUNCTION("""COMPUTED_VALUE"""),"8400391 - PHALAENOPSIS MIX - planta/28 (161202, 179376, 144102, 179304, 191963, 135419, 182797, 127000, 191284)")</f>
        <v>8400391 - PHALAENOPSIS MIX - planta/28 (161202, 179376, 144102, 179304, 191963, 135419, 182797, 127000, 191284)</v>
      </c>
    </row>
    <row r="106">
      <c r="A106" s="176"/>
      <c r="D106" s="176" t="str">
        <f>IFERROR(__xludf.DUMMYFUNCTION("""COMPUTED_VALUE"""),"8400390 - [closed] VIOLA - planta/2 ( VIOLA)")</f>
        <v>8400390 - [closed] VIOLA - planta/2 ( VIOLA)</v>
      </c>
    </row>
    <row r="107">
      <c r="A107" s="176"/>
      <c r="D107" s="176" t="str">
        <f>IFERROR(__xludf.DUMMYFUNCTION("""COMPUTED_VALUE"""),"8400389 - PHILODENDRON GRANDE - planta/48 ( PHILODENDRON GRANDE PLANTA)")</f>
        <v>8400389 - PHILODENDRON GRANDE - planta/48 ( PHILODENDRON GRANDE PLANTA)</v>
      </c>
    </row>
    <row r="108">
      <c r="A108" s="176"/>
      <c r="D108" s="176" t="str">
        <f>IFERROR(__xludf.DUMMYFUNCTION("""COMPUTED_VALUE"""),"8400388 - [closed] DRACAENA - Margi - planta/55 (3175, DRACAENA DRACENA MARGI PLANTA )")</f>
        <v>8400388 - [closed] DRACAENA - Margi - planta/55 (3175, DRACAENA DRACENA MARGI PLANTA )</v>
      </c>
    </row>
    <row r="109">
      <c r="A109" s="176"/>
      <c r="D109" s="176" t="str">
        <f>IFERROR(__xludf.DUMMYFUNCTION("""COMPUTED_VALUE"""),"8400387 - BEAUCARNEA 80cm - planta/135 ( Bocannea Bea, Bocarnea, 187761)")</f>
        <v>8400387 - BEAUCARNEA 80cm - planta/135 ( Bocannea Bea, Bocarnea, 187761)</v>
      </c>
    </row>
    <row r="110">
      <c r="A110" s="176"/>
      <c r="D110" s="176" t="str">
        <f>IFERROR(__xludf.DUMMYFUNCTION("""COMPUTED_VALUE"""),"8400386 - [closed] BEAUCARNEA T30 - planta/36 (Bocarnea Bea T-30 )")</f>
        <v>8400386 - [closed] BEAUCARNEA T30 - planta/36 (Bocarnea Bea T-30 )</v>
      </c>
    </row>
    <row r="111">
      <c r="A111" s="176"/>
      <c r="D111" s="176" t="str">
        <f>IFERROR(__xludf.DUMMYFUNCTION("""COMPUTED_VALUE"""),"8400385 - RUSSELIA T19 - planta/29 (RUSE19 RUSELIA EQUISETIFORMIS PLANTA T-19)")</f>
        <v>8400385 - RUSSELIA T19 - planta/29 (RUSE19 RUSELIA EQUISETIFORMIS PLANTA T-19)</v>
      </c>
    </row>
    <row r="112">
      <c r="A112" s="176"/>
      <c r="D112" s="176" t="str">
        <f>IFERROR(__xludf.DUMMYFUNCTION("""COMPUTED_VALUE"""),"8400384 - EUPHORBIA -Milii -planta/8 (CDC14  Euphobia Milil (Corona de Cristo) Planta)")</f>
        <v>8400384 - EUPHORBIA -Milii -planta/8 (CDC14  Euphobia Milil (Corona de Cristo) Planta)</v>
      </c>
    </row>
    <row r="113">
      <c r="A113" s="176"/>
      <c r="D113" s="176" t="str">
        <f>IFERROR(__xludf.DUMMYFUNCTION("""COMPUTED_VALUE"""),"8400383 - CAMELIA - rama (CAM, CAMELLIA)")</f>
        <v>8400383 - CAMELIA - rama (CAM, CAMELLIA)</v>
      </c>
    </row>
    <row r="114">
      <c r="A114" s="176"/>
      <c r="D114" s="176" t="str">
        <f>IFERROR(__xludf.DUMMYFUNCTION("""COMPUTED_VALUE"""),"8400381 - CROSCOMIA - flor (MEM  Croscomia MENBRETIA)")</f>
        <v>8400381 - CROSCOMIA - flor (MEM  Croscomia MENBRETIA)</v>
      </c>
    </row>
    <row r="115">
      <c r="A115" s="176"/>
      <c r="D115" s="176" t="str">
        <f>IFERROR(__xludf.DUMMYFUNCTION("""COMPUTED_VALUE"""),"8400380 - Maceta Negra Valencia 15 litros ( Maceta Negra Valencia 15 litros )")</f>
        <v>8400380 - Maceta Negra Valencia 15 litros ( Maceta Negra Valencia 15 litros )</v>
      </c>
    </row>
    <row r="116">
      <c r="A116" s="176"/>
      <c r="D116" s="176" t="str">
        <f>IFERROR(__xludf.DUMMYFUNCTION("""COMPUTED_VALUE"""),"8400379 - ASPIDISTRA - planta/38 ( ASPIDISTRA PLANTA)")</f>
        <v>8400379 - ASPIDISTRA - planta/38 ( ASPIDISTRA PLANTA)</v>
      </c>
    </row>
    <row r="117">
      <c r="A117" s="176"/>
      <c r="D117" s="176" t="str">
        <f>IFERROR(__xludf.DUMMYFUNCTION("""COMPUTED_VALUE"""),"8400377 - HIBISCUS T17 - planta/25 (30036  HIBISCUS  PLANTA T-17, 133332)")</f>
        <v>8400377 - HIBISCUS T17 - planta/25 (30036  HIBISCUS  PLANTA T-17, 133332)</v>
      </c>
    </row>
    <row r="118">
      <c r="A118" s="176"/>
      <c r="D118" s="176" t="str">
        <f>IFERROR(__xludf.DUMMYFUNCTION("""COMPUTED_VALUE"""),"8400376 - HIBISCUS T14 - planta/15 (30107  HIBISCUS-14 TST, 138120)")</f>
        <v>8400376 - HIBISCUS T14 - planta/15 (30107  HIBISCUS-14 TST, 138120)</v>
      </c>
    </row>
    <row r="119">
      <c r="A119" s="176"/>
      <c r="D119" s="176" t="str">
        <f>IFERROR(__xludf.DUMMYFUNCTION("""COMPUTED_VALUE"""),"8400375 - DRACAENA  70cm - Lemon - planta/56 (Dracaena DRACENA PLANTA)")</f>
        <v>8400375 - DRACAENA  70cm - Lemon - planta/56 (Dracaena DRACENA PLANTA)</v>
      </c>
    </row>
    <row r="120">
      <c r="A120" s="176"/>
      <c r="D120" s="176" t="str">
        <f>IFERROR(__xludf.DUMMYFUNCTION("""COMPUTED_VALUE"""),"8400374 - ACHILEA - flor ( ACHILEA, 131075, 183883)")</f>
        <v>8400374 - ACHILEA - flor ( ACHILEA, 131075, 183883)</v>
      </c>
    </row>
    <row r="121">
      <c r="A121" s="176"/>
      <c r="D121" s="176" t="str">
        <f>IFERROR(__xludf.DUMMYFUNCTION("""COMPUTED_VALUE"""),"8400373 - ANIGOZANTHOS - flor ( ANIGOZANTHOS)")</f>
        <v>8400373 - ANIGOZANTHOS - flor ( ANIGOZANTHOS)</v>
      </c>
    </row>
    <row r="122">
      <c r="A122" s="176"/>
      <c r="D122" s="176" t="str">
        <f>IFERROR(__xludf.DUMMYFUNCTION("""COMPUTED_VALUE"""),"8400372 - [deleted] HORTENSIA MACROPHYLLA PLANTA  T-7.5 ( M17 HORTENSIA MACROPHYLLA PLANTA  T-7.5)")</f>
        <v>8400372 - [deleted] HORTENSIA MACROPHYLLA PLANTA  T-7.5 ( M17 HORTENSIA MACROPHYLLA PLANTA  T-7.5)</v>
      </c>
    </row>
    <row r="123">
      <c r="A123" s="176"/>
      <c r="D123" s="176" t="str">
        <f>IFERROR(__xludf.DUMMYFUNCTION("""COMPUTED_VALUE"""),"8400371 - HORTENSIA T7,5 - planta/12 (48 8400371)")</f>
        <v>8400371 - HORTENSIA T7,5 - planta/12 (48 8400371)</v>
      </c>
    </row>
    <row r="124">
      <c r="A124" s="176"/>
      <c r="D124" s="176" t="str">
        <f>IFERROR(__xludf.DUMMYFUNCTION("""COMPUTED_VALUE"""),"8400370 - MACETA CERAMICA ( POT PLASTIC)")</f>
        <v>8400370 - MACETA CERAMICA ( POT PLASTIC)</v>
      </c>
    </row>
    <row r="125">
      <c r="A125" s="176"/>
      <c r="D125" s="176" t="str">
        <f>IFERROR(__xludf.DUMMYFUNCTION("""COMPUTED_VALUE"""),"8400369 - MIMOSA - rama seca ( MIMOSA PEQUEÑA, 53668, 73182, )")</f>
        <v>8400369 - MIMOSA - rama seca ( MIMOSA PEQUEÑA, 53668, 73182, )</v>
      </c>
    </row>
    <row r="126">
      <c r="A126" s="176"/>
      <c r="D126" s="176" t="str">
        <f>IFERROR(__xludf.DUMMYFUNCTION("""COMPUTED_VALUE"""),"8400365 - ARBOL DE JADE T25 -planta/188 ( ARBOL DE JADE GRANDE  (Crassula Ovata) T-25)")</f>
        <v>8400365 - ARBOL DE JADE T25 -planta/188 ( ARBOL DE JADE GRANDE  (Crassula Ovata) T-25)</v>
      </c>
    </row>
    <row r="127">
      <c r="A127" s="176"/>
      <c r="D127" s="176" t="str">
        <f>IFERROR(__xludf.DUMMYFUNCTION("""COMPUTED_VALUE"""),"8400364 - [closed] ARBOL DE JADE T25 - planta/55 ( ARBOL DE JADE PEQUEÑO (Crassula Ovata) T-25)")</f>
        <v>8400364 - [closed] ARBOL DE JADE T25 - planta/55 ( ARBOL DE JADE PEQUEÑO (Crassula Ovata) T-25)</v>
      </c>
    </row>
    <row r="128">
      <c r="A128" s="176"/>
      <c r="D128" s="176" t="str">
        <f>IFERROR(__xludf.DUMMYFUNCTION("""COMPUTED_VALUE"""),"8400363 - RS ROSA - Mariyo (RSMAR6O ROSA MARIYO 60 cm (ORANGE))")</f>
        <v>8400363 - RS ROSA - Mariyo (RSMAR6O ROSA MARIYO 60 cm (ORANGE))</v>
      </c>
    </row>
    <row r="129">
      <c r="A129" s="176"/>
      <c r="D129" s="176" t="str">
        <f>IFERROR(__xludf.DUMMYFUNCTION("""COMPUTED_VALUE"""),"8400362 - [closed] ALMENDRA con FLORES - rama (FLOR FLOR DE ALMENDRO)")</f>
        <v>8400362 - [closed] ALMENDRA con FLORES - rama (FLOR FLOR DE ALMENDRO)</v>
      </c>
    </row>
    <row r="130">
      <c r="A130" s="176"/>
      <c r="D130" s="176" t="str">
        <f>IFERROR(__xludf.DUMMYFUNCTION("""COMPUTED_VALUE"""),"8400361 - [closed] RS ROSA - Col (FRSC50, RSC50 )")</f>
        <v>8400361 - [closed] RS ROSA - Col (FRSC50, RSC50 )</v>
      </c>
    </row>
    <row r="131">
      <c r="A131" s="176"/>
      <c r="D131" s="176" t="str">
        <f>IFERROR(__xludf.DUMMYFUNCTION("""COMPUTED_VALUE"""),"8400360 - PITOSPORUM - MIX - rama (80127, 149 Pitosporum Nacional Matizado, 80127-1, 47428)")</f>
        <v>8400360 - PITOSPORUM - MIX - rama (80127, 149 Pitosporum Nacional Matizado, 80127-1, 47428)</v>
      </c>
    </row>
    <row r="132">
      <c r="A132" s="176"/>
      <c r="D132" s="176" t="str">
        <f>IFERROR(__xludf.DUMMYFUNCTION("""COMPUTED_VALUE"""),"8400359 - ROSA HERMOSA - flor (5786 Rosa Hermosa 60 cm, 52400, 144475)")</f>
        <v>8400359 - ROSA HERMOSA - flor (5786 Rosa Hermosa 60 cm, 52400, 144475)</v>
      </c>
    </row>
    <row r="133">
      <c r="A133" s="176"/>
      <c r="D133" s="176" t="str">
        <f>IFERROR(__xludf.DUMMYFUNCTION("""COMPUTED_VALUE"""),"8400358 - CEREZO con BOTES - rama (6925 Ramaje Cerezo Flor 80/90 cm)")</f>
        <v>8400358 - CEREZO con BOTES - rama (6925 Ramaje Cerezo Flor 80/90 cm)</v>
      </c>
    </row>
    <row r="134">
      <c r="A134" s="176"/>
      <c r="D134" s="176" t="str">
        <f>IFERROR(__xludf.DUMMYFUNCTION("""COMPUTED_VALUE"""),"8400357 - LAVANDULA T13 - planta (LAV13 LAVANDULA T-13, 42454)")</f>
        <v>8400357 - LAVANDULA T13 - planta (LAV13 LAVANDULA T-13, 42454)</v>
      </c>
    </row>
    <row r="135">
      <c r="A135" s="176"/>
      <c r="D135" s="176" t="str">
        <f>IFERROR(__xludf.DUMMYFUNCTION("""COMPUTED_VALUE"""),"8400356 - [deleted] GINESTA BLANCA - rama (GING, GINF  GINESTA BLANCA)")</f>
        <v>8400356 - [deleted] GINESTA BLANCA - rama (GING, GINF  GINESTA BLANCA)</v>
      </c>
    </row>
    <row r="136">
      <c r="A136" s="176"/>
      <c r="D136" s="176" t="str">
        <f>IFERROR(__xludf.DUMMYFUNCTION("""COMPUTED_VALUE"""),"8400354 - MACETA 12 CM ( MACETA PADEL 12 CM, 61217)")</f>
        <v>8400354 - MACETA 12 CM ( MACETA PADEL 12 CM, 61217)</v>
      </c>
    </row>
    <row r="137">
      <c r="A137" s="176"/>
      <c r="D137" s="176" t="str">
        <f>IFERROR(__xludf.DUMMYFUNCTION("""COMPUTED_VALUE"""),"8400353 - MACETA PADEL 10 CM ( MACETA PADEL 10 CM)")</f>
        <v>8400353 - MACETA PADEL 10 CM ( MACETA PADEL 10 CM)</v>
      </c>
    </row>
    <row r="138">
      <c r="A138" s="176"/>
      <c r="D138" s="176" t="str">
        <f>IFERROR(__xludf.DUMMYFUNCTION("""COMPUTED_VALUE"""),"8400352 - [closed] RANUNCULUS - planta/7 (24 RANUNCULUS planta)")</f>
        <v>8400352 - [closed] RANUNCULUS - planta/7 (24 RANUNCULUS planta)</v>
      </c>
    </row>
    <row r="139">
      <c r="A139" s="176"/>
      <c r="D139" s="176" t="str">
        <f>IFERROR(__xludf.DUMMYFUNCTION("""COMPUTED_VALUE"""),"8400351 - PLECTRANTHUS T22, 30-90cm - planta/32 (PHEDEMA22 Plectranthus 30-90cm T-22, PLE-1)")</f>
        <v>8400351 - PLECTRANTHUS T22, 30-90cm - planta/32 (PHEDEMA22 Plectranthus 30-90cm T-22, PLE-1)</v>
      </c>
    </row>
    <row r="140">
      <c r="A140" s="176"/>
      <c r="D140" s="176" t="str">
        <f>IFERROR(__xludf.DUMMYFUNCTION("""COMPUTED_VALUE"""),"8400350 - PHILODENDRON - Ring of Fire - planta/35 (HIR, THIR  PHILODENDRON RING OF FIRE VAR)")</f>
        <v>8400350 - PHILODENDRON - Ring of Fire - planta/35 (HIR, THIR  PHILODENDRON RING OF FIRE VAR)</v>
      </c>
    </row>
    <row r="141">
      <c r="A141" s="176"/>
      <c r="D141" s="176" t="str">
        <f>IFERROR(__xludf.DUMMYFUNCTION("""COMPUTED_VALUE"""),"8400349 - FICUS T22 - Goldy - planta/48 (GOL FICUS GOLDY T-22)")</f>
        <v>8400349 - FICUS T22 - Goldy - planta/48 (GOL FICUS GOLDY T-22)</v>
      </c>
    </row>
    <row r="142">
      <c r="A142" s="176"/>
      <c r="D142" s="176" t="str">
        <f>IFERROR(__xludf.DUMMYFUNCTION("""COMPUTED_VALUE"""),"8400348 - [deleted] CROTTON PETRA RAMIFICADO T-20 (CROTTON PETRA RAMIFICADO T-20)")</f>
        <v>8400348 - [deleted] CROTTON PETRA RAMIFICADO T-20 (CROTTON PETRA RAMIFICADO T-20)</v>
      </c>
    </row>
    <row r="143">
      <c r="A143" s="176"/>
      <c r="D143" s="176" t="str">
        <f>IFERROR(__xludf.DUMMYFUNCTION("""COMPUTED_VALUE"""),"8400347 - HIEDRA (HEDERA) PIRAMIDAL - planta/28 (HEDPIR20, HED-M, HEU-1,  HIEDRA PIRAMIDAL  planta)")</f>
        <v>8400347 - HIEDRA (HEDERA) PIRAMIDAL - planta/28 (HEDPIR20, HED-M, HEU-1,  HIEDRA PIRAMIDAL  planta)</v>
      </c>
    </row>
    <row r="144">
      <c r="A144" s="176"/>
      <c r="D144" s="176" t="str">
        <f>IFERROR(__xludf.DUMMYFUNCTION("""COMPUTED_VALUE"""),"8400346 - [closed] KALANCHOE T20 - planta/28 (PCALA20 Kalanchoe)")</f>
        <v>8400346 - [closed] KALANCHOE T20 - planta/28 (PCALA20 Kalanchoe)</v>
      </c>
    </row>
    <row r="145">
      <c r="A145" s="176"/>
      <c r="D145" s="176" t="str">
        <f>IFERROR(__xludf.DUMMYFUNCTION("""COMPUTED_VALUE"""),"8400345 - [deleted] LEUCODENDRON ROJO -rama ( LEUCODENDRON ROJO)")</f>
        <v>8400345 - [deleted] LEUCODENDRON ROJO -rama ( LEUCODENDRON ROJO)</v>
      </c>
    </row>
    <row r="146">
      <c r="A146" s="176"/>
      <c r="D146" s="176" t="str">
        <f>IFERROR(__xludf.DUMMYFUNCTION("""COMPUTED_VALUE"""),"8400344 - LEUCODENDRON - MIX -rama ( LEUCODENDRON VERDE, 30403, 133285, 14250)")</f>
        <v>8400344 - LEUCODENDRON - MIX -rama ( LEUCODENDRON VERDE, 30403, 133285, 14250)</v>
      </c>
    </row>
    <row r="147">
      <c r="A147" s="176"/>
      <c r="D147" s="176" t="str">
        <f>IFERROR(__xludf.DUMMYFUNCTION("""COMPUTED_VALUE"""),"8400343 - ROSA - SANT VALENTIN 60cm/6 (4RPIT021 Rosa Pitimini, 60525)")</f>
        <v>8400343 - ROSA - SANT VALENTIN 60cm/6 (4RPIT021 Rosa Pitimini, 60525)</v>
      </c>
    </row>
    <row r="148">
      <c r="A148" s="176"/>
      <c r="D148" s="176" t="str">
        <f>IFERROR(__xludf.DUMMYFUNCTION("""COMPUTED_VALUE"""),"8400343-2 - [deleted] SANSEVIERA T-13 (SAN13 SANSEVIERA T-13)")</f>
        <v>8400343-2 - [deleted] SANSEVIERA T-13 (SAN13 SANSEVIERA T-13)</v>
      </c>
    </row>
    <row r="149">
      <c r="A149" s="176"/>
      <c r="D149" s="176" t="str">
        <f>IFERROR(__xludf.DUMMYFUNCTION("""COMPUTED_VALUE"""),"8400342 - [closed] MANZANILLA - flor ( MANZANILLA)")</f>
        <v>8400342 - [closed] MANZANILLA - flor ( MANZANILLA)</v>
      </c>
    </row>
    <row r="150">
      <c r="A150" s="176"/>
      <c r="D150" s="176" t="str">
        <f>IFERROR(__xludf.DUMMYFUNCTION("""COMPUTED_VALUE"""),"8400341 - [deleted] GREVILLEA NATURAL - rama (GREVNA GREVILLEA NATURAL)")</f>
        <v>8400341 - [deleted] GREVILLEA NATURAL - rama (GREVNA GREVILLEA NATURAL)</v>
      </c>
    </row>
    <row r="151">
      <c r="A151" s="176"/>
      <c r="D151" s="176" t="str">
        <f>IFERROR(__xludf.DUMMYFUNCTION("""COMPUTED_VALUE"""),"8400340 - PHILODENDRON T17 - Xanadu - planta/54 (SPHIXA17 PHILODENDRO XANADU T-17, 3730)")</f>
        <v>8400340 - PHILODENDRON T17 - Xanadu - planta/54 (SPHIXA17 PHILODENDRO XANADU T-17, 3730)</v>
      </c>
    </row>
    <row r="152">
      <c r="A152" s="176"/>
      <c r="D152" s="176" t="str">
        <f>IFERROR(__xludf.DUMMYFUNCTION("""COMPUTED_VALUE"""),"8400339 - [deleted] ANTHURIUM TARRINA MICRA (FARMIC ANTHURIUM TARRINA MICRA)")</f>
        <v>8400339 - [deleted] ANTHURIUM TARRINA MICRA (FARMIC ANTHURIUM TARRINA MICRA)</v>
      </c>
    </row>
    <row r="153">
      <c r="A153" s="176"/>
      <c r="D153" s="176" t="str">
        <f>IFERROR(__xludf.DUMMYFUNCTION("""COMPUTED_VALUE"""),"8400338 - FICUS T26 - planta/78 (FCYA26 FICUS CYATHISTIPULA T-26, 198856)")</f>
        <v>8400338 - FICUS T26 - planta/78 (FCYA26 FICUS CYATHISTIPULA T-26, 198856)</v>
      </c>
    </row>
    <row r="154">
      <c r="A154" s="176"/>
      <c r="D154" s="176" t="str">
        <f>IFERROR(__xludf.DUMMYFUNCTION("""COMPUTED_VALUE"""),"8400337 - FICUS T26 - Abidjan - planta/85 (PAB26 FICUS ABIDJAN T-26, 32930)")</f>
        <v>8400337 - FICUS T26 - Abidjan - planta/85 (PAB26 FICUS ABIDJAN T-26, 32930)</v>
      </c>
    </row>
    <row r="155">
      <c r="A155" s="176"/>
      <c r="D155" s="176" t="str">
        <f>IFERROR(__xludf.DUMMYFUNCTION("""COMPUTED_VALUE"""),"8400336 - VACCINIUM - rama (Vaccinium, 6873 HUCK, 35835)")</f>
        <v>8400336 - VACCINIUM - rama (Vaccinium, 6873 HUCK, 35835)</v>
      </c>
    </row>
    <row r="156">
      <c r="A156" s="176"/>
      <c r="D156" s="176" t="str">
        <f>IFERROR(__xludf.DUMMYFUNCTION("""COMPUTED_VALUE"""),"8400335 - [closed] KALANCHOE T25 - Tessa - planta/84 ( KAL-T KALANCHOE TESSA T-25)")</f>
        <v>8400335 - [closed] KALANCHOE T25 - Tessa - planta/84 ( KAL-T KALANCHOE TESSA T-25)</v>
      </c>
    </row>
    <row r="157">
      <c r="A157" s="176"/>
      <c r="D157" s="176"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158">
      <c r="A158" s="176"/>
      <c r="D158" s="176" t="str">
        <f>IFERROR(__xludf.DUMMYFUNCTION("""COMPUTED_VALUE"""),"8400333 - [deleted] VERONICA POM - flor (VER-P VERONICA POM, 45750 )")</f>
        <v>8400333 - [deleted] VERONICA POM - flor (VER-P VERONICA POM, 45750 )</v>
      </c>
    </row>
    <row r="159">
      <c r="A159" s="176"/>
      <c r="D159" s="176" t="str">
        <f>IFERROR(__xludf.DUMMYFUNCTION("""COMPUTED_VALUE"""),"8400332 - JACINT - MIX -flor (JACINT, JACIMI  JACINT MIX, 142611, 39409)")</f>
        <v>8400332 - JACINT - MIX -flor (JACINT, JACIMI  JACINT MIX, 142611, 39409)</v>
      </c>
    </row>
    <row r="160">
      <c r="A160" s="176"/>
      <c r="D160" s="176" t="str">
        <f>IFERROR(__xludf.DUMMYFUNCTION("""COMPUTED_VALUE"""),"8400331 - MIMOSA - rama ( MIMOSA)")</f>
        <v>8400331 - MIMOSA - rama ( MIMOSA)</v>
      </c>
    </row>
    <row r="161">
      <c r="A161" s="176"/>
      <c r="D161" s="176" t="str">
        <f>IFERROR(__xludf.DUMMYFUNCTION("""COMPUTED_VALUE"""),"8400330 - AZALEA T14 - Voguel - planta/24 (AZAV14 AZALEA VOGUEL T-14)")</f>
        <v>8400330 - AZALEA T14 - Voguel - planta/24 (AZAV14 AZALEA VOGUEL T-14)</v>
      </c>
    </row>
    <row r="162">
      <c r="A162" s="176"/>
      <c r="D162" s="176" t="str">
        <f>IFERROR(__xludf.DUMMYFUNCTION("""COMPUTED_VALUE"""),"8400329 - [closed] AMARILIS T10 - planta/10 (AMA AMARILIS T-10)")</f>
        <v>8400329 - [closed] AMARILIS T10 - planta/10 (AMA AMARILIS T-10)</v>
      </c>
    </row>
    <row r="163">
      <c r="A163" s="176"/>
      <c r="D163" s="176" t="str">
        <f>IFERROR(__xludf.DUMMYFUNCTION("""COMPUTED_VALUE"""),"8400328 - [closed] AMARILIS T7 - planta/7 (AMA AMARILIS T-7)")</f>
        <v>8400328 - [closed] AMARILIS T7 - planta/7 (AMA AMARILIS T-7)</v>
      </c>
    </row>
    <row r="164">
      <c r="A164" s="176"/>
      <c r="D164" s="176" t="str">
        <f>IFERROR(__xludf.DUMMYFUNCTION("""COMPUTED_VALUE"""),"8400327 - EUCALYPTO T5L - planta/38 (EUCE EUCALIPTUS 5L)")</f>
        <v>8400327 - EUCALYPTO T5L - planta/38 (EUCE EUCALIPTUS 5L)</v>
      </c>
    </row>
    <row r="165">
      <c r="A165" s="176"/>
      <c r="D165" s="176" t="str">
        <f>IFERROR(__xludf.DUMMYFUNCTION("""COMPUTED_VALUE"""),"8400326 - CAMELIA 40cm - planta (CAME.013  Camelia 70-80cm M-22)")</f>
        <v>8400326 - CAMELIA 40cm - planta (CAME.013  Camelia 70-80cm M-22)</v>
      </c>
    </row>
    <row r="166">
      <c r="A166" s="176"/>
      <c r="D166" s="176" t="str">
        <f>IFERROR(__xludf.DUMMYFUNCTION("""COMPUTED_VALUE"""),"8400325 - CAMELIA T25, 90-110cm - planta/112 (CAME.014  Camelia 90-110cm M-25)")</f>
        <v>8400325 - CAMELIA T25, 90-110cm - planta/112 (CAME.014  Camelia 90-110cm M-25)</v>
      </c>
    </row>
    <row r="167">
      <c r="A167" s="176"/>
      <c r="D167" s="176" t="str">
        <f>IFERROR(__xludf.DUMMYFUNCTION("""COMPUTED_VALUE"""),"8400324 - DRACAENA FRAG MASSANGEANA - planta/73 (DRACOM17, 7161,  DRACAENA DRACENA COMPACTA M-17)")</f>
        <v>8400324 - DRACAENA FRAG MASSANGEANA - planta/73 (DRACOM17, 7161,  DRACAENA DRACENA COMPACTA M-17)</v>
      </c>
    </row>
    <row r="168">
      <c r="A168" s="176"/>
      <c r="D168" s="176" t="str">
        <f>IFERROR(__xludf.DUMMYFUNCTION("""COMPUTED_VALUE"""),"8400323 - [closed] CROTON T20 - Nervia - planta/34 (CRONER20 CROTTON NERVIA M-20)")</f>
        <v>8400323 - [closed] CROTON T20 - Nervia - planta/34 (CRONER20 CROTTON NERVIA M-20)</v>
      </c>
    </row>
    <row r="169">
      <c r="A169" s="176"/>
      <c r="D169" s="176" t="str">
        <f>IFERROR(__xludf.DUMMYFUNCTION("""COMPUTED_VALUE"""),"8400322 - [closed] ADENIUM - planta/45 (ADETARR ADENIUM TARRINA)")</f>
        <v>8400322 - [closed] ADENIUM - planta/45 (ADETARR ADENIUM TARRINA)</v>
      </c>
    </row>
    <row r="170">
      <c r="A170" s="176"/>
      <c r="D170" s="176" t="str">
        <f>IFERROR(__xludf.DUMMYFUNCTION("""COMPUTED_VALUE"""),"8400321 - SCHEFFLERA T22 - planta/54 (SCH22 SCHEFFLERA M-22, 6685, SCHECO17H)")</f>
        <v>8400321 - SCHEFFLERA T22 - planta/54 (SCH22 SCHEFFLERA M-22, 6685, SCHECO17H)</v>
      </c>
    </row>
    <row r="171">
      <c r="A171" s="176"/>
      <c r="D171" s="176" t="str">
        <f>IFERROR(__xludf.DUMMYFUNCTION("""COMPUTED_VALUE"""),"8400320 - ARECA T27 - planta/70 ( ARECA T-27)")</f>
        <v>8400320 - ARECA T27 - planta/70 ( ARECA T-27)</v>
      </c>
    </row>
    <row r="172">
      <c r="A172" s="176"/>
      <c r="D172" s="176" t="str">
        <f>IFERROR(__xludf.DUMMYFUNCTION("""COMPUTED_VALUE"""),"8400319 - PHILODENDRON -Choco Red - planta/36 (PHIC PHILODENDRO CHOCO RED)")</f>
        <v>8400319 - PHILODENDRON -Choco Red - planta/36 (PHIC PHILODENDRO CHOCO RED)</v>
      </c>
    </row>
    <row r="173">
      <c r="A173" s="176"/>
      <c r="D173" s="176" t="str">
        <f>IFERROR(__xludf.DUMMYFUNCTION("""COMPUTED_VALUE"""),"8400318 - FICUS T26 - Robusta - planta/145 (FRO26 FICUS ELASTICA ROBUSTA T-26 , 191785)")</f>
        <v>8400318 - FICUS T26 - Robusta - planta/145 (FRO26 FICUS ELASTICA ROBUSTA T-26 , 191785)</v>
      </c>
    </row>
    <row r="174">
      <c r="A174" s="176"/>
      <c r="D174" s="176" t="str">
        <f>IFERROR(__xludf.DUMMYFUNCTION("""COMPUTED_VALUE"""),"8400317 - DIEFFENBACHIA T22 - planta/63 (DIE22 DIEFFENBACHIA REVA (tropic) T-22)")</f>
        <v>8400317 - DIEFFENBACHIA T22 - planta/63 (DIE22 DIEFFENBACHIA REVA (tropic) T-22)</v>
      </c>
    </row>
    <row r="175">
      <c r="A175" s="176"/>
      <c r="D175" s="176" t="str">
        <f>IFERROR(__xludf.DUMMYFUNCTION("""COMPUTED_VALUE"""),"8400316 - ANTHURIUM T14 - planta/32 (106535, PL14, 136249,  116712, PL. ANTG ANTHURIUM MIX COLORS T-14, EAS14 , 142882)")</f>
        <v>8400316 - ANTHURIUM T14 - planta/32 (106535, PL14, 136249,  116712, PL. ANTG ANTHURIUM MIX COLORS T-14, EAS14 , 142882)</v>
      </c>
    </row>
    <row r="176">
      <c r="A176" s="176"/>
      <c r="D176" s="176" t="str">
        <f>IFERROR(__xludf.DUMMYFUNCTION("""COMPUTED_VALUE"""),"8400315 - SPATHIPHYLLUM T23, T27 - MIX - planta/56 (A2SPAT23, 173539)")</f>
        <v>8400315 - SPATHIPHYLLUM T23, T27 - MIX - planta/56 (A2SPAT23, 173539)</v>
      </c>
    </row>
    <row r="177">
      <c r="A177" s="176"/>
      <c r="D177" s="176" t="str">
        <f>IFERROR(__xludf.DUMMYFUNCTION("""COMPUTED_VALUE"""),"8400314 - BEGONIA T14 - Maculata - planta/15 (BMAC BEGONIA MACULATA WIGHTHI T-14 )")</f>
        <v>8400314 - BEGONIA T14 - Maculata - planta/15 (BMAC BEGONIA MACULATA WIGHTHI T-14 )</v>
      </c>
    </row>
    <row r="178">
      <c r="A178" s="176"/>
      <c r="D178" s="176" t="str">
        <f>IFERROR(__xludf.DUMMYFUNCTION("""COMPUTED_VALUE"""),"8400313 - PHILODENDRON T12 - Birkin -planta/12 (PHILB12, 58, BIRKIN, WHITE PHILODENDRON BIRKIN T-12 planta)")</f>
        <v>8400313 - PHILODENDRON T12 - Birkin -planta/12 (PHILB12, 58, BIRKIN, WHITE PHILODENDRON BIRKIN T-12 planta)</v>
      </c>
    </row>
    <row r="179">
      <c r="A179" s="176"/>
      <c r="D179" s="176" t="str">
        <f>IFERROR(__xludf.DUMMYFUNCTION("""COMPUTED_VALUE"""),"8400312 - SPATHIPHYLLUM T21 - planta/44 (SPA21 SPATHIPHYLLUM T-21, 179293, 9)")</f>
        <v>8400312 - SPATHIPHYLLUM T21 - planta/44 (SPA21 SPATHIPHYLLUM T-21, 179293, 9)</v>
      </c>
    </row>
    <row r="180">
      <c r="A180" s="176"/>
      <c r="D180" s="176" t="str">
        <f>IFERROR(__xludf.DUMMYFUNCTION("""COMPUTED_VALUE"""),"8400311 - SANSEVIERIA - Hanii - planta/32 (SANF12 SANSEIVIERA ZEYLANICA , SANH9, SANH9, SAHNA9)")</f>
        <v>8400311 - SANSEVIERIA - Hanii - planta/32 (SANF12 SANSEIVIERA ZEYLANICA , SANH9, SANH9, SAHNA9)</v>
      </c>
    </row>
    <row r="181">
      <c r="A181" s="176"/>
      <c r="D181" s="176" t="str">
        <f>IFERROR(__xludf.DUMMYFUNCTION("""COMPUTED_VALUE"""),"8400310 - JASMINUM T12 - Polyanthum - planta/10 (JASPO12H JASMINUM POLYANTHUM T-12 )")</f>
        <v>8400310 - JASMINUM T12 - Polyanthum - planta/10 (JASPO12H JASMINUM POLYANTHUM T-12 )</v>
      </c>
    </row>
    <row r="182">
      <c r="A182" s="176"/>
      <c r="D182" s="176" t="str">
        <f>IFERROR(__xludf.DUMMYFUNCTION("""COMPUTED_VALUE"""),"8400309 - CROTON T13 - Petra - planta/12 (CROTP13H CROTON PETRA T-13)")</f>
        <v>8400309 - CROTON T13 - Petra - planta/12 (CROTP13H CROTON PETRA T-13)</v>
      </c>
    </row>
    <row r="183">
      <c r="A183" s="176"/>
      <c r="D183" s="176" t="str">
        <f>IFERROR(__xludf.DUMMYFUNCTION("""COMPUTED_VALUE"""),"8400308 - FICUS T17 - Lyrata - planta/28 (FLY17H FICUS LYRATA T-17 )")</f>
        <v>8400308 - FICUS T17 - Lyrata - planta/28 (FLY17H FICUS LYRATA T-17 )</v>
      </c>
    </row>
    <row r="184">
      <c r="A184" s="176"/>
      <c r="D184" s="176" t="str">
        <f>IFERROR(__xludf.DUMMYFUNCTION("""COMPUTED_VALUE"""),"8400307 - ZAMIOCULCA T17 - Zamiifolia - planta/35 (ZAM17 ZAMIOCULCA ZAMIIFOLIA T-17 )")</f>
        <v>8400307 - ZAMIOCULCA T17 - Zamiifolia - planta/35 (ZAM17 ZAMIOCULCA ZAMIIFOLIA T-17 )</v>
      </c>
    </row>
    <row r="185">
      <c r="A185" s="176"/>
      <c r="D185" s="176" t="str">
        <f>IFERROR(__xludf.DUMMYFUNCTION("""COMPUTED_VALUE"""),"8400306 - [closed] TULIPAN - Gesneriana - planta/7 (25 TULIPA GESNERIANA)")</f>
        <v>8400306 - [closed] TULIPAN - Gesneriana - planta/7 (25 TULIPA GESNERIANA)</v>
      </c>
    </row>
    <row r="186">
      <c r="A186" s="176"/>
      <c r="D186" s="176" t="str">
        <f>IFERROR(__xludf.DUMMYFUNCTION("""COMPUTED_VALUE"""),"8400305 - OSTEOSPERMUM - MINI - planta/5 (21 OSTEOSPERMUM)")</f>
        <v>8400305 - OSTEOSPERMUM - MINI - planta/5 (21 OSTEOSPERMUM)</v>
      </c>
    </row>
    <row r="187">
      <c r="A187" s="176"/>
      <c r="D187" s="176" t="str">
        <f>IFERROR(__xludf.DUMMYFUNCTION("""COMPUTED_VALUE"""),"8400304 - PELARGONIUM MINI - Zonale -planta/5 (5 PELARGONIUM ZONALE)")</f>
        <v>8400304 - PELARGONIUM MINI - Zonale -planta/5 (5 PELARGONIUM ZONALE)</v>
      </c>
    </row>
    <row r="188">
      <c r="A188" s="176"/>
      <c r="D188" s="176" t="str">
        <f>IFERROR(__xludf.DUMMYFUNCTION("""COMPUTED_VALUE"""),"8400302 - [deleted] PHALAENOPSIS BOHO - planta/35 (PHALB PHALAENOPSIS BOHO)")</f>
        <v>8400302 - [deleted] PHALAENOPSIS BOHO - planta/35 (PHALB PHALAENOPSIS BOHO)</v>
      </c>
    </row>
    <row r="189">
      <c r="A189" s="176"/>
      <c r="D189" s="176" t="str">
        <f>IFERROR(__xludf.DUMMYFUNCTION("""COMPUTED_VALUE"""),"8400301 - FICUS  - planta/14 (PLM12, FICUS PLANTA MIX T-12)")</f>
        <v>8400301 - FICUS  - planta/14 (PLM12, FICUS PLANTA MIX T-12)</v>
      </c>
    </row>
    <row r="190">
      <c r="A190" s="176"/>
      <c r="D190" s="176" t="str">
        <f>IFERROR(__xludf.DUMMYFUNCTION("""COMPUTED_VALUE"""),"8400300 - ZAMIOCULCA - Zamiifolia - planta/18 (ZAM14 ZAMIOCULCA ZAMIIFOLIA T-14, 188437)")</f>
        <v>8400300 - ZAMIOCULCA - Zamiifolia - planta/18 (ZAM14 ZAMIOCULCA ZAMIIFOLIA T-14, 188437)</v>
      </c>
    </row>
    <row r="191">
      <c r="A191" s="176"/>
      <c r="D191" s="176" t="str">
        <f>IFERROR(__xludf.DUMMYFUNCTION("""COMPUTED_VALUE"""),"8400299 - DIEFFENBACHIA T17 - planta/34 (TROP17H DIEFFEMBACCHIA REEVA TROPIC T-17)")</f>
        <v>8400299 - DIEFFENBACHIA T17 - planta/34 (TROP17H DIEFFEMBACCHIA REEVA TROPIC T-17)</v>
      </c>
    </row>
    <row r="192">
      <c r="A192" s="176"/>
      <c r="D192" s="176" t="str">
        <f>IFERROR(__xludf.DUMMYFUNCTION("""COMPUTED_VALUE"""),"8400298 - [closed] HEBE T3L - Andersonii - planta/23 (A40, A51 HEBE ANDERSONII MIX T-3L)")</f>
        <v>8400298 - [closed] HEBE T3L - Andersonii - planta/23 (A40, A51 HEBE ANDERSONII MIX T-3L)</v>
      </c>
    </row>
    <row r="193">
      <c r="A193" s="176"/>
      <c r="D193" s="176" t="str">
        <f>IFERROR(__xludf.DUMMYFUNCTION("""COMPUTED_VALUE"""),"8400297 - [closed] HEBE T6L - Andersonii - planta/32 (A34 HEBE ANDERSONII VARIEGATA  T-6L)")</f>
        <v>8400297 - [closed] HEBE T6L - Andersonii - planta/32 (A34 HEBE ANDERSONII VARIEGATA  T-6L)</v>
      </c>
    </row>
    <row r="194">
      <c r="A194" s="176"/>
      <c r="D194" s="176" t="str">
        <f>IFERROR(__xludf.DUMMYFUNCTION("""COMPUTED_VALUE"""),"8400296 - ANTIRRHINUM  -flor ( Antirrhinum, 36202, 9752, 27228, 19930)")</f>
        <v>8400296 - ANTIRRHINUM  -flor ( Antirrhinum, 36202, 9752, 27228, 19930)</v>
      </c>
    </row>
    <row r="195">
      <c r="A195" s="176"/>
      <c r="D195" s="176" t="str">
        <f>IFERROR(__xludf.DUMMYFUNCTION("""COMPUTED_VALUE"""),"8400295 - [closed] CALENDULA - flor (CALEAM  Calendula)")</f>
        <v>8400295 - [closed] CALENDULA - flor (CALEAM  Calendula)</v>
      </c>
    </row>
    <row r="196">
      <c r="A196" s="176"/>
      <c r="D196" s="176" t="str">
        <f>IFERROR(__xludf.DUMMYFUNCTION("""COMPUTED_VALUE"""),"8400294 - ROSA - Coral Reef ( Rosa Coral Reef, 177312)")</f>
        <v>8400294 - ROSA - Coral Reef ( Rosa Coral Reef, 177312)</v>
      </c>
    </row>
    <row r="197">
      <c r="A197" s="176"/>
      <c r="D197" s="176" t="str">
        <f>IFERROR(__xludf.DUMMYFUNCTION("""COMPUTED_VALUE"""),"8400293 - ROSA - Brighton ( Rosa Brighton, 193896)")</f>
        <v>8400293 - ROSA - Brighton ( Rosa Brighton, 193896)</v>
      </c>
    </row>
    <row r="198">
      <c r="A198" s="176"/>
      <c r="D198" s="176" t="str">
        <f>IFERROR(__xludf.DUMMYFUNCTION("""COMPUTED_VALUE"""),"8400292 - RS ROSA - Frutetto (3321-50 Rosa Frutteto)")</f>
        <v>8400292 - RS ROSA - Frutetto (3321-50 Rosa Frutteto)</v>
      </c>
    </row>
    <row r="199">
      <c r="A199" s="176"/>
      <c r="D199" s="176" t="str">
        <f>IFERROR(__xludf.DUMMYFUNCTION("""COMPUTED_VALUE"""),"8400291 - RENUNCOL archivo ( RENUNCOL)")</f>
        <v>8400291 - RENUNCOL archivo ( RENUNCOL)</v>
      </c>
    </row>
    <row r="200">
      <c r="A200" s="176"/>
      <c r="D200" s="176" t="str">
        <f>IFERROR(__xludf.DUMMYFUNCTION("""COMPUTED_VALUE"""),"8400290 - ESCABIOSA - flor ( ESCABIOSA)")</f>
        <v>8400290 - ESCABIOSA - flor ( ESCABIOSA)</v>
      </c>
    </row>
    <row r="201">
      <c r="A201" s="176"/>
      <c r="D201" s="176"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02">
      <c r="A202" s="176"/>
      <c r="D202" s="176" t="str">
        <f>IFERROR(__xludf.DUMMYFUNCTION("""COMPUTED_VALUE"""),"8400288 - HEDERA (HIEDRA) - rama ( HIEDRA GRANDE, 80014)")</f>
        <v>8400288 - HEDERA (HIEDRA) - rama ( HIEDRA GRANDE, 80014)</v>
      </c>
    </row>
    <row r="203">
      <c r="A203" s="176"/>
      <c r="D203" s="176" t="str">
        <f>IFERROR(__xludf.DUMMYFUNCTION("""COMPUTED_VALUE"""),"8400287 - SALIX (GATELL) - MINI - rama  ( GATELL MINI, 126934, 49149, 67870, 175029)")</f>
        <v>8400287 - SALIX (GATELL) - MINI - rama  ( GATELL MINI, 126934, 49149, 67870, 175029)</v>
      </c>
    </row>
    <row r="204">
      <c r="A204" s="176"/>
      <c r="D204" s="176" t="str">
        <f>IFERROR(__xludf.DUMMYFUNCTION("""COMPUTED_VALUE"""),"8400286 - [closed] LIMONIUM  - MINI - flor (LIM LIMONIUM MINI)")</f>
        <v>8400286 - [closed] LIMONIUM  - MINI - flor (LIM LIMONIUM MINI)</v>
      </c>
    </row>
    <row r="205">
      <c r="A205" s="176"/>
      <c r="D205" s="176" t="str">
        <f>IFERROR(__xludf.DUMMYFUNCTION("""COMPUTED_VALUE"""),"8400285 - CORNUS 1m - palo   (CORN CORNUS  1M)")</f>
        <v>8400285 - CORNUS 1m - palo   (CORN CORNUS  1M)</v>
      </c>
    </row>
    <row r="206">
      <c r="A206" s="176"/>
      <c r="D206" s="176" t="str">
        <f>IFERROR(__xludf.DUMMYFUNCTION("""COMPUTED_VALUE"""),"8400284 - [closed] LIGUSTRO - rama ( LIGUSTRO)")</f>
        <v>8400284 - [closed] LIGUSTRO - rama ( LIGUSTRO)</v>
      </c>
    </row>
    <row r="207">
      <c r="A207" s="176"/>
      <c r="D207" s="176" t="str">
        <f>IFERROR(__xludf.DUMMYFUNCTION("""COMPUTED_VALUE"""),"8400281 - CILINDRE 40X15 CL 4015 (CL 4015  CILINDRE 40X15 CL 4015)")</f>
        <v>8400281 - CILINDRE 40X15 CL 4015 (CL 4015  CILINDRE 40X15 CL 4015)</v>
      </c>
    </row>
    <row r="208">
      <c r="A208" s="176"/>
      <c r="D208" s="176" t="str">
        <f>IFERROR(__xludf.DUMMYFUNCTION("""COMPUTED_VALUE"""),"8400280 - VASO CONICO VA 2620 (VA 2620 VASO CONICO VA 2620)")</f>
        <v>8400280 - VASO CONICO VA 2620 (VA 2620 VASO CONICO VA 2620)</v>
      </c>
    </row>
    <row r="209">
      <c r="A209" s="176"/>
      <c r="D209" s="176" t="str">
        <f>IFERROR(__xludf.DUMMYFUNCTION("""COMPUTED_VALUE"""),"8400279 - GLASS CILINDRO 25X15 (2515 GLASS CILINDRO 25X15)")</f>
        <v>8400279 - GLASS CILINDRO 25X15 (2515 GLASS CILINDRO 25X15)</v>
      </c>
    </row>
    <row r="210">
      <c r="A210" s="176"/>
      <c r="D210" s="176" t="str">
        <f>IFERROR(__xludf.DUMMYFUNCTION("""COMPUTED_VALUE"""),"8400278 - CICLAMEN GRANDE - planta/15 (cyclamen CICLAMEN planta)")</f>
        <v>8400278 - CICLAMEN GRANDE - planta/15 (cyclamen CICLAMEN planta)</v>
      </c>
    </row>
    <row r="211">
      <c r="A211" s="176"/>
      <c r="D211" s="176" t="str">
        <f>IFERROR(__xludf.DUMMYFUNCTION("""COMPUTED_VALUE"""),"8400277 - CORNUS - palo (CORN CORNUS GRANDE)")</f>
        <v>8400277 - CORNUS - palo (CORN CORNUS GRANDE)</v>
      </c>
    </row>
    <row r="212">
      <c r="A212" s="176"/>
      <c r="D212" s="176" t="str">
        <f>IFERROR(__xludf.DUMMYFUNCTION("""COMPUTED_VALUE"""),"8400276 - [closed] Clavel -BRUT -flor ( Clavel BRUT)")</f>
        <v>8400276 - [closed] Clavel -BRUT -flor ( Clavel BRUT)</v>
      </c>
    </row>
    <row r="213">
      <c r="A213" s="176"/>
      <c r="D213" s="176" t="str">
        <f>IFERROR(__xludf.DUMMYFUNCTION("""COMPUTED_VALUE"""),"8400271 - [closed] KENTIA - planta/98 (PKEN  PALMA KENTIA)")</f>
        <v>8400271 - [closed] KENTIA - planta/98 (PKEN  PALMA KENTIA)</v>
      </c>
    </row>
    <row r="214">
      <c r="A214" s="176"/>
      <c r="D214" s="176" t="str">
        <f>IFERROR(__xludf.DUMMYFUNCTION("""COMPUTED_VALUE"""),"8400270 - [closed] CHAMAEDOREA - planta/24 (PXAM CHAMAEDOREA)")</f>
        <v>8400270 - [closed] CHAMAEDOREA - planta/24 (PXAM CHAMAEDOREA)</v>
      </c>
    </row>
    <row r="215">
      <c r="A215" s="176"/>
      <c r="D215" s="176" t="str">
        <f>IFERROR(__xludf.DUMMYFUNCTION("""COMPUTED_VALUE"""),"8400269 - [closed] SPATHIPHYLLUM T17 - planta/24 (PSPAM SPATIFILIUM M-17)")</f>
        <v>8400269 - [closed] SPATHIPHYLLUM T17 - planta/24 (PSPAM SPATIFILIUM M-17)</v>
      </c>
    </row>
    <row r="216">
      <c r="A216" s="176"/>
      <c r="D216" s="176" t="str">
        <f>IFERROR(__xludf.DUMMYFUNCTION("""COMPUTED_VALUE"""),"8400268 - ALCACHOFA - unidad (CARXFL, VCARX  Alcachofa)")</f>
        <v>8400268 - ALCACHOFA - unidad (CARXFL, VCARX  Alcachofa)</v>
      </c>
    </row>
    <row r="217">
      <c r="A217" s="176"/>
      <c r="D217" s="176" t="str">
        <f>IFERROR(__xludf.DUMMYFUNCTION("""COMPUTED_VALUE"""),"8400267 - CHLOROPHYTUM - planta/26 (PICE13  Chlorophitum (PICEA), 67364)")</f>
        <v>8400267 - CHLOROPHYTUM - planta/26 (PICE13  Chlorophitum (PICEA), 67364)</v>
      </c>
    </row>
    <row r="218">
      <c r="A218" s="176"/>
      <c r="D218" s="176" t="str">
        <f>IFERROR(__xludf.DUMMYFUNCTION("""COMPUTED_VALUE"""),"8400266 - STATICE - flor (STA STATICE, 27900, 145468, 98992, 91150, 27902, 51327, 51327, 181750, 159547 27908)")</f>
        <v>8400266 - STATICE - flor (STA STATICE, 27900, 145468, 98992, 91150, 27902, 51327, 51327, 181750, 159547 27908)</v>
      </c>
    </row>
    <row r="219">
      <c r="A219" s="176"/>
      <c r="D219" s="176" t="str">
        <f>IFERROR(__xludf.DUMMYFUNCTION("""COMPUTED_VALUE"""),"8400265 - MONSTERA T17 - Deliciosa - planta/28 (MON17, MONS17H MONSTERA DELICIOSA)")</f>
        <v>8400265 - MONSTERA T17 - Deliciosa - planta/28 (MON17, MONS17H MONSTERA DELICIOSA)</v>
      </c>
    </row>
    <row r="220">
      <c r="A220" s="176"/>
      <c r="D220" s="176" t="str">
        <f>IFERROR(__xludf.DUMMYFUNCTION("""COMPUTED_VALUE"""),"8400264 - CICLAMEN T12 - planta/8 (PLCICLA12, PCIC, cyclamen CICLAMEN)")</f>
        <v>8400264 - CICLAMEN T12 - planta/8 (PLCICLA12, PCIC, cyclamen CICLAMEN)</v>
      </c>
    </row>
    <row r="221">
      <c r="A221" s="176"/>
      <c r="D221" s="176" t="str">
        <f>IFERROR(__xludf.DUMMYFUNCTION("""COMPUTED_VALUE"""),"8400263 - [deleted] SPATHIPHYLLUM T13 - Sweet Mario - planta/18 (SPA13 SPATHIPHYLLUM )")</f>
        <v>8400263 - [deleted] SPATHIPHYLLUM T13 - Sweet Mario - planta/18 (SPA13 SPATHIPHYLLUM )</v>
      </c>
    </row>
    <row r="222">
      <c r="A222" s="176"/>
      <c r="D222" s="176" t="str">
        <f>IFERROR(__xludf.DUMMYFUNCTION("""COMPUTED_VALUE"""),"8400262 - [deleted] ANTHURIUM ANDREANUM KENTUKYN T -16 (ANT16  ANTHURIUM ANDREANUM )")</f>
        <v>8400262 - [deleted] ANTHURIUM ANDREANUM KENTUKYN T -16 (ANT16  ANTHURIUM ANDREANUM )</v>
      </c>
    </row>
    <row r="223">
      <c r="A223" s="176"/>
      <c r="D223" s="176" t="str">
        <f>IFERROR(__xludf.DUMMYFUNCTION("""COMPUTED_VALUE"""),"8400261 - ANTHURIUM T12 - planta/18 (con ceramica) (ANTHU12 ANTHURIUM ANDRAEANUM, MIC12, 90300)")</f>
        <v>8400261 - ANTHURIUM T12 - planta/18 (con ceramica) (ANTHU12 ANTHURIUM ANDRAEANUM, MIC12, 90300)</v>
      </c>
    </row>
    <row r="224">
      <c r="A224" s="176"/>
      <c r="D224" s="176" t="str">
        <f>IFERROR(__xludf.DUMMYFUNCTION("""COMPUTED_VALUE"""),"8400260 - DIANTHUS - planta/6 (PLDIANSUNFL DIANTHUS)")</f>
        <v>8400260 - DIANTHUS - planta/6 (PLDIANSUNFL DIANTHUS)</v>
      </c>
    </row>
    <row r="225">
      <c r="A225" s="176"/>
      <c r="D225" s="176" t="str">
        <f>IFERROR(__xludf.DUMMYFUNCTION("""COMPUTED_VALUE"""),"8400259 - [closed] ALAMO - MINI - palo (BETP ALAMOpeq)")</f>
        <v>8400259 - [closed] ALAMO - MINI - palo (BETP ALAMOpeq)</v>
      </c>
    </row>
    <row r="226">
      <c r="A226" s="176"/>
      <c r="D226" s="176" t="str">
        <f>IFERROR(__xludf.DUMMYFUNCTION("""COMPUTED_VALUE"""),"8400258 - [closed] RS ROSA 50cm (RSUDA50SA ROSA50cm)")</f>
        <v>8400258 - [closed] RS ROSA 50cm (RSUDA50SA ROSA50cm)</v>
      </c>
    </row>
    <row r="227">
      <c r="A227" s="176"/>
      <c r="D227" s="176" t="str">
        <f>IFERROR(__xludf.DUMMYFUNCTION("""COMPUTED_VALUE"""),"8400257 - [closed] CRISANTEMA UNIFLOR PLAYTIME - flor (CRISUNHOPL CRISANTEMA UNIFLOR PLAYTIME)")</f>
        <v>8400257 - [closed] CRISANTEMA UNIFLOR PLAYTIME - flor (CRISUNHOPL CRISANTEMA UNIFLOR PLAYTIME)</v>
      </c>
    </row>
    <row r="228">
      <c r="A228" s="176"/>
      <c r="D228" s="176" t="str">
        <f>IFERROR(__xludf.DUMMYFUNCTION("""COMPUTED_VALUE"""),"8400256 - CILINDRO 18X18 CORTE ()")</f>
        <v>8400256 - CILINDRO 18X18 CORTE ()</v>
      </c>
    </row>
    <row r="229">
      <c r="A229" s="176"/>
      <c r="D229" s="176" t="str">
        <f>IFERROR(__xludf.DUMMYFUNCTION("""COMPUTED_VALUE"""),"8400255 - [closed] CILINDRO 40X15 ( )")</f>
        <v>8400255 - [closed] CILINDRO 40X15 ( )</v>
      </c>
    </row>
    <row r="230">
      <c r="A230" s="176"/>
      <c r="D230" s="176" t="str">
        <f>IFERROR(__xludf.DUMMYFUNCTION("""COMPUTED_VALUE"""),"8400254 - LIMONIUM - Konfeti Bola - flor (LIMOKOFU, LIMOKOPOAM, 84451, CON, 76347, 27701, LIMONIUM, 62839)")</f>
        <v>8400254 - LIMONIUM - Konfeti Bola - flor (LIMOKOFU, LIMOKOPOAM, 84451, CON, 76347, 27701, LIMONIUM, 62839)</v>
      </c>
    </row>
    <row r="231">
      <c r="A231" s="176"/>
      <c r="D231" s="176"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32">
      <c r="A232" s="176"/>
      <c r="D232" s="176" t="str">
        <f>IFERROR(__xludf.DUMMYFUNCTION("""COMPUTED_VALUE"""),"8400252 - ALAMO - palo  (BETG ALAMOGR)")</f>
        <v>8400252 - ALAMO - palo  (BETG ALAMOGR)</v>
      </c>
    </row>
    <row r="233">
      <c r="A233" s="176"/>
      <c r="D233" s="176" t="str">
        <f>IFERROR(__xludf.DUMMYFUNCTION("""COMPUTED_VALUE"""),"8400251 - [deleted] Eucalipto Color ( )")</f>
        <v>8400251 - [deleted] Eucalipto Color ( )</v>
      </c>
    </row>
    <row r="234">
      <c r="A234" s="176"/>
      <c r="D234" s="176" t="str">
        <f>IFERROR(__xludf.DUMMYFUNCTION("""COMPUTED_VALUE"""),"8400250 - [deleted] Magnolia hojas grandes (MAGP MagnoliaG)")</f>
        <v>8400250 - [deleted] Magnolia hojas grandes (MAGP MagnoliaG)</v>
      </c>
    </row>
    <row r="235">
      <c r="A235" s="176"/>
      <c r="D235" s="176" t="str">
        <f>IFERROR(__xludf.DUMMYFUNCTION("""COMPUTED_VALUE"""),"8400249 - MAGNOLIA - MINI - rama (MAGP Magnolia, 69031)")</f>
        <v>8400249 - MAGNOLIA - MINI - rama (MAGP Magnolia, 69031)</v>
      </c>
    </row>
    <row r="236">
      <c r="A236" s="176"/>
      <c r="D236" s="176" t="str">
        <f>IFERROR(__xludf.DUMMYFUNCTION("""COMPUTED_VALUE"""),"8400248 - [deleted] HORTENSIA  (TALLO) (HORT hortensia)")</f>
        <v>8400248 - [deleted] HORTENSIA  (TALLO) (HORT hortensia)</v>
      </c>
    </row>
    <row r="237">
      <c r="A237" s="176"/>
      <c r="D237" s="176" t="str">
        <f>IFERROR(__xludf.DUMMYFUNCTION("""COMPUTED_VALUE"""),"8400247 - [deleted] Leucodendron SAFARI SUNSET 50cm (SAFASU50GR )")</f>
        <v>8400247 - [deleted] Leucodendron SAFARI SUNSET 50cm (SAFASU50GR )</v>
      </c>
    </row>
    <row r="238">
      <c r="A238" s="176"/>
      <c r="D238" s="176" t="str">
        <f>IFERROR(__xludf.DUMMYFUNCTION("""COMPUTED_VALUE"""),"8400246 - GENISTA - MIX - rama (GIN GINESTA, 143653, 144060, 77016, )")</f>
        <v>8400246 - GENISTA - MIX - rama (GIN GINESTA, 143653, 144060, 77016, )</v>
      </c>
    </row>
    <row r="239">
      <c r="A239" s="176"/>
      <c r="D239" s="176" t="str">
        <f>IFERROR(__xludf.DUMMYFUNCTION("""COMPUTED_VALUE"""),"8400245 - [closed] POETA - MIX -flor (POE POETA)")</f>
        <v>8400245 - [closed] POETA - MIX -flor (POE POETA)</v>
      </c>
    </row>
    <row r="240">
      <c r="A240" s="176"/>
      <c r="D240" s="176" t="str">
        <f>IFERROR(__xludf.DUMMYFUNCTION("""COMPUTED_VALUE"""),"8400244 - [closed] CLAVEL - Colombiano - flor ( Clavel Colombiano)")</f>
        <v>8400244 - [closed] CLAVEL - Colombiano - flor ( Clavel Colombiano)</v>
      </c>
    </row>
    <row r="241">
      <c r="A241" s="176"/>
      <c r="D241" s="176" t="str">
        <f>IFERROR(__xludf.DUMMYFUNCTION("""COMPUTED_VALUE"""),"8400243 - BOJ - MIX - rama ( )")</f>
        <v>8400243 - BOJ - MIX - rama ( )</v>
      </c>
    </row>
    <row r="242">
      <c r="A242" s="176"/>
      <c r="D242" s="176" t="str">
        <f>IFERROR(__xludf.DUMMYFUNCTION("""COMPUTED_VALUE"""),"8400241 - CENTRO BAJO PEQUEÑO 14 (4810 Centro bajo)")</f>
        <v>8400241 - CENTRO BAJO PEQUEÑO 14 (4810 Centro bajo)</v>
      </c>
    </row>
    <row r="243">
      <c r="A243" s="176"/>
      <c r="D243" s="176" t="str">
        <f>IFERROR(__xludf.DUMMYFUNCTION("""COMPUTED_VALUE"""),"8400240 - PORTAVELA REDONDO 60MM (8718304332353 Soporte de vela negra)")</f>
        <v>8400240 - PORTAVELA REDONDO 60MM (8718304332353 Soporte de vela negra)</v>
      </c>
    </row>
    <row r="244">
      <c r="A244" s="176"/>
      <c r="D244" s="176" t="str">
        <f>IFERROR(__xludf.DUMMYFUNCTION("""COMPUTED_VALUE"""),"8400239 - SOPORTE PLASTICO PARA VELAS VERDE (4026713057236 Soporte de vela)")</f>
        <v>8400239 - SOPORTE PLASTICO PARA VELAS VERDE (4026713057236 Soporte de vela)</v>
      </c>
    </row>
    <row r="245">
      <c r="A245" s="176"/>
      <c r="D245" s="176" t="str">
        <f>IFERROR(__xludf.DUMMYFUNCTION("""COMPUTED_VALUE"""),"8400238 - MACETA CERAMICA - Roja ( Maceta roja)")</f>
        <v>8400238 - MACETA CERAMICA - Roja ( Maceta roja)</v>
      </c>
    </row>
    <row r="246">
      <c r="A246" s="176"/>
      <c r="D246" s="176" t="str">
        <f>IFERROR(__xludf.DUMMYFUNCTION("""COMPUTED_VALUE"""),"8400237 - MACETA CERAMICA - pequeña ( Maceta marron)")</f>
        <v>8400237 - MACETA CERAMICA - pequeña ( Maceta marron)</v>
      </c>
    </row>
    <row r="247">
      <c r="A247" s="176"/>
      <c r="D247" s="176"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48">
      <c r="A248" s="176"/>
      <c r="D248" s="176" t="str">
        <f>IFERROR(__xludf.DUMMYFUNCTION("""COMPUTED_VALUE"""),"8400235 - NANDINA - rama (NANDCAPE NANDINA CAIXA PETITA)")</f>
        <v>8400235 - NANDINA - rama (NANDCAPE NANDINA CAIXA PETITA)</v>
      </c>
    </row>
    <row r="249">
      <c r="A249" s="176"/>
      <c r="D249" s="176" t="str">
        <f>IFERROR(__xludf.DUMMYFUNCTION("""COMPUTED_VALUE"""),"8400234 - MUERDAGO - rama (RGUI RAMITOS MUERDAGO)")</f>
        <v>8400234 - MUERDAGO - rama (RGUI RAMITOS MUERDAGO)</v>
      </c>
    </row>
    <row r="250">
      <c r="A250" s="176"/>
      <c r="D250" s="176" t="str">
        <f>IFERROR(__xludf.DUMMYFUNCTION("""COMPUTED_VALUE"""),"8400233 - ILEX - MINI- rama (ILE40 ILEX 40 TALLO)")</f>
        <v>8400233 - ILEX - MINI- rama (ILE40 ILEX 40 TALLO)</v>
      </c>
    </row>
    <row r="251">
      <c r="A251" s="176"/>
      <c r="D251" s="176" t="str">
        <f>IFERROR(__xludf.DUMMYFUNCTION("""COMPUTED_VALUE"""),"8400232 - EUCALIPTO - Parvifolia - rama (EUCE EUCALIPTO PARVIFOLIA)")</f>
        <v>8400232 - EUCALIPTO - Parvifolia - rama (EUCE EUCALIPTO PARVIFOLIA)</v>
      </c>
    </row>
    <row r="252">
      <c r="A252" s="176"/>
      <c r="D252" s="176" t="str">
        <f>IFERROR(__xludf.DUMMYFUNCTION("""COMPUTED_VALUE"""),"8400231 - [closed] GUI POMO - Nobilis - rama ( GUIPONOB)")</f>
        <v>8400231 - [closed] GUI POMO - Nobilis - rama ( GUIPONOB)</v>
      </c>
    </row>
    <row r="253">
      <c r="A253" s="176"/>
      <c r="D253" s="176" t="str">
        <f>IFERROR(__xludf.DUMMYFUNCTION("""COMPUTED_VALUE"""),"8400230 - [closed] GUI POMO - Nordmanniana - rama ( GUIPONOR)")</f>
        <v>8400230 - [closed] GUI POMO - Nordmanniana - rama ( GUIPONOR)</v>
      </c>
    </row>
    <row r="254">
      <c r="A254" s="176"/>
      <c r="D254" s="176" t="str">
        <f>IFERROR(__xludf.DUMMYFUNCTION("""COMPUTED_VALUE"""),"8400229 - [closed] POINSETTIA T-7.5 - planta/5 ( PPONS7.5)")</f>
        <v>8400229 - [closed] POINSETTIA T-7.5 - planta/5 ( PPONS7.5)</v>
      </c>
    </row>
    <row r="255">
      <c r="A255" s="176"/>
      <c r="D255" s="176" t="str">
        <f>IFERROR(__xludf.DUMMYFUNCTION("""COMPUTED_VALUE"""),"8400228 - [closed] POINSETTIA T14 - planta/15 ( PPONS14)")</f>
        <v>8400228 - [closed] POINSETTIA T14 - planta/15 ( PPONS14)</v>
      </c>
    </row>
    <row r="256">
      <c r="A256" s="176"/>
      <c r="D256" s="176" t="str">
        <f>IFERROR(__xludf.DUMMYFUNCTION("""COMPUTED_VALUE"""),"8400227 - [closed] POINSETTIA T-10.5 - planta/10 ( PPONS10.5)")</f>
        <v>8400227 - [closed] POINSETTIA T-10.5 - planta/10 ( PPONS10.5)</v>
      </c>
    </row>
    <row r="257">
      <c r="A257" s="176"/>
      <c r="D257" s="176" t="str">
        <f>IFERROR(__xludf.DUMMYFUNCTION("""COMPUTED_VALUE"""),"8400226 - POINSETTIA COLOR MIX T-15 - planta/32 ( PPONSCO142, 14345)")</f>
        <v>8400226 - POINSETTIA COLOR MIX T-15 - planta/32 ( PPONSCO142, 14345)</v>
      </c>
    </row>
    <row r="258">
      <c r="A258" s="176"/>
      <c r="D258" s="176" t="str">
        <f>IFERROR(__xludf.DUMMYFUNCTION("""COMPUTED_VALUE"""),"8400225 - [closed] CORONA FRUITA 30cm (COROFR30)")</f>
        <v>8400225 - [closed] CORONA FRUITA 30cm (COROFR30)</v>
      </c>
    </row>
    <row r="259">
      <c r="A259" s="176"/>
      <c r="D259" s="176" t="str">
        <f>IFERROR(__xludf.DUMMYFUNCTION("""COMPUTED_VALUE"""),"8400221 - [closed] POINSETTIA TERRINA - planta/50 ( PPONSTE)")</f>
        <v>8400221 - [closed] POINSETTIA TERRINA - planta/50 ( PPONSTE)</v>
      </c>
    </row>
    <row r="260">
      <c r="A260" s="176"/>
      <c r="D260" s="176" t="str">
        <f>IFERROR(__xludf.DUMMYFUNCTION("""COMPUTED_VALUE"""),"8400219 - Carpeta ( )")</f>
        <v>8400219 - Carpeta ( )</v>
      </c>
    </row>
    <row r="261">
      <c r="A261" s="176"/>
      <c r="D261" s="176" t="str">
        <f>IFERROR(__xludf.DUMMYFUNCTION("""COMPUTED_VALUE"""),"8400216 - [deleted]COL FUCSIA - flor ( COLFU)")</f>
        <v>8400216 - [deleted]COL FUCSIA - flor ( COLFU)</v>
      </c>
    </row>
    <row r="262">
      <c r="A262" s="176"/>
      <c r="D262" s="176"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63">
      <c r="A263" s="176"/>
      <c r="D263" s="176" t="str">
        <f>IFERROR(__xludf.DUMMYFUNCTION("""COMPUTED_VALUE"""),"8400214 - [deleted] ASTER BOLA 70 cm -flor ( ASTE70LICL, 115869, 30491, 34395)")</f>
        <v>8400214 - [deleted] ASTER BOLA 70 cm -flor ( ASTE70LICL, 115869, 30491, 34395)</v>
      </c>
    </row>
    <row r="264">
      <c r="A264" s="176"/>
      <c r="D264" s="176" t="str">
        <f>IFERROR(__xludf.DUMMYFUNCTION("""COMPUTED_VALUE"""),"8400213 - ROSA PINK MONDIAL - flor ( RPINKMO70, 63992, 153964, 180737, 177338, 177340, 73807, 177164, 56708)")</f>
        <v>8400213 - ROSA PINK MONDIAL - flor ( RPINKMO70, 63992, 153964, 180737, 177338, 177340, 73807, 177164, 56708)</v>
      </c>
    </row>
    <row r="265">
      <c r="A265" s="176"/>
      <c r="D265" s="176" t="str">
        <f>IFERROR(__xludf.DUMMYFUNCTION("""COMPUTED_VALUE"""),"8400212 - ILEX 60-80cm - rama ( ILEX80)")</f>
        <v>8400212 - ILEX 60-80cm - rama ( ILEX80)</v>
      </c>
    </row>
    <row r="266">
      <c r="A266" s="176"/>
      <c r="D266" s="176" t="str">
        <f>IFERROR(__xludf.DUMMYFUNCTION("""COMPUTED_VALUE"""),"8400211 - MUSGO - caja (MOLSVD MOLSA, MUSGO EN CAJA, 52421)")</f>
        <v>8400211 - MUSGO - caja (MOLSVD MOLSA, MUSGO EN CAJA, 52421)</v>
      </c>
    </row>
    <row r="267">
      <c r="A267" s="176"/>
      <c r="D267" s="176" t="str">
        <f>IFERROR(__xludf.DUMMYFUNCTION("""COMPUTED_VALUE"""),"8400210 - [closed] GUI POMO NOBILIS -rama ( GUIPONOBSB)")</f>
        <v>8400210 - [closed] GUI POMO NOBILIS -rama ( GUIPONOBSB)</v>
      </c>
    </row>
    <row r="268">
      <c r="A268" s="176"/>
      <c r="D268" s="176" t="str">
        <f>IFERROR(__xludf.DUMMYFUNCTION("""COMPUTED_VALUE"""),"8400209 - CORNUS - MINI - palo (CORNVE, CORNPRVE CORNUS)")</f>
        <v>8400209 - CORNUS - MINI - palo (CORNVE, CORNPRVE CORNUS)</v>
      </c>
    </row>
    <row r="269">
      <c r="A269" s="176"/>
      <c r="D269" s="176" t="str">
        <f>IFERROR(__xludf.DUMMYFUNCTION("""COMPUTED_VALUE"""),"8400208 - CORONA 25cm ( COROSE25)")</f>
        <v>8400208 - CORONA 25cm ( COROSE25)</v>
      </c>
    </row>
    <row r="270">
      <c r="A270" s="176"/>
      <c r="D270" s="176" t="str">
        <f>IFERROR(__xludf.DUMMYFUNCTION("""COMPUTED_VALUE"""),"8400207 - CORONA 30cm ( COROSE30)")</f>
        <v>8400207 - CORONA 30cm ( COROSE30)</v>
      </c>
    </row>
    <row r="271">
      <c r="A271" s="176"/>
      <c r="D271" s="176" t="str">
        <f>IFERROR(__xludf.DUMMYFUNCTION("""COMPUTED_VALUE"""),"8400206 - [closed] CORONA 50cm ( COROSE50)")</f>
        <v>8400206 - [closed] CORONA 50cm ( COROSE50)</v>
      </c>
    </row>
    <row r="272">
      <c r="A272" s="176"/>
      <c r="D272" s="176" t="str">
        <f>IFERROR(__xludf.DUMMYFUNCTION("""COMPUTED_VALUE"""),"8400205 - PINYA -unidad ( PINYCAGR)")</f>
        <v>8400205 - PINYA -unidad ( PINYCAGR)</v>
      </c>
    </row>
    <row r="273">
      <c r="A273" s="176"/>
      <c r="D273" s="176" t="str">
        <f>IFERROR(__xludf.DUMMYFUNCTION("""COMPUTED_VALUE"""),"8400204 - [deleted] RSR ROSA - MIX 50cm  ( RRAMIAF50RO, RRAMIAF50TA)")</f>
        <v>8400204 - [deleted] RSR ROSA - MIX 50cm  ( RRAMIAF50RO, RRAMIAF50TA)</v>
      </c>
    </row>
    <row r="274">
      <c r="A274" s="176"/>
      <c r="D274" s="176" t="str">
        <f>IFERROR(__xludf.DUMMYFUNCTION("""COMPUTED_VALUE"""),"8400203 - [closed] CORONA DOBLE  80cm ( CORODO80)")</f>
        <v>8400203 - [closed] CORONA DOBLE  80cm ( CORODO80)</v>
      </c>
    </row>
    <row r="275">
      <c r="A275" s="176"/>
      <c r="D275" s="176" t="str">
        <f>IFERROR(__xludf.DUMMYFUNCTION("""COMPUTED_VALUE"""),"8400202 - GREVILLEA - MIX - rama ( GREVC)")</f>
        <v>8400202 - GREVILLEA - MIX - rama ( GREVC)</v>
      </c>
    </row>
    <row r="276">
      <c r="A276" s="176"/>
      <c r="D276" s="176" t="str">
        <f>IFERROR(__xludf.DUMMYFUNCTION("""COMPUTED_VALUE"""),"8400201 - [deleted] CODEUM - rama ( COD)")</f>
        <v>8400201 - [deleted] CODEUM - rama ( COD)</v>
      </c>
    </row>
    <row r="277">
      <c r="A277" s="176"/>
      <c r="D277" s="176" t="str">
        <f>IFERROR(__xludf.DUMMYFUNCTION("""COMPUTED_VALUE"""),"8400200 - [deleted] ILEX 50cm ( JLE50)")</f>
        <v>8400200 - [deleted] ILEX 50cm ( JLE50)</v>
      </c>
    </row>
    <row r="278">
      <c r="A278" s="176"/>
      <c r="D278" s="176" t="str">
        <f>IFERROR(__xludf.DUMMYFUNCTION("""COMPUTED_VALUE"""),"8400199 - PISTACHO - rama (LEN, POM, LT, PISTACEA PISTACHO RAMA, 2388)")</f>
        <v>8400199 - PISTACHO - rama (LEN, POM, LT, PISTACEA PISTACHO RAMA, 2388)</v>
      </c>
    </row>
    <row r="279">
      <c r="A279" s="176"/>
      <c r="D279" s="176" t="str">
        <f>IFERROR(__xludf.DUMMYFUNCTION("""COMPUTED_VALUE"""),"8400198 - PINO - rama ( PIN, 46695, 42781, 134457)")</f>
        <v>8400198 - PINO - rama ( PIN, 46695, 42781, 134457)</v>
      </c>
    </row>
    <row r="280">
      <c r="A280" s="176"/>
      <c r="D280" s="176" t="str">
        <f>IFERROR(__xludf.DUMMYFUNCTION("""COMPUTED_VALUE"""),"8400197 - [deleted] BOJ ROJO - rama ( GREP)")</f>
        <v>8400197 - [deleted] BOJ ROJO - rama ( GREP)</v>
      </c>
    </row>
    <row r="281">
      <c r="A281" s="176"/>
      <c r="D281" s="176" t="str">
        <f>IFERROR(__xludf.DUMMYFUNCTION("""COMPUTED_VALUE"""),"8400196 - CIPRES - rama  ( CIP )")</f>
        <v>8400196 - CIPRES - rama  ( CIP )</v>
      </c>
    </row>
    <row r="282">
      <c r="A282" s="176"/>
      <c r="D282" s="176" t="str">
        <f>IFERROR(__xludf.DUMMYFUNCTION("""COMPUTED_VALUE"""),"8400195 - ABETO - Nobilis - rama ( NOB)")</f>
        <v>8400195 - ABETO - Nobilis - rama ( NOB)</v>
      </c>
    </row>
    <row r="283">
      <c r="A283" s="176"/>
      <c r="D283" s="176" t="str">
        <f>IFERROR(__xludf.DUMMYFUNCTION("""COMPUTED_VALUE"""),"8400194 - [deleted] HELECHO - hoja ( )")</f>
        <v>8400194 - [deleted] HELECHO - hoja ( )</v>
      </c>
    </row>
    <row r="284">
      <c r="A284" s="176"/>
      <c r="D284" s="176" t="str">
        <f>IFERROR(__xludf.DUMMYFUNCTION("""COMPUTED_VALUE"""),"8400193 - POINSETTIA COLOR MIX - planta/22 T-14 ( PPONSCO14, 48739 165963 104777, )")</f>
        <v>8400193 - POINSETTIA COLOR MIX - planta/22 T-14 ( PPONSCO14, 48739 165963 104777, )</v>
      </c>
    </row>
    <row r="285">
      <c r="A285" s="176"/>
      <c r="D285" s="176" t="str">
        <f>IFERROR(__xludf.DUMMYFUNCTION("""COMPUTED_VALUE"""),"8400192 - [closed] POINSETTIA T-17 - planta/25 ( PPONS17)")</f>
        <v>8400192 - [closed] POINSETTIA T-17 - planta/25 ( PPONS17)</v>
      </c>
    </row>
    <row r="286">
      <c r="A286" s="176"/>
      <c r="D286" s="176" t="str">
        <f>IFERROR(__xludf.DUMMYFUNCTION("""COMPUTED_VALUE"""),"8400191 - MAGNOLIA - rama ( MAGN, 69031)")</f>
        <v>8400191 - MAGNOLIA - rama ( MAGN, 69031)</v>
      </c>
    </row>
    <row r="287">
      <c r="A287" s="176"/>
      <c r="D287" s="176" t="str">
        <f>IFERROR(__xludf.DUMMYFUNCTION("""COMPUTED_VALUE"""),"8400190 - PHLEBODIUM - hoja ( FALGGR)")</f>
        <v>8400190 - PHLEBODIUM - hoja ( FALGGR)</v>
      </c>
    </row>
    <row r="288">
      <c r="A288" s="176"/>
      <c r="D288" s="176" t="str">
        <f>IFERROR(__xludf.DUMMYFUNCTION("""COMPUTED_VALUE"""),"8400189 - [closed] POINSETTIA DE ARBOL - planta/75 ( PONAR)")</f>
        <v>8400189 - [closed] POINSETTIA DE ARBOL - planta/75 ( PONAR)</v>
      </c>
    </row>
    <row r="289">
      <c r="A289" s="176"/>
      <c r="D289" s="176" t="str">
        <f>IFERROR(__xludf.DUMMYFUNCTION("""COMPUTED_VALUE"""),"8400188 - [closed] CICLAMEN MINI - planta/7 (CYCL11H, PCICM, cyclamen CICLAMEN MINI)")</f>
        <v>8400188 - [closed] CICLAMEN MINI - planta/7 (CYCL11H, PCICM, cyclamen CICLAMEN MINI)</v>
      </c>
    </row>
    <row r="290">
      <c r="A290" s="176"/>
      <c r="D290" s="176" t="str">
        <f>IFERROR(__xludf.DUMMYFUNCTION("""COMPUTED_VALUE"""),"8400187 - POINSETTIA COLOR - MIX - planta/12 ( PPONC, PON, PPONP, 104183)")</f>
        <v>8400187 - POINSETTIA COLOR - MIX - planta/12 ( PPONC, PON, PPONP, 104183)</v>
      </c>
    </row>
    <row r="291">
      <c r="A291" s="176"/>
      <c r="D291" s="176" t="str">
        <f>IFERROR(__xludf.DUMMYFUNCTION("""COMPUTED_VALUE"""),"8400186 - [closed] POINSETTIA MADRE - planta/75 ( PONM)")</f>
        <v>8400186 - [closed] POINSETTIA MADRE - planta/75 ( PONM)</v>
      </c>
    </row>
    <row r="292">
      <c r="A292" s="176"/>
      <c r="D292" s="176" t="str">
        <f>IFERROR(__xludf.DUMMYFUNCTION("""COMPUTED_VALUE"""),"8400185 - [deleted] XIPRER GRIS ( XIPRGR)")</f>
        <v>8400185 - [deleted] XIPRER GRIS ( XIPRGR)</v>
      </c>
    </row>
    <row r="293">
      <c r="A293" s="176"/>
      <c r="D293" s="176" t="str">
        <f>IFERROR(__xludf.DUMMYFUNCTION("""COMPUTED_VALUE"""),"8400184 - SALIX (GATELL) 65-90cm- rama ( GATEPR, 175029)")</f>
        <v>8400184 - SALIX (GATELL) 65-90cm- rama ( GATEPR, 175029)</v>
      </c>
    </row>
    <row r="294">
      <c r="A294" s="176"/>
      <c r="D294" s="176" t="str">
        <f>IFERROR(__xludf.DUMMYFUNCTION("""COMPUTED_VALUE"""),"8400182 - ESCARAMUJO - rama ( ESCA)")</f>
        <v>8400182 - ESCARAMUJO - rama ( ESCA)</v>
      </c>
    </row>
    <row r="295">
      <c r="A295" s="176"/>
      <c r="D295" s="176" t="str">
        <f>IFERROR(__xludf.DUMMYFUNCTION("""COMPUTED_VALUE"""),"8400181 - [deleted] GRAMINIA SALVAJE PENI BLONDI -rama ( GRAMSABL)")</f>
        <v>8400181 - [deleted] GRAMINIA SALVAJE PENI BLONDI -rama ( GRAMSABL)</v>
      </c>
    </row>
    <row r="296">
      <c r="A296" s="176"/>
      <c r="D296" s="176" t="str">
        <f>IFERROR(__xludf.DUMMYFUNCTION("""COMPUTED_VALUE"""),"8400180 - POINSETTIA COPA - planta/48 70-90cm ( PCO, 37347, 165102, 37347)")</f>
        <v>8400180 - POINSETTIA COPA - planta/48 70-90cm ( PCO, 37347, 165102, 37347)</v>
      </c>
    </row>
    <row r="297">
      <c r="A297" s="176"/>
      <c r="D297" s="176" t="str">
        <f>IFERROR(__xludf.DUMMYFUNCTION("""COMPUTED_VALUE"""),"8400179 - [closed] POINSETTIA VARIS - planta/16 ( PC8 )")</f>
        <v>8400179 - [closed] POINSETTIA VARIS - planta/16 ( PC8 )</v>
      </c>
    </row>
    <row r="298">
      <c r="A298" s="176"/>
      <c r="D298" s="176" t="str">
        <f>IFERROR(__xludf.DUMMYFUNCTION("""COMPUTED_VALUE"""),"8400178 - [closed] POINSETTIA T10 - Princetia - planta/9 ( PR11)")</f>
        <v>8400178 - [closed] POINSETTIA T10 - Princetia - planta/9 ( PR11)</v>
      </c>
    </row>
    <row r="299">
      <c r="A299" s="176"/>
      <c r="D299" s="176" t="str">
        <f>IFERROR(__xludf.DUMMYFUNCTION("""COMPUTED_VALUE"""),"8400177 - POINSETTIA - planta/42 68cm T-19 ( P19, 122286, )")</f>
        <v>8400177 - POINSETTIA - planta/42 68cm T-19 ( P19, 122286, )</v>
      </c>
    </row>
    <row r="300">
      <c r="A300" s="176"/>
      <c r="D300" s="176" t="str">
        <f>IFERROR(__xludf.DUMMYFUNCTION("""COMPUTED_VALUE"""),"8400176 - [closed] POINSETTIA MARE - planta/60 ( PM12)")</f>
        <v>8400176 - [closed] POINSETTIA MARE - planta/60 ( PM12)</v>
      </c>
    </row>
    <row r="301">
      <c r="A301" s="176"/>
      <c r="D301" s="176" t="str">
        <f>IFERROR(__xludf.DUMMYFUNCTION("""COMPUTED_VALUE"""),"8400175 - [closed] POINSETTIA ARBUSTIVA 6 litres- planta/60 ( 2 PA6)")</f>
        <v>8400175 - [closed] POINSETTIA ARBUSTIVA 6 litres- planta/60 ( 2 PA6)</v>
      </c>
    </row>
    <row r="302">
      <c r="A302" s="176"/>
      <c r="D302" s="176" t="str">
        <f>IFERROR(__xludf.DUMMYFUNCTION("""COMPUTED_VALUE"""),"8400174 - [closed] POINSETTIA ARBUSTIVA T-27 - planta/75 ( PA27)")</f>
        <v>8400174 - [closed] POINSETTIA ARBUSTIVA T-27 - planta/75 ( PA27)</v>
      </c>
    </row>
    <row r="303">
      <c r="A303" s="176"/>
      <c r="D303" s="176" t="str">
        <f>IFERROR(__xludf.DUMMYFUNCTION("""COMPUTED_VALUE"""),"8400173 - ABETO - Normandiana - rama ( )")</f>
        <v>8400173 - ABETO - Normandiana - rama ( )</v>
      </c>
    </row>
    <row r="304">
      <c r="A304" s="176"/>
      <c r="D304" s="176"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305">
      <c r="A305" s="176"/>
      <c r="D305" s="176" t="str">
        <f>IFERROR(__xludf.DUMMYFUNCTION("""COMPUTED_VALUE"""),"8400171 - ERYNGIUM - flor ( )")</f>
        <v>8400171 - ERYNGIUM - flor ( )</v>
      </c>
    </row>
    <row r="306">
      <c r="A306" s="176"/>
      <c r="D306" s="176" t="str">
        <f>IFERROR(__xludf.DUMMYFUNCTION("""COMPUTED_VALUE"""),"8400170 - [closed] Clavel mini - flor ( )")</f>
        <v>8400170 - [closed] Clavel mini - flor ( )</v>
      </c>
    </row>
    <row r="307">
      <c r="A307" s="176"/>
      <c r="D307" s="176" t="str">
        <f>IFERROR(__xludf.DUMMYFUNCTION("""COMPUTED_VALUE"""),"8400169 - CLEMATIS - flor ( )")</f>
        <v>8400169 - CLEMATIS - flor ( )</v>
      </c>
    </row>
    <row r="308">
      <c r="A308" s="176"/>
      <c r="D308" s="176" t="str">
        <f>IFERROR(__xludf.DUMMYFUNCTION("""COMPUTED_VALUE"""),"8400168 - SANTINI - Bola - flor ( SANT, 130330, 136126, 3492, 92424, 39301, 53473, SANTCA, 174525, 159657, 136388, 130330)")</f>
        <v>8400168 - SANTINI - Bola - flor ( SANT, 130330, 136126, 3492, 92424, 39301, 53473, SANTCA, 174525, 159657, 136388, 130330)</v>
      </c>
    </row>
    <row r="309">
      <c r="A309" s="176"/>
      <c r="D309" s="176" t="str">
        <f>IFERROR(__xludf.DUMMYFUNCTION("""COMPUTED_VALUE"""),"8400167 - [closed] POINSETTIA PEQUEÑA T-13- planta/60 ( PON1)")</f>
        <v>8400167 - [closed] POINSETTIA PEQUEÑA T-13- planta/60 ( PON1)</v>
      </c>
    </row>
    <row r="310">
      <c r="A310" s="176"/>
      <c r="D310" s="176" t="str">
        <f>IFERROR(__xludf.DUMMYFUNCTION("""COMPUTED_VALUE"""),"8400166 - POINSETTIA GRANDE  - planta/123 ( PON)")</f>
        <v>8400166 - POINSETTIA GRANDE  - planta/123 ( PON)</v>
      </c>
    </row>
    <row r="311">
      <c r="A311" s="176"/>
      <c r="D311" s="176" t="str">
        <f>IFERROR(__xludf.DUMMYFUNCTION("""COMPUTED_VALUE"""),"8400165 - JARRON OVALADO M ( )")</f>
        <v>8400165 - JARRON OVALADO M ( )</v>
      </c>
    </row>
    <row r="312">
      <c r="A312" s="176"/>
      <c r="D312" s="176" t="str">
        <f>IFERROR(__xludf.DUMMYFUNCTION("""COMPUTED_VALUE"""),"8400163 - THUYA - rama ( CIP)")</f>
        <v>8400163 - THUYA - rama ( CIP)</v>
      </c>
    </row>
    <row r="313">
      <c r="A313" s="176"/>
      <c r="D313" s="176" t="str">
        <f>IFERROR(__xludf.DUMMYFUNCTION("""COMPUTED_VALUE"""),"8400162 - [deleted] EUCALIPTO BABY - rama ( EUCB)")</f>
        <v>8400162 - [deleted] EUCALIPTO BABY - rama ( EUCB)</v>
      </c>
    </row>
    <row r="314">
      <c r="A314" s="176"/>
      <c r="D314" s="176" t="str">
        <f>IFERROR(__xludf.DUMMYFUNCTION("""COMPUTED_VALUE"""),"8400161 - OLIVO - MINI-  rama ( OLIVA, 9)")</f>
        <v>8400161 - OLIVO - MINI-  rama ( OLIVA, 9)</v>
      </c>
    </row>
    <row r="315">
      <c r="A315" s="176"/>
      <c r="D315" s="176" t="str">
        <f>IFERROR(__xludf.DUMMYFUNCTION("""COMPUTED_VALUE"""),"8400160 - [closed] Frutos de palma - rama ( )")</f>
        <v>8400160 - [closed] Frutos de palma - rama ( )</v>
      </c>
    </row>
    <row r="316">
      <c r="A316" s="176"/>
      <c r="D316" s="176" t="str">
        <f>IFERROR(__xludf.DUMMYFUNCTION("""COMPUTED_VALUE"""),"8400159 - PHALAENOPSIS MIX - planta/35 ( PPHAL3V12, 51037, 178648, 125757, 196403, 168751, 1140997, 80668, 171965, 173382, 169346, 132602, 177439, 171080, 171076, 171080 )")</f>
        <v>8400159 - PHALAENOPSIS MIX - planta/35 ( PPHAL3V12, 51037, 178648, 125757, 196403, 168751, 1140997, 80668, 171965, 173382, 169346, 132602, 177439, 171080, 171076, 171080 )</v>
      </c>
    </row>
    <row r="317">
      <c r="A317" s="176"/>
      <c r="D317" s="176" t="str">
        <f>IFERROR(__xludf.DUMMYFUNCTION("""COMPUTED_VALUE"""),"8400158 - LIMONIUM - flor (00064, 136152, 182922, 75722 84451, CON, LIMOLI, LIMBE, 54377, LIM, 82171, 135043, 148294, 97108, 82844, 91919, 160850, 128056, 130094)")</f>
        <v>8400158 - LIMONIUM - flor (00064, 136152, 182922, 75722 84451, CON, LIMOLI, LIMBE, 54377, LIM, 82171, 135043, 148294, 97108, 82844, 91919, 160850, 128056, 130094)</v>
      </c>
    </row>
    <row r="318">
      <c r="A318" s="176"/>
      <c r="D318" s="176" t="str">
        <f>IFERROR(__xludf.DUMMYFUNCTION("""COMPUTED_VALUE"""),"8400157 - [closed] LEATHER - rama ( LEDE)")</f>
        <v>8400157 - [closed] LEATHER - rama ( LEDE)</v>
      </c>
    </row>
    <row r="319">
      <c r="A319" s="176"/>
      <c r="D319" s="176" t="str">
        <f>IFERROR(__xludf.DUMMYFUNCTION("""COMPUTED_VALUE"""),"8400156 - GIRASOL - flor (GIR, GIRANAEX, GER  GIRASOL, 12419)")</f>
        <v>8400156 - GIRASOL - flor (GIR, GIRANAEX, GER  GIRASOL, 12419)</v>
      </c>
    </row>
    <row r="320">
      <c r="A320" s="176"/>
      <c r="D320" s="176" t="str">
        <f>IFERROR(__xludf.DUMMYFUNCTION("""COMPUTED_VALUE"""),"8400155 - PHORNIUM - hoja ( FORN)")</f>
        <v>8400155 - PHORNIUM - hoja ( FORN)</v>
      </c>
    </row>
    <row r="321">
      <c r="A321" s="176"/>
      <c r="D321" s="176" t="str">
        <f>IFERROR(__xludf.DUMMYFUNCTION("""COMPUTED_VALUE"""),"8400154 - ALSTROEMERIA - flor (00027, 11920, 146548, 148465, ALS VA, 148462, 148466, 11920, ALS-P, 137896, 137077, 137894, 148289, 148469, ALSTROEMERIES ALSTROEMERIA, ALSP, 11920)")</f>
        <v>8400154 - ALSTROEMERIA - flor (00027, 11920, 146548, 148465, ALS VA, 148462, 148466, 11920, ALS-P, 137896, 137077, 137894, 148289, 148469, ALSTROEMERIES ALSTROEMERIA, ALSP, 11920)</v>
      </c>
    </row>
    <row r="322">
      <c r="A322" s="176"/>
      <c r="D322" s="176" t="str">
        <f>IFERROR(__xludf.DUMMYFUNCTION("""COMPUTED_VALUE"""),"8400153 - [deleted] PANICULATA - rama ( PANI, PAN)")</f>
        <v>8400153 - [deleted] PANICULATA - rama ( PANI, PAN)</v>
      </c>
    </row>
    <row r="323">
      <c r="A323" s="176"/>
      <c r="D323" s="176" t="str">
        <f>IFERROR(__xludf.DUMMYFUNCTION("""COMPUTED_VALUE"""),"8400151 - [closed] BRASSICA (COL) blanca - flor ( COLBL)")</f>
        <v>8400151 - [closed] BRASSICA (COL) blanca - flor ( COLBL)</v>
      </c>
    </row>
    <row r="324">
      <c r="A324" s="176"/>
      <c r="D324" s="176" t="str">
        <f>IFERROR(__xludf.DUMMYFUNCTION("""COMPUTED_VALUE"""),"8400150 - TILLANDSIA - planta/18 ( )")</f>
        <v>8400150 - TILLANDSIA - planta/18 ( )</v>
      </c>
    </row>
    <row r="325">
      <c r="A325" s="176"/>
      <c r="D325" s="176" t="str">
        <f>IFERROR(__xludf.DUMMYFUNCTION("""COMPUTED_VALUE"""),"8400149 - GRAMINEA - MIX - herbacea ( GRAMSA)")</f>
        <v>8400149 - GRAMINEA - MIX - herbacea ( GRAMSA)</v>
      </c>
    </row>
    <row r="326">
      <c r="A326" s="176"/>
      <c r="D326" s="176" t="str">
        <f>IFERROR(__xludf.DUMMYFUNCTION("""COMPUTED_VALUE"""),"8400148 - DIEFFENBACHIA T12 - planta/26 ( DIFEMBAQUIA )")</f>
        <v>8400148 - DIEFFENBACHIA T12 - planta/26 ( DIFEMBAQUIA )</v>
      </c>
    </row>
    <row r="327">
      <c r="A327" s="176"/>
      <c r="D327" s="176" t="str">
        <f>IFERROR(__xludf.DUMMYFUNCTION("""COMPUTED_VALUE"""),"8400147 - VRIESEA T10 - planta/28 ( VRIESEA, 134243)")</f>
        <v>8400147 - VRIESEA T10 - planta/28 ( VRIESEA, 134243)</v>
      </c>
    </row>
    <row r="328">
      <c r="A328" s="176"/>
      <c r="D328" s="176" t="str">
        <f>IFERROR(__xludf.DUMMYFUNCTION("""COMPUTED_VALUE"""),"8400146 - [closed] KENTIA T11 - planta/60 ( KENTIA )")</f>
        <v>8400146 - [closed] KENTIA T11 - planta/60 ( KENTIA )</v>
      </c>
    </row>
    <row r="329">
      <c r="A329" s="176"/>
      <c r="D329" s="176" t="str">
        <f>IFERROR(__xludf.DUMMYFUNCTION("""COMPUTED_VALUE"""),"8400145 - PROTEA - flor ( PROTEA, 157263,banksia)")</f>
        <v>8400145 - PROTEA - flor ( PROTEA, 157263,banksia)</v>
      </c>
    </row>
    <row r="330">
      <c r="A330" s="176"/>
      <c r="D330" s="176" t="str">
        <f>IFERROR(__xludf.DUMMYFUNCTION("""COMPUTED_VALUE"""),"8400144 - HORTENSIA - flor seca (HORTTA40VD HORTENSIA verde )")</f>
        <v>8400144 - HORTENSIA - flor seca (HORTTA40VD HORTENSIA verde )</v>
      </c>
    </row>
    <row r="331">
      <c r="A331" s="176"/>
      <c r="D331" s="176" t="str">
        <f>IFERROR(__xludf.DUMMYFUNCTION("""COMPUTED_VALUE"""),"8400143 - EUCALIPTO - Robusta - rama (EUCAFLPO Eucolipto Flor)")</f>
        <v>8400143 - EUCALIPTO - Robusta - rama (EUCAFLPO Eucolipto Flor)</v>
      </c>
    </row>
    <row r="332">
      <c r="A332" s="176"/>
      <c r="D332" s="176" t="str">
        <f>IFERROR(__xludf.DUMMYFUNCTION("""COMPUTED_VALUE"""),"8400142 - [closed] GRANADA - unidad (CAIXMAG granate)")</f>
        <v>8400142 - [closed] GRANADA - unidad (CAIXMAG granate)</v>
      </c>
    </row>
    <row r="333">
      <c r="A333" s="176"/>
      <c r="D333" s="176" t="str">
        <f>IFERROR(__xludf.DUMMYFUNCTION("""COMPUTED_VALUE"""),"8400141 - [closed] GERBERA - flor (GERBNAAM, 183462, 184156, GER, RGER  GERBERA, 94099, 122436)")</f>
        <v>8400141 - [closed] GERBERA - flor (GERBNAAM, 183462, 184156, GER, RGER  GERBERA, 94099, 122436)</v>
      </c>
    </row>
    <row r="334">
      <c r="A334" s="176"/>
      <c r="D334" s="176" t="str">
        <f>IFERROR(__xludf.DUMMYFUNCTION("""COMPUTED_VALUE"""),"8400140 - ERICA COLOR - rama (ERICCO Erica teñida)")</f>
        <v>8400140 - ERICA COLOR - rama (ERICCO Erica teñida)</v>
      </c>
    </row>
    <row r="335">
      <c r="A335" s="176"/>
      <c r="D335" s="176" t="str">
        <f>IFERROR(__xludf.DUMMYFUNCTION("""COMPUTED_VALUE"""),"8400139 - [closed] RS Rosa - Sweet diamond 40cm  (RSWEEDI40 Rosa Sweet-40)")</f>
        <v>8400139 - [closed] RS Rosa - Sweet diamond 40cm  (RSWEEDI40 Rosa Sweet-40)</v>
      </c>
    </row>
    <row r="336">
      <c r="A336" s="176"/>
      <c r="D336" s="176" t="str">
        <f>IFERROR(__xludf.DUMMYFUNCTION("""COMPUTED_VALUE"""),"8400138 - ALLIUM - MIX- flor (ALLI50BLBOPE ALLIUM, 6778, 133547, 167505, 134520, 42604,158, 50981, 50071)")</f>
        <v>8400138 - ALLIUM - MIX- flor (ALLI50BLBOPE ALLIUM, 6778, 133547, 167505, 134520, 42604,158, 50981, 50071)</v>
      </c>
    </row>
    <row r="337">
      <c r="A337" s="176"/>
      <c r="D337" s="176" t="str">
        <f>IFERROR(__xludf.DUMMYFUNCTION("""COMPUTED_VALUE"""),"8400137 - MAIZ 80cm -rama (MAIZ Maíz)")</f>
        <v>8400137 - MAIZ 80cm -rama (MAIZ Maíz)</v>
      </c>
    </row>
    <row r="338">
      <c r="A338" s="176"/>
      <c r="D338" s="176" t="str">
        <f>IFERROR(__xludf.DUMMYFUNCTION("""COMPUTED_VALUE"""),"8400136 - [deleted] ALZINA COLOR - rama (ALZICO Alzina teñido)")</f>
        <v>8400136 - [deleted] ALZINA COLOR - rama (ALZICO Alzina teñido)</v>
      </c>
    </row>
    <row r="339">
      <c r="A339" s="176"/>
      <c r="D339" s="176" t="str">
        <f>IFERROR(__xludf.DUMMYFUNCTION("""COMPUTED_VALUE"""),"8400135 - ROBLE - rama (ROUR ROBLE VERDE, ROBL)")</f>
        <v>8400135 - ROBLE - rama (ROUR ROBLE VERDE, ROBL)</v>
      </c>
    </row>
    <row r="340">
      <c r="A340" s="176"/>
      <c r="D340" s="176" t="str">
        <f>IFERROR(__xludf.DUMMYFUNCTION("""COMPUTED_VALUE"""),"8400134 - CHAMELACIUM - flor (CERAHORO, CERAHOBL, CERA, CERAHOFU, 152113, flor de cera, 41845)")</f>
        <v>8400134 - CHAMELACIUM - flor (CERAHORO, CERAHOBL, CERA, CERAHOFU, 152113, flor de cera, 41845)</v>
      </c>
    </row>
    <row r="341">
      <c r="A341" s="176"/>
      <c r="D341" s="176" t="str">
        <f>IFERROR(__xludf.DUMMYFUNCTION("""COMPUTED_VALUE"""),"8400132 - [closed] RS Rosa - Ballerina Summer 60cm  (RRAMIBASU60 Rosa Ballerina-60)")</f>
        <v>8400132 - [closed] RS Rosa - Ballerina Summer 60cm  (RRAMIBASU60 Rosa Ballerina-60)</v>
      </c>
    </row>
    <row r="342">
      <c r="A342" s="176"/>
      <c r="D342" s="176" t="str">
        <f>IFERROR(__xludf.DUMMYFUNCTION("""COMPUTED_VALUE"""),"8400131 - SNAKE GRASS - herbacea (80034 Snake Grass)")</f>
        <v>8400131 - SNAKE GRASS - herbacea (80034 Snake Grass)</v>
      </c>
    </row>
    <row r="343">
      <c r="A343" s="176"/>
      <c r="D343" s="176" t="str">
        <f>IFERROR(__xludf.DUMMYFUNCTION("""COMPUTED_VALUE"""),"8400130 - [closed] VD. Magnolia -  hoja (80118 Magnolia Hojas)")</f>
        <v>8400130 - [closed] VD. Magnolia -  hoja (80118 Magnolia Hojas)</v>
      </c>
    </row>
    <row r="344">
      <c r="A344" s="176"/>
      <c r="D344" s="176" t="str">
        <f>IFERROR(__xludf.DUMMYFUNCTION("""COMPUTED_VALUE"""),"8400129 - [DELETED] Tanacetum PA Rio 60 cm. Blanco - flor (1901 Tanacetum Rio)")</f>
        <v>8400129 - [DELETED] Tanacetum PA Rio 60 cm. Blanco - flor (1901 Tanacetum Rio)</v>
      </c>
    </row>
    <row r="345">
      <c r="A345" s="176"/>
      <c r="D345" s="176" t="str">
        <f>IFERROR(__xludf.DUMMYFUNCTION("""COMPUTED_VALUE"""),"8400128 - TANACETUM - MIX - flor (10271, 194305, Tanacetum Cameron, 39301, 179753, 42966, 42966б MATRICARIA)")</f>
        <v>8400128 - TANACETUM - MIX - flor (10271, 194305, Tanacetum Cameron, 39301, 179753, 42966, 42966б MATRICARIA)</v>
      </c>
    </row>
    <row r="346">
      <c r="A346" s="176"/>
      <c r="D346" s="176" t="str">
        <f>IFERROR(__xludf.DUMMYFUNCTION("""COMPUTED_VALUE"""),"8400127 - ROSA FREEDOM - flor (42128 Rosa Freedom-80, 136635)")</f>
        <v>8400127 - ROSA FREEDOM - flor (42128 Rosa Freedom-80, 136635)</v>
      </c>
    </row>
    <row r="347">
      <c r="A347" s="176"/>
      <c r="D347" s="176" t="str">
        <f>IFERROR(__xludf.DUMMYFUNCTION("""COMPUTED_VALUE"""),"8400126 - [deleted] RS ROSA - Freedom 70cm (42127 Rosa Freedom-70, 50240, 136619, 136635, 235675)")</f>
        <v>8400126 - [deleted] RS ROSA - Freedom 70cm (42127 Rosa Freedom-70, 50240, 136619, 136635, 235675)</v>
      </c>
    </row>
    <row r="348">
      <c r="A348" s="176"/>
      <c r="D348" s="176" t="str">
        <f>IFERROR(__xludf.DUMMYFUNCTION("""COMPUTED_VALUE"""),"8400125 - [closed] RS Rosa -  Shimmer - flor (2700-50 Rosa Shimmer50)")</f>
        <v>8400125 - [closed] RS Rosa -  Shimmer - flor (2700-50 Rosa Shimmer50)</v>
      </c>
    </row>
    <row r="349">
      <c r="A349" s="176"/>
      <c r="D349" s="176" t="str">
        <f>IFERROR(__xludf.DUMMYFUNCTION("""COMPUTED_VALUE"""),"8400124 - [closed] RS Rosa - Colombiana 60cm  (7628-60COL Rosa CoolWater)")</f>
        <v>8400124 - [closed] RS Rosa - Colombiana 60cm  (7628-60COL Rosa CoolWater)</v>
      </c>
    </row>
    <row r="350">
      <c r="A350" s="176"/>
      <c r="D350" s="176" t="str">
        <f>IFERROR(__xludf.DUMMYFUNCTION("""COMPUTED_VALUE"""),"8400123 - [closed] CARTHAMUS Tinctorius Zanzibar Naranja -flor (8322-80 Carthamus)")</f>
        <v>8400123 - [closed] CARTHAMUS Tinctorius Zanzibar Naranja -flor (8322-80 Carthamus)</v>
      </c>
    </row>
    <row r="351">
      <c r="A351" s="176"/>
      <c r="D351" s="176" t="str">
        <f>IFERROR(__xludf.DUMMYFUNCTION("""COMPUTED_VALUE"""),"8400122 - [closed] BRASSICA - MIX - flor (COL, Brasica)")</f>
        <v>8400122 - [closed] BRASSICA - MIX - flor (COL, Brasica)</v>
      </c>
    </row>
    <row r="352">
      <c r="A352" s="176"/>
      <c r="D352" s="176" t="str">
        <f>IFERROR(__xludf.DUMMYFUNCTION("""COMPUTED_VALUE"""),"8400121 - ANTHURIUM - MIX - flor (91400 Anthurium P5, 148668, 150298, 150299, 1445)")</f>
        <v>8400121 - ANTHURIUM - MIX - flor (91400 Anthurium P5, 148668, 150298, 150299, 1445)</v>
      </c>
    </row>
    <row r="353">
      <c r="A353" s="176"/>
      <c r="D353" s="176"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354">
      <c r="A354" s="176"/>
      <c r="D354" s="176" t="str">
        <f>IFERROR(__xludf.DUMMYFUNCTION("""COMPUTED_VALUE"""),"8400118 - [closed] HEDERA (HIEDRA) - rama (HIERV Hedera)")</f>
        <v>8400118 - [closed] HEDERA (HIEDRA) - rama (HIERV Hedera)</v>
      </c>
    </row>
    <row r="355">
      <c r="A355" s="176"/>
      <c r="D355" s="176" t="str">
        <f>IFERROR(__xludf.DUMMYFUNCTION("""COMPUTED_VALUE"""),"8400117 - [closed] ARALIA- hoja (ARAM ARALIA)")</f>
        <v>8400117 - [closed] ARALIA- hoja (ARAM ARALIA)</v>
      </c>
    </row>
    <row r="356">
      <c r="A356" s="176"/>
      <c r="D356" s="176" t="str">
        <f>IFERROR(__xludf.DUMMYFUNCTION("""COMPUTED_VALUE"""),"8400116 - [closed] ASPIDISTRA- hoja (ASPS ASPIDISTRA SUPER)")</f>
        <v>8400116 - [closed] ASPIDISTRA- hoja (ASPS ASPIDISTRA SUPER)</v>
      </c>
    </row>
    <row r="357">
      <c r="A357" s="176"/>
      <c r="D357" s="176" t="str">
        <f>IFERROR(__xludf.DUMMYFUNCTION("""COMPUTED_VALUE"""),"8400115 - [closed] MONSTERA- hoja (PHP Monstera)")</f>
        <v>8400115 - [closed] MONSTERA- hoja (PHP Monstera)</v>
      </c>
    </row>
    <row r="358">
      <c r="A358" s="176"/>
      <c r="D358" s="176" t="str">
        <f>IFERROR(__xludf.DUMMYFUNCTION("""COMPUTED_VALUE"""),"8400114 - PISTACHO - rama seca (LEN Pistacia, 2388)")</f>
        <v>8400114 - PISTACHO - rama seca (LEN Pistacia, 2388)</v>
      </c>
    </row>
    <row r="359">
      <c r="A359" s="176"/>
      <c r="D359" s="176" t="str">
        <f>IFERROR(__xludf.DUMMYFUNCTION("""COMPUTED_VALUE"""),"8400113 - [deleted] THUYA - rama (TUY THUYA)")</f>
        <v>8400113 - [deleted] THUYA - rama (TUY THUYA)</v>
      </c>
    </row>
    <row r="360">
      <c r="A360" s="176"/>
      <c r="D360" s="176" t="str">
        <f>IFERROR(__xludf.DUMMYFUNCTION("""COMPUTED_VALUE"""),"8400112 - ROSA FRUTETTO LARGA - flor (00572 ROSA FRUTETTO LARGO, 131343)")</f>
        <v>8400112 - ROSA FRUTETTO LARGA - flor (00572 ROSA FRUTETTO LARGO, 131343)</v>
      </c>
    </row>
    <row r="361">
      <c r="A361" s="176"/>
      <c r="D361" s="176" t="str">
        <f>IFERROR(__xludf.DUMMYFUNCTION("""COMPUTED_VALUE"""),"8400111 - LILIUM -  MIX -flor (00037, LA LILIUM MIX, 56628, 155900, 10006-3, 176884 LA Artichoke)")</f>
        <v>8400111 - LILIUM -  MIX -flor (00037, LA LILIUM MIX, 56628, 155900, 10006-3, 176884 LA Artichoke)</v>
      </c>
    </row>
    <row r="362">
      <c r="A362" s="176"/>
      <c r="D362" s="176" t="str">
        <f>IFERROR(__xludf.DUMMYFUNCTION("""COMPUTED_VALUE"""),"8400110 - LEUCOSPERNUM - flor (00082, Nutans  LEUCOSPERNUM)")</f>
        <v>8400110 - LEUCOSPERNUM - flor (00082, Nutans  LEUCOSPERNUM)</v>
      </c>
    </row>
    <row r="363">
      <c r="A363" s="176"/>
      <c r="D363" s="176" t="str">
        <f>IFERROR(__xludf.DUMMYFUNCTION("""COMPUTED_VALUE"""),"8400109 - PANICUM - herbacea (PANI PANICUM, 18810, 11413, 11413, 134666)")</f>
        <v>8400109 - PANICUM - herbacea (PANI PANICUM, 18810, 11413, 11413, 134666)</v>
      </c>
    </row>
    <row r="364">
      <c r="A364" s="176"/>
      <c r="D364" s="176"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365">
      <c r="A365" s="176"/>
      <c r="D365" s="176" t="str">
        <f>IFERROR(__xludf.DUMMYFUNCTION("""COMPUTED_VALUE"""),"8400107 - [closed] CRISANTEM HOLANDES green - flor (CRIHOL CRISANTEM verde)")</f>
        <v>8400107 - [closed] CRISANTEM HOLANDES green - flor (CRIHOL CRISANTEM verde)</v>
      </c>
    </row>
    <row r="366">
      <c r="A366" s="176"/>
      <c r="D366" s="176" t="str">
        <f>IFERROR(__xludf.DUMMYFUNCTION("""COMPUTED_VALUE"""),"8400106 - GLADIOL - flor (GLA GLADIOL blanco)")</f>
        <v>8400106 - GLADIOL - flor (GLA GLADIOL blanco)</v>
      </c>
    </row>
    <row r="367">
      <c r="A367" s="176"/>
      <c r="D367" s="176"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368">
      <c r="A368" s="176"/>
      <c r="D368" s="176"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369">
      <c r="A369" s="176"/>
      <c r="D369" s="176" t="str">
        <f>IFERROR(__xludf.DUMMYFUNCTION("""COMPUTED_VALUE"""),"8400103 - CLAVEL - MIX - flor (CLAC,164315, 168233, 52849, 194275, 184792 183980 141090, 80043, 161066, 128224, 106725, 181051, 142708, 144960, 160594, 181763,  CLAVFABR, 169424, 82513, 179212, 62829, 182401, 152336, 181062, 181329, 181175, 142916,142916,"&amp;" 180156, 117356, 178527, 154701, 142041, 153523, 155577, 154704, 142823, 157986, 28612, 133142,  125076, 170957, 151816, 122593 148656, 151855, 127686,CLAVFABLFU, 128227, 133129, 121991, 115795,115797,  63625, CLAVFARO, CLAVFAVD, CLAC25 clavel, CLAVFARO, "&amp;"CLAVFABLRO, 72981, 167391, 155058, 115797, 174080, 154702)")</f>
        <v>8400103 - CLAVEL - MIX - flor (CLAC,164315, 168233,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70">
      <c r="A370" s="176"/>
      <c r="D370" s="176" t="str">
        <f>IFERROR(__xludf.DUMMYFUNCTION("""COMPUTED_VALUE"""),"84001021 - VBOX paper box corazon set 3 (61848)")</f>
        <v>84001021 - VBOX paper box corazon set 3 (61848)</v>
      </c>
    </row>
    <row r="371">
      <c r="A371" s="176"/>
      <c r="D371" s="176" t="str">
        <f>IFERROR(__xludf.DUMMYFUNCTION("""COMPUTED_VALUE"""),"8400102 - [closed] Polianthes (Nardos) - flor ( Tuberosa)")</f>
        <v>8400102 - [closed] Polianthes (Nardos) - flor ( Tuberosa)</v>
      </c>
    </row>
    <row r="372">
      <c r="A372" s="176"/>
      <c r="D372" s="176" t="str">
        <f>IFERROR(__xludf.DUMMYFUNCTION("""COMPUTED_VALUE"""),"8400101 - [deleted] PHALAENOPSIS Mix T-10 - planta/35 ( ORCHID R3 T10, 177762, 125757, 178648)")</f>
        <v>8400101 - [deleted] PHALAENOPSIS Mix T-10 - planta/35 ( ORCHID R3 T10, 177762, 125757, 178648)</v>
      </c>
    </row>
    <row r="373">
      <c r="A373" s="176"/>
      <c r="D373" s="176"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374">
      <c r="A374" s="176"/>
      <c r="D374" s="176" t="str">
        <f>IFERROR(__xludf.DUMMYFUNCTION("""COMPUTED_VALUE"""),"8400099 - CENTRO DE MESA PEQUEÑA ( )")</f>
        <v>8400099 - CENTRO DE MESA PEQUEÑA ( )</v>
      </c>
    </row>
    <row r="375">
      <c r="A375" s="176"/>
      <c r="D375" s="176" t="str">
        <f>IFERROR(__xludf.DUMMYFUNCTION("""COMPUTED_VALUE"""),"8400098 - CENTRO DE MESA MEDIANA ( )")</f>
        <v>8400098 - CENTRO DE MESA MEDIANA ( )</v>
      </c>
    </row>
    <row r="376">
      <c r="A376" s="176"/>
      <c r="D376" s="176" t="str">
        <f>IFERROR(__xludf.DUMMYFUNCTION("""COMPUTED_VALUE"""),"8400097 - CALABAZA PEQUEÑA - unidad ( CARBCAVA, 29002)")</f>
        <v>8400097 - CALABAZA PEQUEÑA - unidad ( CARBCAVA, 29002)</v>
      </c>
    </row>
    <row r="377">
      <c r="A377" s="176"/>
      <c r="D377" s="176" t="str">
        <f>IFERROR(__xludf.DUMMYFUNCTION("""COMPUTED_VALUE"""),"8400096 - [closed] CALABAZA GRANDE - unidad ( CARB10)")</f>
        <v>8400096 - [closed] CALABAZA GRANDE - unidad ( CARB10)</v>
      </c>
    </row>
    <row r="378">
      <c r="A378" s="176"/>
      <c r="D378" s="176" t="str">
        <f>IFERROR(__xludf.DUMMYFUNCTION("""COMPUTED_VALUE"""),"8400095 - RHIPSALIS T12 LARGO - planta/39 ( PRHIP12, 6 RHIPHE17H, RH19)")</f>
        <v>8400095 - RHIPSALIS T12 LARGO - planta/39 ( PRHIP12, 6 RHIPHE17H, RH19)</v>
      </c>
    </row>
    <row r="379">
      <c r="A379" s="176"/>
      <c r="D379" s="176" t="str">
        <f>IFERROR(__xludf.DUMMYFUNCTION("""COMPUTED_VALUE"""),"8400094 - SEDUM - planta/23 ( PSEDU22, SED-1 )")</f>
        <v>8400094 - SEDUM - planta/23 ( PSEDU22, SED-1 )</v>
      </c>
    </row>
    <row r="380">
      <c r="A380" s="176"/>
      <c r="D380" s="176" t="str">
        <f>IFERROR(__xludf.DUMMYFUNCTION("""COMPUTED_VALUE"""),"8400093 - [closed] CALLISIA T22 - planta/20 ( PCALLI22)")</f>
        <v>8400093 - [closed] CALLISIA T22 - planta/20 ( PCALLI22)</v>
      </c>
    </row>
    <row r="381">
      <c r="A381" s="176"/>
      <c r="D381" s="176" t="str">
        <f>IFERROR(__xludf.DUMMYFUNCTION("""COMPUTED_VALUE"""),"8400092 - RHIPSALIS T20 - planta/45 ( PRHIP20, RHIPM15, LEBO17, RHIPM15H)")</f>
        <v>8400092 - RHIPSALIS T20 - planta/45 ( PRHIP20, RHIPM15, LEBO17, RHIPM15H)</v>
      </c>
    </row>
    <row r="382">
      <c r="A382" s="176"/>
      <c r="D382" s="176" t="str">
        <f>IFERROR(__xludf.DUMMYFUNCTION("""COMPUTED_VALUE"""),"8400091 - ALOCASIA T21 - Gageana - planta/33 ( ALOCASIA G)")</f>
        <v>8400091 - ALOCASIA T21 - Gageana - planta/33 ( ALOCASIA G)</v>
      </c>
    </row>
    <row r="383">
      <c r="A383" s="176"/>
      <c r="D383" s="176" t="str">
        <f>IFERROR(__xludf.DUMMYFUNCTION("""COMPUTED_VALUE"""),"8400090 - MUEHLENBECKIA - planta/12 ( PMUEH22, MUB-22)")</f>
        <v>8400090 - MUEHLENBECKIA - planta/12 ( PMUEH22, MUB-22)</v>
      </c>
    </row>
    <row r="384">
      <c r="A384" s="176"/>
      <c r="D384" s="176" t="str">
        <f>IFERROR(__xludf.DUMMYFUNCTION("""COMPUTED_VALUE"""),"8400089 - DICHONDRA - rama seca ( PDICH22)")</f>
        <v>8400089 - DICHONDRA - rama seca ( PDICH22)</v>
      </c>
    </row>
    <row r="385">
      <c r="A385" s="176"/>
      <c r="D385" s="176" t="str">
        <f>IFERROR(__xludf.DUMMYFUNCTION("""COMPUTED_VALUE"""),"8400088 - [deleted] FICUS - planta/65 ( FIC)")</f>
        <v>8400088 - [deleted] FICUS - planta/65 ( FIC)</v>
      </c>
    </row>
    <row r="386">
      <c r="A386" s="176"/>
      <c r="D386" s="176" t="str">
        <f>IFERROR(__xludf.DUMMYFUNCTION("""COMPUTED_VALUE"""),"8400087 - HELECHO T12 - planta/25 (HEL 8400087, 158872)")</f>
        <v>8400087 - HELECHO T12 - planta/25 (HEL 8400087, 158872)</v>
      </c>
    </row>
    <row r="387">
      <c r="A387" s="176"/>
      <c r="D387" s="176" t="str">
        <f>IFERROR(__xludf.DUMMYFUNCTION("""COMPUTED_VALUE"""),"8400086 - RHIPSALIS T10 - planta /30 ( RIP)")</f>
        <v>8400086 - RHIPSALIS T10 - planta /30 ( RIP)</v>
      </c>
    </row>
    <row r="388">
      <c r="A388" s="176"/>
      <c r="D388" s="176" t="str">
        <f>IFERROR(__xludf.DUMMYFUNCTION("""COMPUTED_VALUE"""),"8400085 - STRELITZIA T14 - planta/50 ( STE)")</f>
        <v>8400085 - STRELITZIA T14 - planta/50 ( STE)</v>
      </c>
    </row>
    <row r="389">
      <c r="A389" s="176"/>
      <c r="D389" s="176" t="str">
        <f>IFERROR(__xludf.DUMMYFUNCTION("""COMPUTED_VALUE"""),"8400084 - MARANTHA MIX - planta/55 ( )")</f>
        <v>8400084 - MARANTHA MIX - planta/55 ( )</v>
      </c>
    </row>
    <row r="390">
      <c r="A390" s="176"/>
      <c r="D390" s="176" t="str">
        <f>IFERROR(__xludf.DUMMYFUNCTION("""COMPUTED_VALUE"""),"8400083 - [closed] PAPEROMIA MIX - planta/18 ( )")</f>
        <v>8400083 - [closed] PAPEROMIA MIX - planta/18 ( )</v>
      </c>
    </row>
    <row r="391">
      <c r="A391" s="176"/>
      <c r="D391" s="176" t="str">
        <f>IFERROR(__xludf.DUMMYFUNCTION("""COMPUTED_VALUE"""),"8400082 - FLOR ARTIFICIAL GRANDE ( )")</f>
        <v>8400082 - FLOR ARTIFICIAL GRANDE ( )</v>
      </c>
    </row>
    <row r="392">
      <c r="A392" s="176"/>
      <c r="D392" s="176" t="str">
        <f>IFERROR(__xludf.DUMMYFUNCTION("""COMPUTED_VALUE"""),"8400081 - FLOR ARTIFICIAL PEQUEÑO ( )")</f>
        <v>8400081 - FLOR ARTIFICIAL PEQUEÑO ( )</v>
      </c>
    </row>
    <row r="393">
      <c r="A393" s="176"/>
      <c r="D393" s="176" t="str">
        <f>IFERROR(__xludf.DUMMYFUNCTION("""COMPUTED_VALUE"""),"8400080 - [deleted] RS ROSA - MIX ( RMONTMA)")</f>
        <v>8400080 - [deleted] RS ROSA - MIX ( RMONTMA)</v>
      </c>
    </row>
    <row r="394">
      <c r="A394" s="176"/>
      <c r="D394" s="176" t="str">
        <f>IFERROR(__xludf.DUMMYFUNCTION("""COMPUTED_VALUE"""),"8400079 - [closed] FICUS T19 - Shiveriana - planta/25 ( FSH19)")</f>
        <v>8400079 - [closed] FICUS T19 - Shiveriana - planta/25 ( FSH19)</v>
      </c>
    </row>
    <row r="395">
      <c r="A395" s="176"/>
      <c r="D395" s="176" t="str">
        <f>IFERROR(__xludf.DUMMYFUNCTION("""COMPUTED_VALUE"""),"8400078 - ANTHURIUM T12 CON DISCUENTO  - planta ( PL12, BAM 12, PIN12, BAM 12, 79033, PINK12, MICRO12, 166873)")</f>
        <v>8400078 - ANTHURIUM T12 CON DISCUENTO  - planta ( PL12, BAM 12, PIN12, BAM 12, 79033, PINK12, MICRO12, 166873)</v>
      </c>
    </row>
    <row r="396">
      <c r="A396" s="176"/>
      <c r="D396" s="176" t="str">
        <f>IFERROR(__xludf.DUMMYFUNCTION("""COMPUTED_VALUE"""),"8400077 - PHILODENDRON  - planta/124 ( PHIPP)")</f>
        <v>8400077 - PHILODENDRON  - planta/124 ( PHIPP)</v>
      </c>
    </row>
    <row r="397">
      <c r="A397" s="176"/>
      <c r="D397" s="176" t="str">
        <f>IFERROR(__xludf.DUMMYFUNCTION("""COMPUTED_VALUE"""),"8400076 - ANTHURIUM T12 - planta/15 (TARPIN, TARROY ANTURIUM TARRINA MIX)")</f>
        <v>8400076 - ANTHURIUM T12 - planta/15 (TARPIN, TARROY ANTURIUM TARRINA MIX)</v>
      </c>
    </row>
    <row r="398">
      <c r="A398" s="176"/>
      <c r="D398" s="176" t="str">
        <f>IFERROR(__xludf.DUMMYFUNCTION("""COMPUTED_VALUE"""),"8400075 - PHILODENDRON MIX - planta/65 ( PHIAU75)")</f>
        <v>8400075 - PHILODENDRON MIX - planta/65 ( PHIAU75)</v>
      </c>
    </row>
    <row r="399">
      <c r="A399" s="176"/>
      <c r="D399" s="176" t="str">
        <f>IFERROR(__xludf.DUMMYFUNCTION("""COMPUTED_VALUE"""),"8400074 - [deleted] PHILODENDRUM - Hastatum Grey - planta/65  ( PHIHAS5)")</f>
        <v>8400074 - [deleted] PHILODENDRUM - Hastatum Grey - planta/65  ( PHIHAS5)</v>
      </c>
    </row>
    <row r="400">
      <c r="A400" s="176"/>
      <c r="D400" s="176" t="str">
        <f>IFERROR(__xludf.DUMMYFUNCTION("""COMPUTED_VALUE"""),"8400073 - ZAMIOCULCA T24 - Zamiifolia - planta/ 55 ( ZAM24, 186709)")</f>
        <v>8400073 - ZAMIOCULCA T24 - Zamiifolia - planta/ 55 ( ZAM24, 186709)</v>
      </c>
    </row>
    <row r="401">
      <c r="A401" s="176"/>
      <c r="D401" s="176" t="str">
        <f>IFERROR(__xludf.DUMMYFUNCTION("""COMPUTED_VALUE"""),"8400072 - [closed] PHALAENOPSIS T15 - planta/55 ( PHALM15)")</f>
        <v>8400072 - [closed] PHALAENOPSIS T15 - planta/55 ( PHALM15)</v>
      </c>
    </row>
    <row r="402">
      <c r="A402" s="176"/>
      <c r="D402" s="176" t="str">
        <f>IFERROR(__xludf.DUMMYFUNCTION("""COMPUTED_VALUE"""),"8400071 - GUZMANIA T13 - Hope - planta/25 ( GUZHO13)")</f>
        <v>8400071 - GUZMANIA T13 - Hope - planta/25 ( GUZHO13)</v>
      </c>
    </row>
    <row r="403">
      <c r="A403" s="176"/>
      <c r="D403" s="176" t="str">
        <f>IFERROR(__xludf.DUMMYFUNCTION("""COMPUTED_VALUE"""),"8400070 - [deleted] SPATHIPHYLLUM T17 - Tarrina - planta/30 ( SPAT17)")</f>
        <v>8400070 - [deleted] SPATHIPHYLLUM T17 - Tarrina - planta/30 ( SPAT17)</v>
      </c>
    </row>
    <row r="404">
      <c r="A404" s="176"/>
      <c r="D404" s="176" t="str">
        <f>IFERROR(__xludf.DUMMYFUNCTION("""COMPUTED_VALUE"""),"8400069 - SPATHIPHYLLUM T17 - planta/25 ( SPA17, 104888, 144928, 175197)")</f>
        <v>8400069 - SPATHIPHYLLUM T17 - planta/25 ( SPA17, 104888, 144928, 175197)</v>
      </c>
    </row>
    <row r="405">
      <c r="A405" s="176"/>
      <c r="D405" s="176" t="str">
        <f>IFERROR(__xludf.DUMMYFUNCTION("""COMPUTED_VALUE"""),"8400068 - ANTHURIUM T21 - planta/42 ( ANTH21)")</f>
        <v>8400068 - ANTHURIUM T21 - planta/42 ( ANTH21)</v>
      </c>
    </row>
    <row r="406">
      <c r="A406" s="176"/>
      <c r="D406" s="176" t="str">
        <f>IFERROR(__xludf.DUMMYFUNCTION("""COMPUTED_VALUE"""),"8400067 - [closed] ALOCASIA T17- Polly - planta/19 ( ALOCASIA Polly)")</f>
        <v>8400067 - [closed] ALOCASIA T17- Polly - planta/19 ( ALOCASIA Polly)</v>
      </c>
    </row>
    <row r="407">
      <c r="A407" s="176"/>
      <c r="D407" s="176" t="str">
        <f>IFERROR(__xludf.DUMMYFUNCTION("""COMPUTED_VALUE"""),"8400066 - [closed] BILBERGIA - planta/35 ( AECHMEA)")</f>
        <v>8400066 - [closed] BILBERGIA - planta/35 ( AECHMEA)</v>
      </c>
    </row>
    <row r="408">
      <c r="A408" s="176"/>
      <c r="D408" s="176" t="str">
        <f>IFERROR(__xludf.DUMMYFUNCTION("""COMPUTED_VALUE"""),"8400065 - [closed] GUZMANIA T13 - planta/30 ( GUZM13, PGUZ)")</f>
        <v>8400065 - [closed] GUZMANIA T13 - planta/30 ( GUZM13, PGUZ)</v>
      </c>
    </row>
    <row r="409">
      <c r="A409" s="176"/>
      <c r="D409" s="176" t="str">
        <f>IFERROR(__xludf.DUMMYFUNCTION("""COMPUTED_VALUE"""),"8400064 - ANTHURIUM T17 - planta/25 ( ANTHM17, 116712)")</f>
        <v>8400064 - ANTHURIUM T17 - planta/25 ( ANTHM17, 116712)</v>
      </c>
    </row>
    <row r="410">
      <c r="A410" s="176"/>
      <c r="D410" s="176" t="str">
        <f>IFERROR(__xludf.DUMMYFUNCTION("""COMPUTED_VALUE"""),"8400063 - CYMBIDIUM 1V - planta/25 ( CYM1V, 95510)")</f>
        <v>8400063 - CYMBIDIUM 1V - planta/25 ( CYM1V, 95510)</v>
      </c>
    </row>
    <row r="411">
      <c r="A411" s="176"/>
      <c r="D411" s="176" t="str">
        <f>IFERROR(__xludf.DUMMYFUNCTION("""COMPUTED_VALUE"""),"8400062 - CYMBIDIUM 3V - planta/39 ( CYM3V, 76997 )")</f>
        <v>8400062 - CYMBIDIUM 3V - planta/39 ( CYM3V, 76997 )</v>
      </c>
    </row>
    <row r="412">
      <c r="A412" s="176"/>
      <c r="D412" s="176" t="str">
        <f>IFERROR(__xludf.DUMMYFUNCTION("""COMPUTED_VALUE"""),"8400061 - Cilindro 30x15cm canelado gris CL 3015G ( CL3015G, 165749)")</f>
        <v>8400061 - Cilindro 30x15cm canelado gris CL 3015G ( CL3015G, 165749)</v>
      </c>
    </row>
    <row r="413">
      <c r="A413" s="176"/>
      <c r="D413" s="176" t="str">
        <f>IFERROR(__xludf.DUMMYFUNCTION("""COMPUTED_VALUE"""),"8400060 - Cilindro 20x15cm canelado gris CL 2015G ( CL2015G, 165672)")</f>
        <v>8400060 - Cilindro 20x15cm canelado gris CL 2015G ( CL2015G, 165672)</v>
      </c>
    </row>
    <row r="414">
      <c r="A414" s="176"/>
      <c r="D414" s="176" t="str">
        <f>IFERROR(__xludf.DUMMYFUNCTION("""COMPUTED_VALUE"""),"8400059 - Jarrón redonda pequeña boca cerrada JA 2225 ( JA2225)")</f>
        <v>8400059 - Jarrón redonda pequeña boca cerrada JA 2225 ( JA2225)</v>
      </c>
    </row>
    <row r="415">
      <c r="A415" s="176"/>
      <c r="D415" s="176" t="str">
        <f>IFERROR(__xludf.DUMMYFUNCTION("""COMPUTED_VALUE"""),"8400058 - Cilindro 20x18cm acanalado gris CL 2018G ( CL2018G)")</f>
        <v>8400058 - Cilindro 20x18cm acanalado gris CL 2018G ( CL2018G)</v>
      </c>
    </row>
    <row r="416">
      <c r="A416" s="176"/>
      <c r="D416" s="176" t="str">
        <f>IFERROR(__xludf.DUMMYFUNCTION("""COMPUTED_VALUE"""),"8400057 - Jarrón redonda pequeña negra JA 1720N ( JA1720N)")</f>
        <v>8400057 - Jarrón redonda pequeña negra JA 1720N ( JA1720N)</v>
      </c>
    </row>
    <row r="417">
      <c r="A417" s="176"/>
      <c r="D417" s="176" t="str">
        <f>IFERROR(__xludf.DUMMYFUNCTION("""COMPUTED_VALUE"""),"8400056 - Jarrón redonda grande negra JA 2225N ( JA2225N)")</f>
        <v>8400056 - Jarrón redonda grande negra JA 2225N ( JA2225N)</v>
      </c>
    </row>
    <row r="418">
      <c r="A418" s="176"/>
      <c r="D418" s="176" t="str">
        <f>IFERROR(__xludf.DUMMYFUNCTION("""COMPUTED_VALUE"""),"8400055 - Jarrón redonda grande boca cerrada JA 2630 ( JA2630)")</f>
        <v>8400055 - Jarrón redonda grande boca cerrada JA 2630 ( JA2630)</v>
      </c>
    </row>
    <row r="419">
      <c r="A419" s="176"/>
      <c r="D419" s="176" t="str">
        <f>IFERROR(__xludf.DUMMYFUNCTION("""COMPUTED_VALUE"""),"8400054 - Cilindro transparente 25x18cm CL 2518 ( CL2518)")</f>
        <v>8400054 - Cilindro transparente 25x18cm CL 2518 ( CL2518)</v>
      </c>
    </row>
    <row r="420">
      <c r="A420" s="176"/>
      <c r="D420" s="176" t="str">
        <f>IFERROR(__xludf.DUMMYFUNCTION("""COMPUTED_VALUE"""),"8400053 - Cilindro 20x20 CL 2020 transparente ( CL2020)")</f>
        <v>8400053 - Cilindro 20x20 CL 2020 transparente ( CL2020)</v>
      </c>
    </row>
    <row r="421">
      <c r="A421" s="176"/>
      <c r="D421" s="176" t="str">
        <f>IFERROR(__xludf.DUMMYFUNCTION("""COMPUTED_VALUE"""),"8400052 - Base Rodona BR 0830 ( BR0830)")</f>
        <v>8400052 - Base Rodona BR 0830 ( BR0830)</v>
      </c>
    </row>
    <row r="422">
      <c r="A422" s="176"/>
      <c r="D422" s="176" t="str">
        <f>IFERROR(__xludf.DUMMYFUNCTION("""COMPUTED_VALUE"""),"8400051 - Base Rodona BR 0825 25*8cm ( BR0825)")</f>
        <v>8400051 - Base Rodona BR 0825 25*8cm ( BR0825)</v>
      </c>
    </row>
    <row r="423">
      <c r="A423" s="176"/>
      <c r="D423" s="176" t="str">
        <f>IFERROR(__xludf.DUMMYFUNCTION("""COMPUTED_VALUE"""),"8400050 - Base Rodona BR 1530 15x30cm ( BR1530)")</f>
        <v>8400050 - Base Rodona BR 1530 15x30cm ( BR1530)</v>
      </c>
    </row>
    <row r="424">
      <c r="A424" s="176"/>
      <c r="D424" s="176" t="str">
        <f>IFERROR(__xludf.DUMMYFUNCTION("""COMPUTED_VALUE"""),"8400047 - Base Rodona BR 1020 20*10cm ( BR 1020)")</f>
        <v>8400047 - Base Rodona BR 1020 20*10cm ( BR 1020)</v>
      </c>
    </row>
    <row r="425">
      <c r="A425" s="176"/>
      <c r="D425" s="176" t="str">
        <f>IFERROR(__xludf.DUMMYFUNCTION("""COMPUTED_VALUE"""),"8400046 - Jarrón de cristal alto grande 90 cm ( VARIS)")</f>
        <v>8400046 - Jarrón de cristal alto grande 90 cm ( VARIS)</v>
      </c>
    </row>
    <row r="426">
      <c r="A426" s="176"/>
      <c r="D426" s="176" t="str">
        <f>IFERROR(__xludf.DUMMYFUNCTION("""COMPUTED_VALUE"""),"8400045 - Medinilla 104 cm Rosa ( LID0036)")</f>
        <v>8400045 - Medinilla 104 cm Rosa ( LID0036)</v>
      </c>
    </row>
    <row r="427">
      <c r="A427" s="176"/>
      <c r="D427" s="176" t="str">
        <f>IFERROR(__xludf.DUMMYFUNCTION("""COMPUTED_VALUE"""),"8400044 - MACETA CERAMICA - Roller ( CERAMICA)")</f>
        <v>8400044 - MACETA CERAMICA - Roller ( CERAMICA)</v>
      </c>
    </row>
    <row r="428">
      <c r="A428" s="176"/>
      <c r="D428" s="176" t="str">
        <f>IFERROR(__xludf.DUMMYFUNCTION("""COMPUTED_VALUE"""),"8400043 - [closed] ZINNIA - flor ( )")</f>
        <v>8400043 - [closed] ZINNIA - flor ( )</v>
      </c>
    </row>
    <row r="429">
      <c r="A429" s="176"/>
      <c r="D429" s="176" t="str">
        <f>IFERROR(__xludf.DUMMYFUNCTION("""COMPUTED_VALUE"""),"8400042 - TAGETE - flor ( TAGE)")</f>
        <v>8400042 - TAGETE - flor ( TAGE)</v>
      </c>
    </row>
    <row r="430">
      <c r="A430" s="176"/>
      <c r="D430" s="176" t="str">
        <f>IFERROR(__xludf.DUMMYFUNCTION("""COMPUTED_VALUE"""),"8400041 - SOLIDAGO - herbacea (148542 )")</f>
        <v>8400041 - SOLIDAGO - herbacea (148542 )</v>
      </c>
    </row>
    <row r="431">
      <c r="A431" s="176"/>
      <c r="D431" s="176" t="str">
        <f>IFERROR(__xludf.DUMMYFUNCTION("""COMPUTED_VALUE"""),"8400040 - SETARIA - herbacea ( 92606)")</f>
        <v>8400040 - SETARIA - herbacea ( 92606)</v>
      </c>
    </row>
    <row r="432">
      <c r="A432" s="176"/>
      <c r="D432" s="176" t="str">
        <f>IFERROR(__xludf.DUMMYFUNCTION("""COMPUTED_VALUE"""),"8400039 - [closed] SCHEFFLERA - rama ( )")</f>
        <v>8400039 - [closed] SCHEFFLERA - rama ( )</v>
      </c>
    </row>
    <row r="433">
      <c r="A433" s="176"/>
      <c r="D433" s="176" t="str">
        <f>IFERROR(__xludf.DUMMYFUNCTION("""COMPUTED_VALUE"""),"8400038 - ROBLE COLOR - MIX - rama ( ROBLE tenido, ALZICO, Alzina, ROURE )")</f>
        <v>8400038 - ROBLE COLOR - MIX - rama ( ROBLE tenido, ALZICO, Alzina, ROURE )</v>
      </c>
    </row>
    <row r="434">
      <c r="A434" s="176"/>
      <c r="D434" s="176" t="str">
        <f>IFERROR(__xludf.DUMMYFUNCTION("""COMPUTED_VALUE"""),"8400037 - PIMIENTA FALSA (SCHINUS MOLLE) - rama ( )")</f>
        <v>8400037 - PIMIENTA FALSA (SCHINUS MOLLE) - rama ( )</v>
      </c>
    </row>
    <row r="435">
      <c r="A435" s="176"/>
      <c r="D435" s="176" t="str">
        <f>IFERROR(__xludf.DUMMYFUNCTION("""COMPUTED_VALUE"""),"8400036 - HOJAS SECAS - MIX -rama ( )")</f>
        <v>8400036 - HOJAS SECAS - MIX -rama ( )</v>
      </c>
    </row>
    <row r="436">
      <c r="A436" s="176"/>
      <c r="D436" s="176" t="str">
        <f>IFERROR(__xludf.DUMMYFUNCTION("""COMPUTED_VALUE"""),"8400034 - [closed] Lisianthus Nacional - MIX - flor ( 6371)")</f>
        <v>8400034 - [closed] Lisianthus Nacional - MIX - flor ( 6371)</v>
      </c>
    </row>
    <row r="437">
      <c r="A437" s="176"/>
      <c r="D437" s="176" t="str">
        <f>IFERROR(__xludf.DUMMYFUNCTION("""COMPUTED_VALUE"""),"8400033 - [closed] LILIUM AMARILLO - flor ( )")</f>
        <v>8400033 - [closed] LILIUM AMARILLO - flor ( )</v>
      </c>
    </row>
    <row r="438">
      <c r="A438" s="176"/>
      <c r="D438" s="176" t="str">
        <f>IFERROR(__xludf.DUMMYFUNCTION("""COMPUTED_VALUE"""),"8400032 - KNIPHOBIA NARANJA - flor ( 132539)")</f>
        <v>8400032 - KNIPHOBIA NARANJA - flor ( 132539)</v>
      </c>
    </row>
    <row r="439">
      <c r="A439" s="176"/>
      <c r="D439" s="176" t="str">
        <f>IFERROR(__xludf.DUMMYFUNCTION("""COMPUTED_VALUE"""),"8400031 - [closed] KNIPHOBIA  AMARILLO - flor ( KNIPHOBIA)")</f>
        <v>8400031 - [closed] KNIPHOBIA  AMARILLO - flor ( KNIPHOBIA)</v>
      </c>
    </row>
    <row r="440">
      <c r="A440" s="176"/>
      <c r="D440" s="176" t="str">
        <f>IFERROR(__xludf.DUMMYFUNCTION("""COMPUTED_VALUE"""),"8400028 - CAJA OVAL NEGRA 26*20cm ( )")</f>
        <v>8400028 - CAJA OVAL NEGRA 26*20cm ( )</v>
      </c>
    </row>
    <row r="441">
      <c r="A441" s="176"/>
      <c r="D441" s="176" t="str">
        <f>IFERROR(__xludf.DUMMYFUNCTION("""COMPUTED_VALUE"""),"8400027 - HORTENSIA NACIONAL - flor (HORTNA 8400027, 180535, 160767 186670, 172555, 185963)")</f>
        <v>8400027 - HORTENSIA NACIONAL - flor (HORTNA 8400027, 180535, 160767 186670, 172555, 185963)</v>
      </c>
    </row>
    <row r="442">
      <c r="A442" s="176"/>
      <c r="D442" s="176" t="str">
        <f>IFERROR(__xludf.DUMMYFUNCTION("""COMPUTED_VALUE"""),"8400026 - [closed] STRELITZIA - hoja ( )")</f>
        <v>8400026 - [closed] STRELITZIA - hoja ( )</v>
      </c>
    </row>
    <row r="443">
      <c r="A443" s="176"/>
      <c r="D443" s="176" t="str">
        <f>IFERROR(__xludf.DUMMYFUNCTION("""COMPUTED_VALUE"""),"8400025 - HYPERICUM - rama ( HYPE70RO, HYPE70VD, 56376 , 194060)")</f>
        <v>8400025 - HYPERICUM - rama ( HYPE70RO, HYPE70VD, 56376 , 194060)</v>
      </c>
    </row>
    <row r="444">
      <c r="A444" s="176"/>
      <c r="D444" s="176" t="str">
        <f>IFERROR(__xludf.DUMMYFUNCTION("""COMPUTED_VALUE"""),"8400024 - HEDERA (HIEDRA) - MINI - rama (HIERV HEDERA, 80014, Arborea)")</f>
        <v>8400024 - HEDERA (HIEDRA) - MINI - rama (HIERV HEDERA, 80014, Arborea)</v>
      </c>
    </row>
    <row r="445">
      <c r="A445" s="176"/>
      <c r="D445" s="176" t="str">
        <f>IFERROR(__xludf.DUMMYFUNCTION("""COMPUTED_VALUE"""),"8400023 - [closed] FRUTO ROSAL -rama ( )")</f>
        <v>8400023 - [closed] FRUTO ROSAL -rama ( )</v>
      </c>
    </row>
    <row r="446">
      <c r="A446" s="176"/>
      <c r="D446" s="176" t="str">
        <f>IFERROR(__xludf.DUMMYFUNCTION("""COMPUTED_VALUE"""),"8400022 - EUCALIPTO - Populus - rama (EUCPO EUCALIPTO, 53668, 137459, 165186)")</f>
        <v>8400022 - EUCALIPTO - Populus - rama (EUCPO EUCALIPTO, 53668, 137459, 165186)</v>
      </c>
    </row>
    <row r="447">
      <c r="A447" s="176"/>
      <c r="D447" s="176" t="str">
        <f>IFERROR(__xludf.DUMMYFUNCTION("""COMPUTED_VALUE"""),"8400021 - EUCALIPTO - Salvaje - rama ( EUCAFLVE)")</f>
        <v>8400021 - EUCALIPTO - Salvaje - rama ( EUCAFLVE)</v>
      </c>
    </row>
    <row r="448">
      <c r="A448" s="176"/>
      <c r="D448" s="176" t="str">
        <f>IFERROR(__xludf.DUMMYFUNCTION("""COMPUTED_VALUE"""),"8400020 - EUCALIPTO - Cinerea - rama (EUCU, 81144, KUCU  EUCALIPTO CINEREA TEÑIDO, EUCB )")</f>
        <v>8400020 - EUCALIPTO - Cinerea - rama (EUCU, 81144, KUCU  EUCALIPTO CINEREA TEÑIDO, EUCB )</v>
      </c>
    </row>
    <row r="449">
      <c r="A449" s="176"/>
      <c r="D449" s="176" t="str">
        <f>IFERROR(__xludf.DUMMYFUNCTION("""COMPUTED_VALUE"""),"8400019 - ERICA - rama ( ERICNA)")</f>
        <v>8400019 - ERICA - rama ( ERICNA)</v>
      </c>
    </row>
    <row r="450">
      <c r="A450" s="176"/>
      <c r="D450" s="176" t="str">
        <f>IFERROR(__xludf.DUMMYFUNCTION("""COMPUTED_VALUE"""),"8400018 - [closed] DALIA SALMO - flor ( DALISAL)")</f>
        <v>8400018 - [closed] DALIA SALMO - flor ( DALISAL)</v>
      </c>
    </row>
    <row r="451">
      <c r="A451" s="176"/>
      <c r="D451" s="176" t="str">
        <f>IFERROR(__xludf.DUMMYFUNCTION("""COMPUTED_VALUE"""),"8400017 - [closed] DALIA ROSA - flor ( DALIROS)")</f>
        <v>8400017 - [closed] DALIA ROSA - flor ( DALIROS)</v>
      </c>
    </row>
    <row r="452">
      <c r="A452" s="176"/>
      <c r="D452" s="176" t="str">
        <f>IFERROR(__xludf.DUMMYFUNCTION("""COMPUTED_VALUE"""),"8400016 - DALIA - flor ( DALIGR, 180146, 134023, DALIA)")</f>
        <v>8400016 - DALIA - flor ( DALIGR, 180146, 134023, DALIA)</v>
      </c>
    </row>
    <row r="453">
      <c r="A453" s="176"/>
      <c r="D453" s="176" t="str">
        <f>IFERROR(__xludf.DUMMYFUNCTION("""COMPUTED_VALUE"""),"8400015 - [closed] DALIA FUEGO - flor ( DALIFUE)")</f>
        <v>8400015 - [closed] DALIA FUEGO - flor ( DALIFUE)</v>
      </c>
    </row>
    <row r="454">
      <c r="A454" s="176"/>
      <c r="D454" s="176" t="str">
        <f>IFERROR(__xludf.DUMMYFUNCTION("""COMPUTED_VALUE"""),"8400014 - [closed] DALIA FUCSIA - flor ( DALIFUC)")</f>
        <v>8400014 - [closed] DALIA FUCSIA - flor ( DALIFUC)</v>
      </c>
    </row>
    <row r="455">
      <c r="A455" s="176"/>
      <c r="D455" s="176" t="str">
        <f>IFERROR(__xludf.DUMMYFUNCTION("""COMPUTED_VALUE"""),"8400013 - CYMBIDIUM - tallo corto (CYMB CYMBIDIUM de corte, 130470, 171088, 36809, 95419)")</f>
        <v>8400013 - CYMBIDIUM - tallo corto (CYMB CYMBIDIUM de corte, 130470, 171088, 36809, 95419)</v>
      </c>
    </row>
    <row r="456">
      <c r="A456" s="176"/>
      <c r="D456" s="176" t="str">
        <f>IFERROR(__xludf.DUMMYFUNCTION("""COMPUTED_VALUE"""),"8400012 - CYMBIDIUM - tallo ( 51564, 50348, 103317, 99062)")</f>
        <v>8400012 - CYMBIDIUM - tallo ( 51564, 50348, 103317, 99062)</v>
      </c>
    </row>
    <row r="457">
      <c r="A457" s="176"/>
      <c r="D457" s="176" t="str">
        <f>IFERROR(__xludf.DUMMYFUNCTION("""COMPUTED_VALUE"""),"8400011 - CRISANTEMO UNIFLOR - MIX -flor (CRISUNHOMA, 177231,  5768, 10286  CRISANTEM UNIFLOR MIX)")</f>
        <v>8400011 - CRISANTEMO UNIFLOR - MIX -flor (CRISUNHOMA, 177231,  5768, 10286  CRISANTEM UNIFLOR MIX)</v>
      </c>
    </row>
    <row r="458">
      <c r="A458" s="176"/>
      <c r="D458" s="176" t="str">
        <f>IFERROR(__xludf.DUMMYFUNCTION("""COMPUTED_VALUE"""),"8400010 - CRISANTEMO RAMI- MIX -flor (82639, 18280 , 14614, 124868, 14614, 135917 180001 185558, 147428, 195469, 194670, 194670, 170728, CRISHO, 62103,148337, 62103,  148337, 142527, 163988, 148337, 180841, 83581, 130063, 95338, 142529, 181030, 63294, 173"&amp;"419, 97635, 180001, 42478, 179357,  34351, CRIS, 99648, 56519, CRISHOBACH, CRISHOSOUV, CRISUNHORO, CRIN  CRISANTEM RAMO MIX,  5368,  100928, )")</f>
        <v>8400010 - CRISANTEMO RAMI- MIX -flor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v>
      </c>
    </row>
    <row r="459">
      <c r="A459" s="176"/>
      <c r="D459" s="176" t="str">
        <f>IFERROR(__xludf.DUMMYFUNCTION("""COMPUTED_VALUE"""),"8400009 - COSMOS -flor ( 137093)")</f>
        <v>8400009 - COSMOS -flor ( 137093)</v>
      </c>
    </row>
    <row r="460">
      <c r="A460" s="176"/>
      <c r="D460" s="176" t="str">
        <f>IFERROR(__xludf.DUMMYFUNCTION("""COMPUTED_VALUE"""),"8400006 - [closed] CANYES - herbacea ( )")</f>
        <v>8400006 - [closed] CANYES - herbacea ( )</v>
      </c>
    </row>
    <row r="461">
      <c r="A461" s="176"/>
      <c r="D461" s="176" t="str">
        <f>IFERROR(__xludf.DUMMYFUNCTION("""COMPUTED_VALUE"""),"8400004 - AMMI - Majus/Amarillo - herbacea ( AMI, ANETUM)")</f>
        <v>8400004 - AMMI - Majus/Amarillo - herbacea ( AMI, ANETUM)</v>
      </c>
    </row>
    <row r="462">
      <c r="A462" s="176"/>
      <c r="D462" s="176" t="str">
        <f>IFERROR(__xludf.DUMMYFUNCTION("""COMPUTED_VALUE"""),"8400003 - [closed] AMMI - Majus - herbacea (DILLEX  8400003)")</f>
        <v>8400003 - [closed] AMMI - Majus - herbacea (DILLEX  8400003)</v>
      </c>
    </row>
    <row r="463">
      <c r="A463" s="176"/>
      <c r="D463" s="176" t="str">
        <f>IFERROR(__xludf.DUMMYFUNCTION("""COMPUTED_VALUE"""),"8400002 - AMARANTUS COLGANTE - herbacea ( AMARAN2)")</f>
        <v>8400002 - AMARANTUS COLGANTE - herbacea ( AMARAN2)</v>
      </c>
    </row>
    <row r="464">
      <c r="A464" s="176"/>
      <c r="D464" s="176" t="str">
        <f>IFERROR(__xludf.DUMMYFUNCTION("""COMPUTED_VALUE"""),"8400001 - [deleted] AMARANTHUS AFELPADO  - herbacea ( AMARANTHUS)")</f>
        <v>8400001 - [deleted] AMARANTHUS AFELPADO  - herbacea ( AMARANTHUS)</v>
      </c>
    </row>
    <row r="465">
      <c r="A465" s="176"/>
      <c r="D465" s="176" t="str">
        <f>IFERROR(__xludf.DUMMYFUNCTION("""COMPUTED_VALUE"""),"84001087 - CESTA PIEL NEGRA-GRIS MEDIANA ( 95296)")</f>
        <v>84001087 - CESTA PIEL NEGRA-GRIS MEDIANA ( 95296)</v>
      </c>
    </row>
    <row r="466">
      <c r="A466" s="176"/>
      <c r="D466" s="176" t="str">
        <f>IFERROR(__xludf.DUMMYFUNCTION("""COMPUTED_VALUE"""),"8400460 - MIRTO - rama (MIRT, myrtus, 73188)")</f>
        <v>8400460 - MIRTO - rama (MIRT, myrtus, 73188)</v>
      </c>
    </row>
    <row r="467">
      <c r="A467" s="176"/>
      <c r="D467" s="176" t="str">
        <f>IFERROR(__xludf.DUMMYFUNCTION("""COMPUTED_VALUE"""),"8400461 - ASTRANTIA - flor (67498, 129480, 9593, 55652, 51530, 25828, 132809, 154694, 157233)")</f>
        <v>8400461 - ASTRANTIA - flor (67498, 129480, 9593, 55652, 51530, 25828, 132809, 154694, 157233)</v>
      </c>
    </row>
    <row r="468">
      <c r="A468" s="176"/>
      <c r="D468" s="176" t="str">
        <f>IFERROR(__xludf.DUMMYFUNCTION("""COMPUTED_VALUE"""),"8400462 - [closed] LEUCOTHE - rama (LEU)")</f>
        <v>8400462 - [closed] LEUCOTHE - rama (LEU)</v>
      </c>
    </row>
    <row r="469">
      <c r="A469" s="176"/>
      <c r="D469" s="176" t="str">
        <f>IFERROR(__xludf.DUMMYFUNCTION("""COMPUTED_VALUE"""),"8400463 - [closed] RS ROSA - Bonita (High Bonita 60 cm)")</f>
        <v>8400463 - [closed] RS ROSA - Bonita (High Bonita 60 cm)</v>
      </c>
    </row>
    <row r="470">
      <c r="A470" s="176"/>
      <c r="D470" s="176" t="str">
        <f>IFERROR(__xludf.DUMMYFUNCTION("""COMPUTED_VALUE"""),"R00053 - BOLSA ARAIK PLEGABLE POLIESTER (POLIESTER 8400464)")</f>
        <v>R00053 - BOLSA ARAIK PLEGABLE POLIESTER (POLIESTER 8400464)</v>
      </c>
    </row>
    <row r="471">
      <c r="A471" s="176"/>
      <c r="D471" s="176" t="str">
        <f>IFERROR(__xludf.DUMMYFUNCTION("""COMPUTED_VALUE"""),"8400465 - CACTUS T13 MIX - planta/7,5 (CAC13ESP, CACTACEAE )")</f>
        <v>8400465 - CACTUS T13 MIX - planta/7,5 (CAC13ESP, CACTACEAE )</v>
      </c>
    </row>
    <row r="472">
      <c r="A472" s="176"/>
      <c r="D472" s="176" t="str">
        <f>IFERROR(__xludf.DUMMYFUNCTION("""COMPUTED_VALUE"""),"8400466 - DRACAENA 130cm - Lemon - planta/115 (136735)")</f>
        <v>8400466 - DRACAENA 130cm - Lemon - planta/115 (136735)</v>
      </c>
    </row>
    <row r="473">
      <c r="A473" s="176"/>
      <c r="D473" s="176" t="str">
        <f>IFERROR(__xludf.DUMMYFUNCTION("""COMPUTED_VALUE"""),"8400467 - OSTEOSPERMUM - MIX - planta/25 ()")</f>
        <v>8400467 - OSTEOSPERMUM - MIX - planta/25 ()</v>
      </c>
    </row>
    <row r="474">
      <c r="A474" s="176"/>
      <c r="D474" s="176" t="str">
        <f>IFERROR(__xludf.DUMMYFUNCTION("""COMPUTED_VALUE"""),"8400468 - [closed] PELARGONIUM  MIX - Zonale - planta/25 ()")</f>
        <v>8400468 - [closed] PELARGONIUM  MIX - Zonale - planta/25 ()</v>
      </c>
    </row>
    <row r="475">
      <c r="A475" s="176"/>
      <c r="D475" s="176" t="str">
        <f>IFERROR(__xludf.DUMMYFUNCTION("""COMPUTED_VALUE"""),"8400469 - Kentia 155cm - planta/84 (171376)")</f>
        <v>8400469 - Kentia 155cm - planta/84 (171376)</v>
      </c>
    </row>
    <row r="476">
      <c r="A476" s="176"/>
      <c r="D476" s="176" t="str">
        <f>IFERROR(__xludf.DUMMYFUNCTION("""COMPUTED_VALUE"""),"8400470 - Kentia 190cm - planta/160 ()")</f>
        <v>8400470 - Kentia 190cm - planta/160 ()</v>
      </c>
    </row>
    <row r="477">
      <c r="A477" s="176"/>
      <c r="D477" s="176" t="str">
        <f>IFERROR(__xludf.DUMMYFUNCTION("""COMPUTED_VALUE"""),"8400471 - [closed] SPATHIPHYLLUM T12 - Torelli - planta/12 (SPA12)")</f>
        <v>8400471 - [closed] SPATHIPHYLLUM T12 - Torelli - planta/12 (SPA12)</v>
      </c>
    </row>
    <row r="478">
      <c r="A478" s="176"/>
      <c r="D478" s="176" t="str">
        <f>IFERROR(__xludf.DUMMYFUNCTION("""COMPUTED_VALUE"""),"8400472 - [deleted] CALLA ZANTEDESCHIA T-14 (calla, ZANTEDESCHIA )")</f>
        <v>8400472 - [deleted] CALLA ZANTEDESCHIA T-14 (calla, ZANTEDESCHIA )</v>
      </c>
    </row>
    <row r="479">
      <c r="A479" s="176"/>
      <c r="D479" s="176" t="str">
        <f>IFERROR(__xludf.DUMMYFUNCTION("""COMPUTED_VALUE"""),"8400473 - SPATHIPHYLLUM BELLINI T25 - planta (SPA25, SPAT27, 132170)")</f>
        <v>8400473 - SPATHIPHYLLUM BELLINI T25 - planta (SPA25, SPAT27, 132170)</v>
      </c>
    </row>
    <row r="480">
      <c r="A480" s="176"/>
      <c r="D480" s="176" t="str">
        <f>IFERROR(__xludf.DUMMYFUNCTION("""COMPUTED_VALUE"""),"8400474 - VRIESEA T12 - Astrid - planta/17 (VRIAS12)")</f>
        <v>8400474 - VRIESEA T12 - Astrid - planta/17 (VRIAS12)</v>
      </c>
    </row>
    <row r="481">
      <c r="A481" s="176"/>
      <c r="D481" s="176" t="str">
        <f>IFERROR(__xludf.DUMMYFUNCTION("""COMPUTED_VALUE"""),"8400475 - SANSEVIERIA T14 - planta/14 (SAN13)")</f>
        <v>8400475 - SANSEVIERIA T14 - planta/14 (SAN13)</v>
      </c>
    </row>
    <row r="482">
      <c r="A482" s="176"/>
      <c r="D482" s="176" t="str">
        <f>IFERROR(__xludf.DUMMYFUNCTION("""COMPUTED_VALUE"""),"8400476 - FICUS T20 - Robusta - planta/32 (FICROB20 )")</f>
        <v>8400476 - FICUS T20 - Robusta - planta/32 (FICROB20 )</v>
      </c>
    </row>
    <row r="483">
      <c r="A483" s="176"/>
      <c r="D483" s="176" t="str">
        <f>IFERROR(__xludf.DUMMYFUNCTION("""COMPUTED_VALUE"""),"8400477 - CACTUS -Tarrina - planta/46 (CACTARR2, CACTACEAE, MELO15, GRUSONII  )")</f>
        <v>8400477 - CACTUS -Tarrina - planta/46 (CACTARR2, CACTACEAE, MELO15, GRUSONII  )</v>
      </c>
    </row>
    <row r="484">
      <c r="A484" s="176"/>
      <c r="D484" s="176" t="str">
        <f>IFERROR(__xludf.DUMMYFUNCTION("""COMPUTED_VALUE"""),"8400478 - CYCA T25 - Revoluta - planta/86 (CYCREV25 , 130916)")</f>
        <v>8400478 - CYCA T25 - Revoluta - planta/86 (CYCREV25 , 130916)</v>
      </c>
    </row>
    <row r="485">
      <c r="A485" s="176"/>
      <c r="D485" s="176" t="str">
        <f>IFERROR(__xludf.DUMMYFUNCTION("""COMPUTED_VALUE"""),"8400479 - [closed] NEMATANTHUS T15 - planta/12 (NEMT15)")</f>
        <v>8400479 - [closed] NEMATANTHUS T15 - planta/12 (NEMT15)</v>
      </c>
    </row>
    <row r="486">
      <c r="A486" s="176"/>
      <c r="D486" s="176" t="str">
        <f>IFERROR(__xludf.DUMMYFUNCTION("""COMPUTED_VALUE"""),"8400480 - PELARGONIUM T20 - Grandiflorum - planta/15 (GRAT20, PSL-P)")</f>
        <v>8400480 - PELARGONIUM T20 - Grandiflorum - planta/15 (GRAT20, PSL-P)</v>
      </c>
    </row>
    <row r="487">
      <c r="A487" s="176"/>
      <c r="D487" s="176" t="str">
        <f>IFERROR(__xludf.DUMMYFUNCTION("""COMPUTED_VALUE"""),"8400481 - PELARGONIUM T15 - Grandiflorum - planta/10 (GRAC15, RANC15, GERZON)")</f>
        <v>8400481 - PELARGONIUM T15 - Grandiflorum - planta/10 (GRAC15, RANC15, GERZON)</v>
      </c>
    </row>
    <row r="488">
      <c r="A488" s="176"/>
      <c r="D488" s="176" t="str">
        <f>IFERROR(__xludf.DUMMYFUNCTION("""COMPUTED_VALUE"""),"8400482 - [closed] NEMATANTHUS T22 - Gregarius - planta/18 (NEMT22)")</f>
        <v>8400482 - [closed] NEMATANTHUS T22 - Gregarius - planta/18 (NEMT22)</v>
      </c>
    </row>
    <row r="489">
      <c r="A489" s="176"/>
      <c r="D489" s="176" t="str">
        <f>IFERROR(__xludf.DUMMYFUNCTION("""COMPUTED_VALUE"""),"8400483 - CLEISTOCACTUS T20 - planta/86 (COLT20 )")</f>
        <v>8400483 - CLEISTOCACTUS T20 - planta/86 (COLT20 )</v>
      </c>
    </row>
    <row r="490">
      <c r="A490" s="176"/>
      <c r="D490" s="176" t="str">
        <f>IFERROR(__xludf.DUMMYFUNCTION("""COMPUTED_VALUE"""),"8400484 - BEGONIA T14 -Tamaya - planta/42 ()")</f>
        <v>8400484 - BEGONIA T14 -Tamaya - planta/42 ()</v>
      </c>
    </row>
    <row r="491">
      <c r="A491" s="176"/>
      <c r="D491" s="176" t="str">
        <f>IFERROR(__xludf.DUMMYFUNCTION("""COMPUTED_VALUE"""),"8400485 - SUCCULENTUS ALTAS - MIX - planta/24 (A70100, PLAVAR20, PLA-GR, KALPU20)")</f>
        <v>8400485 - SUCCULENTUS ALTAS - MIX - planta/24 (A70100, PLAVAR20, PLA-GR, KALPU20)</v>
      </c>
    </row>
    <row r="492">
      <c r="A492" s="176"/>
      <c r="D492" s="176" t="str">
        <f>IFERROR(__xludf.DUMMYFUNCTION("""COMPUTED_VALUE"""),"8400487 - MACETA CERAMICA LUUK 28x13cm (26298 )")</f>
        <v>8400487 - MACETA CERAMICA LUUK 28x13cm (26298 )</v>
      </c>
    </row>
    <row r="493">
      <c r="A493" s="176"/>
      <c r="D493" s="176" t="str">
        <f>IFERROR(__xludf.DUMMYFUNCTION("""COMPUTED_VALUE"""),"8400488 - MACETA CERAMICA ""LUUK"" 17x16cm (2.7202)")</f>
        <v>8400488 - MACETA CERAMICA "LUUK" 17x16cm (2.7202)</v>
      </c>
    </row>
    <row r="494">
      <c r="A494" s="176"/>
      <c r="D494" s="176" t="str">
        <f>IFERROR(__xludf.DUMMYFUNCTION("""COMPUTED_VALUE"""),"8400489 - [closed] MACETA CERAMICA LUUK 14x13cm (26201 )")</f>
        <v>8400489 - [closed] MACETA CERAMICA LUUK 14x13cm (26201 )</v>
      </c>
    </row>
    <row r="495">
      <c r="A495" s="176"/>
      <c r="D495" s="176" t="str">
        <f>IFERROR(__xludf.DUMMYFUNCTION("""COMPUTED_VALUE"""),"8400490 - CHASMANTIUM - herbacea (100371, 73985, 129314)")</f>
        <v>8400490 - CHASMANTIUM - herbacea (100371, 73985, 129314)</v>
      </c>
    </row>
    <row r="496">
      <c r="A496" s="176"/>
      <c r="D496" s="176" t="str">
        <f>IFERROR(__xludf.DUMMYFUNCTION("""COMPUTED_VALUE"""),"8400491 - MELOCOTON con FLORES - rama (prunus, 108170, 127173)")</f>
        <v>8400491 - MELOCOTON con FLORES - rama (prunus, 108170, 127173)</v>
      </c>
    </row>
    <row r="497">
      <c r="A497" s="176"/>
      <c r="D497" s="176" t="str">
        <f>IFERROR(__xludf.DUMMYFUNCTION("""COMPUTED_VALUE"""),"8400492 - ASCLEPIA -flor (713, 135408, 97795, 193012)")</f>
        <v>8400492 - ASCLEPIA -flor (713, 135408, 97795, 193012)</v>
      </c>
    </row>
    <row r="498">
      <c r="A498" s="176"/>
      <c r="D498" s="176" t="str">
        <f>IFERROR(__xludf.DUMMYFUNCTION("""COMPUTED_VALUE"""),"8400493 - BOUVARDIA - flor (25678, 168706, Rosa Claro-40cm)")</f>
        <v>8400493 - BOUVARDIA - flor (25678, 168706, Rosa Claro-40cm)</v>
      </c>
    </row>
    <row r="499">
      <c r="A499" s="176"/>
      <c r="D499" s="176" t="str">
        <f>IFERROR(__xludf.DUMMYFUNCTION("""COMPUTED_VALUE"""),"8400494 - MUSCARI - Carola - flor (39231)")</f>
        <v>8400494 - MUSCARI - Carola - flor (39231)</v>
      </c>
    </row>
    <row r="500">
      <c r="A500" s="176"/>
      <c r="D500" s="176" t="str">
        <f>IFERROR(__xludf.DUMMYFUNCTION("""COMPUTED_VALUE"""),"8400495 - VIBURNUM - Roseum - rama (133391, 11408, 130481, 10971, 62404)")</f>
        <v>8400495 - VIBURNUM - Roseum - rama (133391, 11408, 130481, 10971, 62404)</v>
      </c>
    </row>
    <row r="501">
      <c r="A501" s="176"/>
      <c r="D501" s="176" t="str">
        <f>IFERROR(__xludf.DUMMYFUNCTION("""COMPUTED_VALUE"""),"8400496 - BAMBU 40cm (LUCKBARE50, 147133)")</f>
        <v>8400496 - BAMBU 40cm (LUCKBARE50, 147133)</v>
      </c>
    </row>
    <row r="502">
      <c r="A502" s="176"/>
      <c r="D502" s="176" t="str">
        <f>IFERROR(__xludf.DUMMYFUNCTION("""COMPUTED_VALUE"""),"8400497 - BAMBU - RECTO 90cm (LUCKBARE90, LUCR90)")</f>
        <v>8400497 - BAMBU - RECTO 90cm (LUCKBARE90, LUCR90)</v>
      </c>
    </row>
    <row r="503">
      <c r="A503" s="176"/>
      <c r="D503" s="176" t="str">
        <f>IFERROR(__xludf.DUMMYFUNCTION("""COMPUTED_VALUE"""),"8400498 - ANIGOZANTHOS -Roze - flor (173019 )")</f>
        <v>8400498 - ANIGOZANTHOS -Roze - flor (173019 )</v>
      </c>
    </row>
    <row r="504">
      <c r="A504" s="176"/>
      <c r="D504" s="176" t="str">
        <f>IFERROR(__xludf.DUMMYFUNCTION("""COMPUTED_VALUE"""),"8400499 - [closed] DELPHINIUM - Magic - flor (DELPH Magic Fountains White, 140562 )")</f>
        <v>8400499 - [closed] DELPHINIUM - Magic - flor (DELPH Magic Fountains White, 140562 )</v>
      </c>
    </row>
    <row r="505">
      <c r="A505" s="176"/>
      <c r="D505" s="176" t="str">
        <f>IFERROR(__xludf.DUMMYFUNCTION("""COMPUTED_VALUE"""),"8400500 - LATHYRUS - MIX -flor (48604, 149257, 34618, 42844, 192443 192446)")</f>
        <v>8400500 - LATHYRUS - MIX -flor (48604, 149257, 34618, 42844, 192443 192446)</v>
      </c>
    </row>
    <row r="506">
      <c r="A506" s="176"/>
      <c r="D506" s="176" t="str">
        <f>IFERROR(__xludf.DUMMYFUNCTION("""COMPUTED_VALUE"""),"8400501 - LEUCODENDRON - Ayoba Jade - flor (167840)")</f>
        <v>8400501 - LEUCODENDRON - Ayoba Jade - flor (167840)</v>
      </c>
    </row>
    <row r="507">
      <c r="A507" s="176"/>
      <c r="D507" s="176" t="str">
        <f>IFERROR(__xludf.DUMMYFUNCTION("""COMPUTED_VALUE"""),"8400503 - RS ROSA - Pink Athena (51826)")</f>
        <v>8400503 - RS ROSA - Pink Athena (51826)</v>
      </c>
    </row>
    <row r="508">
      <c r="A508" s="176"/>
      <c r="D508" s="176" t="str">
        <f>IFERROR(__xludf.DUMMYFUNCTION("""COMPUTED_VALUE"""),"8400504 - [closed] RSR ROSA - Red Calypso (169447)")</f>
        <v>8400504 - [closed] RSR ROSA - Red Calypso (169447)</v>
      </c>
    </row>
    <row r="509">
      <c r="A509" s="176"/>
      <c r="D509" s="176" t="str">
        <f>IFERROR(__xludf.DUMMYFUNCTION("""COMPUTED_VALUE"""),"8400505 - [closed] RSR ROSA - Creamy Twister (9180)")</f>
        <v>8400505 - [closed] RSR ROSA - Creamy Twister (9180)</v>
      </c>
    </row>
    <row r="510">
      <c r="A510" s="176"/>
      <c r="D510" s="176" t="str">
        <f>IFERROR(__xludf.DUMMYFUNCTION("""COMPUTED_VALUE"""),"8400506 - [closed] RSR ROSA - Fireworks (34368)")</f>
        <v>8400506 - [closed] RSR ROSA - Fireworks (34368)</v>
      </c>
    </row>
    <row r="511">
      <c r="A511" s="176"/>
      <c r="D511" s="176" t="str">
        <f>IFERROR(__xludf.DUMMYFUNCTION("""COMPUTED_VALUE"""),"8400507 - [closed] RSR ROSA - Sancerre (124894)")</f>
        <v>8400507 - [closed] RSR ROSA - Sancerre (124894)</v>
      </c>
    </row>
    <row r="512">
      <c r="A512" s="176"/>
      <c r="D512" s="176" t="str">
        <f>IFERROR(__xludf.DUMMYFUNCTION("""COMPUTED_VALUE"""),"8400508 - ESCABIOSA FRENCH - flor (126020, 57009, 162511)")</f>
        <v>8400508 - ESCABIOSA FRENCH - flor (126020, 57009, 162511)</v>
      </c>
    </row>
    <row r="513">
      <c r="A513" s="176"/>
      <c r="D513" s="176" t="str">
        <f>IFERROR(__xludf.DUMMYFUNCTION("""COMPUTED_VALUE"""),"8400509 - VERONIKA - Smart -flor (Monocaule, 80424, 115107)")</f>
        <v>8400509 - VERONIKA - Smart -flor (Monocaule, 80424, 115107)</v>
      </c>
    </row>
    <row r="514">
      <c r="A514" s="176"/>
      <c r="D514" s="176" t="str">
        <f>IFERROR(__xludf.DUMMYFUNCTION("""COMPUTED_VALUE"""),"8400512 - VERONIKA - Iselle - flor (39651, 36948, 106122, VER-P VERONICA POM, 45750 )")</f>
        <v>8400512 - VERONIKA - Iselle - flor (39651, 36948, 106122, VER-P VERONICA POM, 45750 )</v>
      </c>
    </row>
    <row r="515">
      <c r="A515" s="176"/>
      <c r="D515" s="176" t="str">
        <f>IFERROR(__xludf.DUMMYFUNCTION("""COMPUTED_VALUE"""),"8400502 - LILA - MIX - rama (SYR, 35911, 39478, 76887, 55996, 3869)")</f>
        <v>8400502 - LILA - MIX - rama (SYR, 35911, 39478, 76887, 55996, 3869)</v>
      </c>
    </row>
    <row r="516">
      <c r="A516" s="176"/>
      <c r="D516" s="176" t="str">
        <f>IFERROR(__xludf.DUMMYFUNCTION("""COMPUTED_VALUE"""),"8400511 - TALINUM - rama (56392, 102785)")</f>
        <v>8400511 - TALINUM - rama (56392, 102785)</v>
      </c>
    </row>
    <row r="517">
      <c r="A517" s="176"/>
      <c r="D517" s="176" t="str">
        <f>IFERROR(__xludf.DUMMYFUNCTION("""COMPUTED_VALUE"""),"8400513 - PHALAENOPSIS MIX - planta/22 ()")</f>
        <v>8400513 - PHALAENOPSIS MIX - planta/22 ()</v>
      </c>
    </row>
    <row r="518">
      <c r="A518" s="176"/>
      <c r="D518" s="176" t="str">
        <f>IFERROR(__xludf.DUMMYFUNCTION("""COMPUTED_VALUE"""),"8400514 - LILIUM - planta (81918)")</f>
        <v>8400514 - LILIUM - planta (81918)</v>
      </c>
    </row>
    <row r="519">
      <c r="A519" s="176"/>
      <c r="D519" s="176" t="str">
        <f>IFERROR(__xludf.DUMMYFUNCTION("""COMPUTED_VALUE"""),"R00040 - Perforadora (B000I5SAPY )")</f>
        <v>R00040 - Perforadora (B000I5SAPY )</v>
      </c>
    </row>
    <row r="520">
      <c r="A520" s="176"/>
      <c r="D520" s="176" t="str">
        <f>IFERROR(__xludf.DUMMYFUNCTION("""COMPUTED_VALUE"""),"8400515 - TULIPAN - flor/4 (10581)")</f>
        <v>8400515 - TULIPAN - flor/4 (10581)</v>
      </c>
    </row>
    <row r="521">
      <c r="A521" s="176"/>
      <c r="D521" s="176" t="str">
        <f>IFERROR(__xludf.DUMMYFUNCTION("""COMPUTED_VALUE"""),"8400516 - ROSA BOGART - flor (137983 )")</f>
        <v>8400516 - ROSA BOGART - flor (137983 )</v>
      </c>
    </row>
    <row r="522">
      <c r="A522" s="176"/>
      <c r="D522" s="176" t="str">
        <f>IFERROR(__xludf.DUMMYFUNCTION("""COMPUTED_VALUE"""),"8400517 - [closed] RSR ROSA - Silver Shadow Sun   (93613)")</f>
        <v>8400517 - [closed] RSR ROSA - Silver Shadow Sun   (93613)</v>
      </c>
    </row>
    <row r="523">
      <c r="A523" s="176"/>
      <c r="D523" s="176" t="str">
        <f>IFERROR(__xludf.DUMMYFUNCTION("""COMPUTED_VALUE"""),"8400510 - ROSA PINK OHARA - flor (RPINKOH50 )")</f>
        <v>8400510 - ROSA PINK OHARA - flor (RPINKOH50 )</v>
      </c>
    </row>
    <row r="524">
      <c r="A524" s="176"/>
      <c r="D524" s="176" t="str">
        <f>IFERROR(__xludf.DUMMYFUNCTION("""COMPUTED_VALUE"""),"8400518 - RANUNCULUS - Butterfly - flor ( RANUBUBL, RANUBUSA, 174946, 147132, 126830)")</f>
        <v>8400518 - RANUNCULUS - Butterfly - flor ( RANUBUBL, RANUBUSA, 174946, 147132, 126830)</v>
      </c>
    </row>
    <row r="525">
      <c r="A525" s="176"/>
      <c r="D525" s="176" t="str">
        <f>IFERROR(__xludf.DUMMYFUNCTION("""COMPUTED_VALUE"""),"8400519 - ANIGOZANTHOS - planta/38 (ANIGOZANTHOS_PLANTA)")</f>
        <v>8400519 - ANIGOZANTHOS - planta/38 (ANIGOZANTHOS_PLANTA)</v>
      </c>
    </row>
    <row r="526">
      <c r="A526" s="176"/>
      <c r="D526" s="176" t="str">
        <f>IFERROR(__xludf.DUMMYFUNCTION("""COMPUTED_VALUE"""),"8400520 - HORTENSIA T10 - planta/20 (98815, HYDRA17)")</f>
        <v>8400520 - HORTENSIA T10 - planta/20 (98815, HYDRA17)</v>
      </c>
    </row>
    <row r="527">
      <c r="A527" s="176"/>
      <c r="D527" s="176" t="str">
        <f>IFERROR(__xludf.DUMMYFUNCTION("""COMPUTED_VALUE"""),"8400522 - CACTUS T13 ALTO - planta/13 (CAC13)")</f>
        <v>8400522 - CACTUS T13 ALTO - planta/13 (CAC13)</v>
      </c>
    </row>
    <row r="528">
      <c r="A528" s="176"/>
      <c r="D528" s="176" t="str">
        <f>IFERROR(__xludf.DUMMYFUNCTION("""COMPUTED_VALUE"""),"8400521 - CAROLINA - rama (CAR )")</f>
        <v>8400521 - CAROLINA - rama (CAR )</v>
      </c>
    </row>
    <row r="529">
      <c r="A529" s="176"/>
      <c r="D529" s="176" t="str">
        <f>IFERROR(__xludf.DUMMYFUNCTION("""COMPUTED_VALUE"""),"8400523 - FICUS T26, 130cm - Amstel - planta/56 (FAMS26 )")</f>
        <v>8400523 - FICUS T26, 130cm - Amstel - planta/56 (FAMS26 )</v>
      </c>
    </row>
    <row r="530">
      <c r="A530" s="176"/>
      <c r="D530" s="176" t="str">
        <f>IFERROR(__xludf.DUMMYFUNCTION("""COMPUTED_VALUE"""),"8400524 - FICUS T26, - Lyrata -planta/42 (FLYB26 )")</f>
        <v>8400524 - FICUS T26, - Lyrata -planta/42 (FLYB26 )</v>
      </c>
    </row>
    <row r="531">
      <c r="A531" s="176"/>
      <c r="D531" s="176" t="str">
        <f>IFERROR(__xludf.DUMMYFUNCTION("""COMPUTED_VALUE"""),"8400525 - PLATYCERIUM T17 - planta/32 (PLATY17 )")</f>
        <v>8400525 - PLATYCERIUM T17 - planta/32 (PLATY17 )</v>
      </c>
    </row>
    <row r="532">
      <c r="A532" s="176"/>
      <c r="D532" s="176" t="str">
        <f>IFERROR(__xludf.DUMMYFUNCTION("""COMPUTED_VALUE"""),"8400526 - CROTON T24, 140cm, RAMI - planta/130 (CRORAM24 )")</f>
        <v>8400526 - CROTON T24, 140cm, RAMI - planta/130 (CRORAM24 )</v>
      </c>
    </row>
    <row r="533">
      <c r="A533" s="176"/>
      <c r="D533" s="176" t="str">
        <f>IFERROR(__xludf.DUMMYFUNCTION("""COMPUTED_VALUE"""),"8400527 - CYMBIDIUM GRANDE - planta/110 (CYMBID )")</f>
        <v>8400527 - CYMBIDIUM GRANDE - planta/110 (CYMBID )</v>
      </c>
    </row>
    <row r="534">
      <c r="A534" s="176"/>
      <c r="D534" s="176" t="str">
        <f>IFERROR(__xludf.DUMMYFUNCTION("""COMPUTED_VALUE"""),"8400528 - CLIVIA T19 - planta/85 (CLIV19 )")</f>
        <v>8400528 - CLIVIA T19 - planta/85 (CLIV19 )</v>
      </c>
    </row>
    <row r="535">
      <c r="A535" s="176"/>
      <c r="D535" s="176" t="str">
        <f>IFERROR(__xludf.DUMMYFUNCTION("""COMPUTED_VALUE"""),"8400529 - ALOCASIA T5L - planta/30 (ALOCSL , 188751)")</f>
        <v>8400529 - ALOCASIA T5L - planta/30 (ALOCSL , 188751)</v>
      </c>
    </row>
    <row r="536">
      <c r="A536" s="176"/>
      <c r="D536" s="176" t="str">
        <f>IFERROR(__xludf.DUMMYFUNCTION("""COMPUTED_VALUE"""),"8400530 - RANUNCULUS GRANDE - flor (49939, 121923 RANPON, 176473, 180204, 180204)")</f>
        <v>8400530 - RANUNCULUS GRANDE - flor (49939, 121923 RANPON, 176473, 180204, 180204)</v>
      </c>
    </row>
    <row r="537">
      <c r="A537" s="176"/>
      <c r="D537" s="176" t="str">
        <f>IFERROR(__xludf.DUMMYFUNCTION("""COMPUTED_VALUE"""),"8400531 - DENDROBIUM T12 - planta/35 (62042, DENDRO, 106203, 149796, 178985)")</f>
        <v>8400531 - DENDROBIUM T12 - planta/35 (62042, DENDRO, 106203, 149796, 178985)</v>
      </c>
    </row>
    <row r="538">
      <c r="A538" s="176"/>
      <c r="D538" s="176" t="str">
        <f>IFERROR(__xludf.DUMMYFUNCTION("""COMPUTED_VALUE"""),"8400532 - PHALAENOPSIS - MINI - planta/18 (122834, PHAL, 127000)")</f>
        <v>8400532 - PHALAENOPSIS - MINI - planta/18 (122834, PHAL, 127000)</v>
      </c>
    </row>
    <row r="539">
      <c r="A539" s="176"/>
      <c r="D539" s="176" t="str">
        <f>IFERROR(__xludf.DUMMYFUNCTION("""COMPUTED_VALUE"""),"8400533 - AMARANTHUS - Yerning Desert - herbacea (22808 )")</f>
        <v>8400533 - AMARANTHUS - Yerning Desert - herbacea (22808 )</v>
      </c>
    </row>
    <row r="540">
      <c r="A540" s="176"/>
      <c r="D540" s="176" t="str">
        <f>IFERROR(__xludf.DUMMYFUNCTION("""COMPUTED_VALUE"""),"8400534 - ASCLEPIA - Moby Dick - flor (56112 )")</f>
        <v>8400534 - ASCLEPIA - Moby Dick - flor (56112 )</v>
      </c>
    </row>
    <row r="541">
      <c r="A541" s="176"/>
      <c r="D541" s="176" t="str">
        <f>IFERROR(__xludf.DUMMYFUNCTION("""COMPUTED_VALUE"""),"8400535 - ASTER - MIX -flor (130170, 115869, 118810, 30491, 129019, 30925)")</f>
        <v>8400535 - ASTER - MIX -flor (130170, 115869, 118810, 30491, 129019, 30925)</v>
      </c>
    </row>
    <row r="542">
      <c r="A542" s="176"/>
      <c r="D542" s="176" t="str">
        <f>IFERROR(__xludf.DUMMYFUNCTION("""COMPUTED_VALUE"""),"8400536 - BERZELIA - flor (31986 )")</f>
        <v>8400536 - BERZELIA - flor (31986 )</v>
      </c>
    </row>
    <row r="543">
      <c r="A543" s="176"/>
      <c r="D543" s="176" t="str">
        <f>IFERROR(__xludf.DUMMYFUNCTION("""COMPUTED_VALUE"""),"8400537 - CRASPEDIA - flor (173584  00065, 170791, 143013)")</f>
        <v>8400537 - CRASPEDIA - flor (173584  00065, 170791, 143013)</v>
      </c>
    </row>
    <row r="544">
      <c r="A544" s="176"/>
      <c r="D544" s="176" t="str">
        <f>IFERROR(__xludf.DUMMYFUNCTION("""COMPUTED_VALUE"""),"8400538 - MISCANTHUS - herbacea (174473, 124247)")</f>
        <v>8400538 - MISCANTHUS - herbacea (174473, 124247)</v>
      </c>
    </row>
    <row r="545">
      <c r="A545" s="176"/>
      <c r="D545" s="176" t="str">
        <f>IFERROR(__xludf.DUMMYFUNCTION("""COMPUTED_VALUE"""),"8400539 - RS ROSA - Red Torch (174536, 179252)")</f>
        <v>8400539 - RS ROSA - Red Torch (174536, 179252)</v>
      </c>
    </row>
    <row r="546">
      <c r="A546" s="176"/>
      <c r="D546" s="176" t="str">
        <f>IFERROR(__xludf.DUMMYFUNCTION("""COMPUTED_VALUE"""),"8400540 - COMPOSICION - planta en maceta (31005, 47221, 47203)")</f>
        <v>8400540 - COMPOSICION - planta en maceta (31005, 47221, 47203)</v>
      </c>
    </row>
    <row r="547">
      <c r="A547" s="176"/>
      <c r="D547" s="176" t="str">
        <f>IFERROR(__xludf.DUMMYFUNCTION("""COMPUTED_VALUE"""),"8400541 - MACETA BLANCA BOULE 22,5 x 9,5 cm (30701 )")</f>
        <v>8400541 - MACETA BLANCA BOULE 22,5 x 9,5 cm (30701 )</v>
      </c>
    </row>
    <row r="548">
      <c r="A548" s="176"/>
      <c r="D548" s="176" t="str">
        <f>IFERROR(__xludf.DUMMYFUNCTION("""COMPUTED_VALUE"""),"8400542 - [closed] PISTACHO - Arbol - rama ()")</f>
        <v>8400542 - [closed] PISTACHO - Arbol - rama ()</v>
      </c>
    </row>
    <row r="549">
      <c r="A549" s="176"/>
      <c r="D549" s="176" t="str">
        <f>IFERROR(__xludf.DUMMYFUNCTION("""COMPUTED_VALUE"""),"8400543 - TULIPAN FRANCESA - flor (TULIPAN FTANCESA,100019, 146776, 75536, 37608, 108445, 196428, 126760, 195413,)")</f>
        <v>8400543 - TULIPAN FRANCESA - flor (TULIPAN FTANCESA,100019, 146776, 75536, 37608, 108445, 196428, 126760, 195413,)</v>
      </c>
    </row>
    <row r="550">
      <c r="A550" s="176"/>
      <c r="D550" s="176" t="str">
        <f>IFERROR(__xludf.DUMMYFUNCTION("""COMPUTED_VALUE"""),"8400544 - SUCCULENTUS  SENECIO - planta/48 (SENECIO, SEN-1)")</f>
        <v>8400544 - SUCCULENTUS  SENECIO - planta/48 (SENECIO, SEN-1)</v>
      </c>
    </row>
    <row r="551">
      <c r="A551" s="176"/>
      <c r="D551" s="176" t="str">
        <f>IFERROR(__xludf.DUMMYFUNCTION("""COMPUTED_VALUE"""),"8400545 - EUPHORBIA - Canariensis - planta/79 (EUPCAN, 08)")</f>
        <v>8400545 - EUPHORBIA - Canariensis - planta/79 (EUPCAN, 08)</v>
      </c>
    </row>
    <row r="552">
      <c r="A552" s="176"/>
      <c r="D552" s="176" t="str">
        <f>IFERROR(__xludf.DUMMYFUNCTION("""COMPUTED_VALUE"""),"8400546 - CACTUS T22 -planta/38 (07, TEST 22CM)")</f>
        <v>8400546 - CACTUS T22 -planta/38 (07, TEST 22CM)</v>
      </c>
    </row>
    <row r="553">
      <c r="A553" s="176"/>
      <c r="D553" s="176" t="str">
        <f>IFERROR(__xludf.DUMMYFUNCTION("""COMPUTED_VALUE"""),"8400547 - EUPHORBIA -Tirucalli - planta/24 (EUT17, TIRUCALLI T17)")</f>
        <v>8400547 - EUPHORBIA -Tirucalli - planta/24 (EUT17, TIRUCALLI T17)</v>
      </c>
    </row>
    <row r="554">
      <c r="A554" s="176"/>
      <c r="D554" s="176" t="str">
        <f>IFERROR(__xludf.DUMMYFUNCTION("""COMPUTED_VALUE"""),"8400548 - BAMBU - RECTO 30cm (LUCR30, 34030)")</f>
        <v>8400548 - BAMBU - RECTO 30cm (LUCR30, 34030)</v>
      </c>
    </row>
    <row r="555">
      <c r="A555" s="176"/>
      <c r="D555" s="176" t="str">
        <f>IFERROR(__xludf.DUMMYFUNCTION("""COMPUTED_VALUE"""),"8400549 - COCO T19 - Nucifera -planta/46 (COCN19)")</f>
        <v>8400549 - COCO T19 - Nucifera -planta/46 (COCN19)</v>
      </c>
    </row>
    <row r="556">
      <c r="A556" s="176"/>
      <c r="D556" s="176" t="str">
        <f>IFERROR(__xludf.DUMMYFUNCTION("""COMPUTED_VALUE"""),"8400552 - PHILODENDRON - Prince of Orange - planta/27 (PHIORA17)")</f>
        <v>8400552 - PHILODENDRON - Prince of Orange - planta/27 (PHIORA17)</v>
      </c>
    </row>
    <row r="557">
      <c r="A557" s="176"/>
      <c r="D557" s="176" t="str">
        <f>IFERROR(__xludf.DUMMYFUNCTION("""COMPUTED_VALUE"""),"8400550 - KUMQUAT 90cm - planta/60 (KUMC20, 175723)")</f>
        <v>8400550 - KUMQUAT 90cm - planta/60 (KUMC20, 175723)</v>
      </c>
    </row>
    <row r="558">
      <c r="A558" s="176"/>
      <c r="D558" s="176" t="str">
        <f>IFERROR(__xludf.DUMMYFUNCTION("""COMPUTED_VALUE"""),"8400553 - [deleted] GREVILEA - rama ()")</f>
        <v>8400553 - [deleted] GREVILEA - rama ()</v>
      </c>
    </row>
    <row r="559">
      <c r="A559" s="176"/>
      <c r="D559" s="176" t="str">
        <f>IFERROR(__xludf.DUMMYFUNCTION("""COMPUTED_VALUE"""),"R00041 - Cinta blanca 16mm ARAIK GALSTYAN (R002)")</f>
        <v>R00041 - Cinta blanca 16mm ARAIK GALSTYAN (R002)</v>
      </c>
    </row>
    <row r="560">
      <c r="A560" s="176"/>
      <c r="D560" s="176" t="str">
        <f>IFERROR(__xludf.DUMMYFUNCTION("""COMPUTED_VALUE"""),"R00042 - Cinta negra 16mm ARAIK GALSTYAN (R001)")</f>
        <v>R00042 - Cinta negra 16mm ARAIK GALSTYAN (R001)</v>
      </c>
    </row>
    <row r="561">
      <c r="A561" s="176"/>
      <c r="D561" s="176" t="str">
        <f>IFERROR(__xludf.DUMMYFUNCTION("""COMPUTED_VALUE"""),"R00043 - Cinta negra 20mm ARAIK GALSTYAN (R003)")</f>
        <v>R00043 - Cinta negra 20mm ARAIK GALSTYAN (R003)</v>
      </c>
    </row>
    <row r="562">
      <c r="A562" s="176"/>
      <c r="D562" s="176" t="str">
        <f>IFERROR(__xludf.DUMMYFUNCTION("""COMPUTED_VALUE"""),"R00044 - HILO DE TEJER (Breigaren, Velvet)")</f>
        <v>R00044 - HILO DE TEJER (Breigaren, Velvet)</v>
      </c>
    </row>
    <row r="563">
      <c r="A563" s="176"/>
      <c r="D563" s="176" t="str">
        <f>IFERROR(__xludf.DUMMYFUNCTION("""COMPUTED_VALUE"""),"8400554 - ESPIGAS SECAS de TRIGO - herbacea (120051, 127502, 112102, 30861)")</f>
        <v>8400554 - ESPIGAS SECAS de TRIGO - herbacea (120051, 127502, 112102, 30861)</v>
      </c>
    </row>
    <row r="564">
      <c r="A564" s="176"/>
      <c r="D564" s="176" t="str">
        <f>IFERROR(__xludf.DUMMYFUNCTION("""COMPUTED_VALUE"""),"8400555 - SPATHIPHYLLUM 30cm - MIX - planta/18 (168851)")</f>
        <v>8400555 - SPATHIPHYLLUM 30cm - MIX - planta/18 (168851)</v>
      </c>
    </row>
    <row r="565">
      <c r="A565" s="176"/>
      <c r="D565" s="176" t="str">
        <f>IFERROR(__xludf.DUMMYFUNCTION("""COMPUTED_VALUE"""),"8400556 - EUPHORBIA 30cm -Milii - planta/22 (174581, EUV)")</f>
        <v>8400556 - EUPHORBIA 30cm -Milii - planta/22 (174581, EUV)</v>
      </c>
    </row>
    <row r="566">
      <c r="A566" s="176"/>
      <c r="D566" s="176" t="str">
        <f>IFERROR(__xludf.DUMMYFUNCTION("""COMPUTED_VALUE"""),"8400557 - HORTENSIA T24 - planta/42 (175237, 174010, HORTE23, HORC22)")</f>
        <v>8400557 - HORTENSIA T24 - planta/42 (175237, 174010, HORTE23, HORC22)</v>
      </c>
    </row>
    <row r="567">
      <c r="A567" s="176"/>
      <c r="D567" s="176" t="str">
        <f>IFERROR(__xludf.DUMMYFUNCTION("""COMPUTED_VALUE"""),"8400558 - CROTON 50cm - Petra - planta/36 (81945, CROMA20)")</f>
        <v>8400558 - CROTON 50cm - Petra - planta/36 (81945, CROMA20)</v>
      </c>
    </row>
    <row r="568">
      <c r="A568" s="176"/>
      <c r="D568" s="176" t="str">
        <f>IFERROR(__xludf.DUMMYFUNCTION("""COMPUTED_VALUE"""),"8400559 - [deleted] EUCALIPTO -Silver Dollar - rama (130096)")</f>
        <v>8400559 - [deleted] EUCALIPTO -Silver Dollar - rama (130096)</v>
      </c>
    </row>
    <row r="569">
      <c r="A569" s="176"/>
      <c r="D569" s="176" t="str">
        <f>IFERROR(__xludf.DUMMYFUNCTION("""COMPUTED_VALUE"""),"8400561 - NARCISO T12 - Tete - planta/5 (106642, 195896, 195894)")</f>
        <v>8400561 - NARCISO T12 - Tete - planta/5 (106642, 195896, 195894)</v>
      </c>
    </row>
    <row r="570">
      <c r="A570" s="176"/>
      <c r="D570" s="176" t="str">
        <f>IFERROR(__xludf.DUMMYFUNCTION("""COMPUTED_VALUE"""),"8400562 - [deleted] CARAMICA KOLIBIR 40 CM ()")</f>
        <v>8400562 - [deleted] CARAMICA KOLIBIR 40 CM ()</v>
      </c>
    </row>
    <row r="571">
      <c r="A571" s="176"/>
      <c r="D571" s="176" t="str">
        <f>IFERROR(__xludf.DUMMYFUNCTION("""COMPUTED_VALUE"""),"8400563 - [deleted] SPATHIPHYLLUM  COLOR CERAMICA 30 CM/18 (154597)")</f>
        <v>8400563 - [deleted] SPATHIPHYLLUM  COLOR CERAMICA 30 CM/18 (154597)</v>
      </c>
    </row>
    <row r="572">
      <c r="A572" s="176"/>
      <c r="D572" s="176" t="str">
        <f>IFERROR(__xludf.DUMMYFUNCTION("""COMPUTED_VALUE"""),"8400564 - SUCCULENTUS MIX - Trio - planta/0 (168951, 175513)")</f>
        <v>8400564 - SUCCULENTUS MIX - Trio - planta/0 (168951, 175513)</v>
      </c>
    </row>
    <row r="573">
      <c r="A573" s="176"/>
      <c r="D573" s="176" t="str">
        <f>IFERROR(__xludf.DUMMYFUNCTION("""COMPUTED_VALUE"""),"8400565 - [closed] VIOLA - Cornuta - planta/10 (175494)")</f>
        <v>8400565 - [closed] VIOLA - Cornuta - planta/10 (175494)</v>
      </c>
    </row>
    <row r="574">
      <c r="A574" s="176"/>
      <c r="D574" s="176" t="str">
        <f>IFERROR(__xludf.DUMMYFUNCTION("""COMPUTED_VALUE"""),"8400566 - ARANTHERA - flor (173438, 173440)")</f>
        <v>8400566 - ARANTHERA - flor (173438, 173440)</v>
      </c>
    </row>
    <row r="575">
      <c r="A575" s="176"/>
      <c r="D575" s="176"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6">
      <c r="A576" s="176"/>
      <c r="D576" s="176"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7">
      <c r="A577" s="176"/>
      <c r="D577" s="176" t="str">
        <f>IFERROR(__xludf.DUMMYFUNCTION("""COMPUTED_VALUE"""),"8400569 - GLEICHENIA - hoja (151, CORAL FERN)")</f>
        <v>8400569 - GLEICHENIA - hoja (151, CORAL FERN)</v>
      </c>
    </row>
    <row r="578">
      <c r="A578" s="176"/>
      <c r="D578" s="176" t="str">
        <f>IFERROR(__xludf.DUMMYFUNCTION("""COMPUTED_VALUE"""),"8400571 - HELLEBORUS - MIX -flor (140765, 127125, 171419, 177623)")</f>
        <v>8400571 - HELLEBORUS - MIX -flor (140765, 127125, 171419, 177623)</v>
      </c>
    </row>
    <row r="579">
      <c r="A579" s="176"/>
      <c r="D579" s="176" t="str">
        <f>IFERROR(__xludf.DUMMYFUNCTION("""COMPUTED_VALUE"""),"8400572 - [closed] JATROPHA - Firecrack - flor (9425)")</f>
        <v>8400572 - [closed] JATROPHA - Firecrack - flor (9425)</v>
      </c>
    </row>
    <row r="580">
      <c r="A580" s="176"/>
      <c r="D580" s="176" t="str">
        <f>IFERROR(__xludf.DUMMYFUNCTION("""COMPUTED_VALUE"""),"8400573 - KOCHIA - flor (175185, 27324)")</f>
        <v>8400573 - KOCHIA - flor (175185, 27324)</v>
      </c>
    </row>
    <row r="581">
      <c r="A581" s="176"/>
      <c r="D581" s="176" t="str">
        <f>IFERROR(__xludf.DUMMYFUNCTION("""COMPUTED_VALUE"""),"8400574 - BAMBU - RECTO 70cm (34070 )")</f>
        <v>8400574 - BAMBU - RECTO 70cm (34070 )</v>
      </c>
    </row>
    <row r="582">
      <c r="A582" s="176"/>
      <c r="D582" s="176" t="str">
        <f>IFERROR(__xludf.DUMMYFUNCTION("""COMPUTED_VALUE"""),"8400575 - [deleted] PANICUM VIR HEAVY METAL (18810 )")</f>
        <v>8400575 - [deleted] PANICUM VIR HEAVY METAL (18810 )</v>
      </c>
    </row>
    <row r="583">
      <c r="A583" s="176"/>
      <c r="D583" s="176" t="str">
        <f>IFERROR(__xludf.DUMMYFUNCTION("""COMPUTED_VALUE"""),"8400576 - RETAMA con FRUTOS - rama (172746)")</f>
        <v>8400576 - RETAMA con FRUTOS - rama (172746)</v>
      </c>
    </row>
    <row r="584">
      <c r="A584" s="176"/>
      <c r="D584" s="176" t="str">
        <f>IFERROR(__xludf.DUMMYFUNCTION("""COMPUTED_VALUE"""),"8400577 - [closed] RS ROSA - Enchantment (146814)")</f>
        <v>8400577 - [closed] RS ROSA - Enchantment (146814)</v>
      </c>
    </row>
    <row r="585">
      <c r="A585" s="176"/>
      <c r="D585" s="176" t="str">
        <f>IFERROR(__xludf.DUMMYFUNCTION("""COMPUTED_VALUE"""),"8400578 - RS ROSA - Matcha (109567, 177952)")</f>
        <v>8400578 - RS ROSA - Matcha (109567, 177952)</v>
      </c>
    </row>
    <row r="586">
      <c r="A586" s="176"/>
      <c r="D586" s="176" t="str">
        <f>IFERROR(__xludf.DUMMYFUNCTION("""COMPUTED_VALUE"""),"8400579 - RS ROSA- Red Panther - flor (138637, 138636)")</f>
        <v>8400579 - RS ROSA- Red Panther - flor (138637, 138636)</v>
      </c>
    </row>
    <row r="587">
      <c r="A587" s="176"/>
      <c r="D587" s="176" t="str">
        <f>IFERROR(__xludf.DUMMYFUNCTION("""COMPUTED_VALUE"""),"8400580 - VIBURNUM -rama (24100, 158743, 67578)")</f>
        <v>8400580 - VIBURNUM -rama (24100, 158743, 67578)</v>
      </c>
    </row>
    <row r="588">
      <c r="A588" s="176"/>
      <c r="D588" s="176" t="str">
        <f>IFERROR(__xludf.DUMMYFUNCTION("""COMPUTED_VALUE"""),"8400581 - SENECIO - Ovidius -herbacea (169019 )")</f>
        <v>8400581 - SENECIO - Ovidius -herbacea (169019 )</v>
      </c>
    </row>
    <row r="589">
      <c r="A589" s="176"/>
      <c r="D589" s="176" t="str">
        <f>IFERROR(__xludf.DUMMYFUNCTION("""COMPUTED_VALUE"""),"8400582 - PENNISETUM - herbacea (61766)")</f>
        <v>8400582 - PENNISETUM - herbacea (61766)</v>
      </c>
    </row>
    <row r="590">
      <c r="A590" s="176"/>
      <c r="D590" s="176" t="str">
        <f>IFERROR(__xludf.DUMMYFUNCTION("""COMPUTED_VALUE"""),"R00045 - AFILADOR DE CUCHILLOS ()")</f>
        <v>R00045 - AFILADOR DE CUCHILLOS ()</v>
      </c>
    </row>
    <row r="591">
      <c r="A591" s="176"/>
      <c r="D591" s="176" t="str">
        <f>IFERROR(__xludf.DUMMYFUNCTION("""COMPUTED_VALUE"""),"R00046 - Cartucho (картридж для принтера) ()")</f>
        <v>R00046 - Cartucho (картридж для принтера) ()</v>
      </c>
    </row>
    <row r="592">
      <c r="A592" s="176"/>
      <c r="D592" s="176" t="str">
        <f>IFERROR(__xludf.DUMMYFUNCTION("""COMPUTED_VALUE"""),"8400583 - BEAUCARNEA T14 - planta/48 (14 CM, BEAUTARGRR)")</f>
        <v>8400583 - BEAUCARNEA T14 - planta/48 (14 CM, BEAUTARGRR)</v>
      </c>
    </row>
    <row r="593">
      <c r="A593" s="176"/>
      <c r="D593" s="176" t="str">
        <f>IFERROR(__xludf.DUMMYFUNCTION("""COMPUTED_VALUE"""),"8400584 - [closed] RS ROSA - Do  ()")</f>
        <v>8400584 - [closed] RS ROSA - Do  ()</v>
      </c>
    </row>
    <row r="594">
      <c r="A594" s="176"/>
      <c r="D594" s="176" t="str">
        <f>IFERROR(__xludf.DUMMYFUNCTION("""COMPUTED_VALUE"""),"8400585 - LEWISIA - planta/8 (LEW)")</f>
        <v>8400585 - LEWISIA - planta/8 (LEW)</v>
      </c>
    </row>
    <row r="595">
      <c r="A595" s="176"/>
      <c r="D595" s="176" t="str">
        <f>IFERROR(__xludf.DUMMYFUNCTION("""COMPUTED_VALUE"""),"8400586 - CELOSIA - planta/10 (EUT12)")</f>
        <v>8400586 - CELOSIA - planta/10 (EUT12)</v>
      </c>
    </row>
    <row r="596">
      <c r="A596" s="176"/>
      <c r="D596" s="176" t="str">
        <f>IFERROR(__xludf.DUMMYFUNCTION("""COMPUTED_VALUE"""),"8400587 - OZOTHAMNUS - flor (ARROS,  FLOR DE ARROZ, ARR)")</f>
        <v>8400587 - OZOTHAMNUS - flor (ARROS,  FLOR DE ARROZ, ARR)</v>
      </c>
    </row>
    <row r="597">
      <c r="A597" s="176"/>
      <c r="D597" s="176" t="str">
        <f>IFERROR(__xludf.DUMMYFUNCTION("""COMPUTED_VALUE"""),"8400588 - BEAUCARNEA -Extra - planta/95 (R17)")</f>
        <v>8400588 - BEAUCARNEA -Extra - planta/95 (R17)</v>
      </c>
    </row>
    <row r="598">
      <c r="A598" s="176"/>
      <c r="D598" s="176" t="str">
        <f>IFERROR(__xludf.DUMMYFUNCTION("""COMPUTED_VALUE"""),"8400589 - MUGUET - planta/12 (MUG, 10814)")</f>
        <v>8400589 - MUGUET - planta/12 (MUG, 10814)</v>
      </c>
    </row>
    <row r="599">
      <c r="A599" s="176"/>
      <c r="D599" s="176" t="str">
        <f>IFERROR(__xludf.DUMMYFUNCTION("""COMPUTED_VALUE"""),"8400590 - PALMA BEBE  40CM (38676121 )")</f>
        <v>8400590 - PALMA BEBE  40CM (38676121 )</v>
      </c>
    </row>
    <row r="600">
      <c r="A600" s="176"/>
      <c r="D600" s="176" t="str">
        <f>IFERROR(__xludf.DUMMYFUNCTION("""COMPUTED_VALUE"""),"8400591 - SUCCULENTUS OTHER - planta/28 (CRASSCI-9, AEON.012)")</f>
        <v>8400591 - SUCCULENTUS OTHER - planta/28 (CRASSCI-9, AEON.012)</v>
      </c>
    </row>
    <row r="601">
      <c r="A601" s="176"/>
      <c r="D601" s="176" t="str">
        <f>IFERROR(__xludf.DUMMYFUNCTION("""COMPUTED_VALUE"""),"8400570 - [deleted] HELLEBORUS GLENDA`S GLOSS - flor (127125)")</f>
        <v>8400570 - [deleted] HELLEBORUS GLENDA`S GLOSS - flor (127125)</v>
      </c>
    </row>
    <row r="602">
      <c r="A602" s="176"/>
      <c r="D602" s="176" t="str">
        <f>IFERROR(__xludf.DUMMYFUNCTION("""COMPUTED_VALUE"""),"8400592 - CACTUS SUSPENSIO - planta/28 (TEST 13CM)")</f>
        <v>8400592 - CACTUS SUSPENSIO - planta/28 (TEST 13CM)</v>
      </c>
    </row>
    <row r="603">
      <c r="A603" s="176"/>
      <c r="D603" s="176" t="str">
        <f>IFERROR(__xludf.DUMMYFUNCTION("""COMPUTED_VALUE"""),"8400593 - SUCCULENTUS ALOE - planta/19 (TEST 21CM ALOE)")</f>
        <v>8400593 - SUCCULENTUS ALOE - planta/19 (TEST 21CM ALOE)</v>
      </c>
    </row>
    <row r="604">
      <c r="A604" s="176"/>
      <c r="D604" s="176" t="str">
        <f>IFERROR(__xludf.DUMMYFUNCTION("""COMPUTED_VALUE"""),"8400594 - CACTUS - planta/22 (TEST 13 cactus)")</f>
        <v>8400594 - CACTUS - planta/22 (TEST 13 cactus)</v>
      </c>
    </row>
    <row r="605">
      <c r="A605" s="176"/>
      <c r="D605" s="176" t="str">
        <f>IFERROR(__xludf.DUMMYFUNCTION("""COMPUTED_VALUE"""),"8400595 - FICUS - Ginseng - planta/34 (FIGGIN22, M22, FICGIN22)")</f>
        <v>8400595 - FICUS - Ginseng - planta/34 (FIGGIN22, M22, FICGIN22)</v>
      </c>
    </row>
    <row r="606">
      <c r="A606" s="176"/>
      <c r="D606" s="176" t="str">
        <f>IFERROR(__xludf.DUMMYFUNCTION("""COMPUTED_VALUE"""),"8400596 - PACHIRA - Aquatica - planta/24 (PACHI2)")</f>
        <v>8400596 - PACHIRA - Aquatica - planta/24 (PACHI2)</v>
      </c>
    </row>
    <row r="607">
      <c r="A607" s="176"/>
      <c r="D607" s="176" t="str">
        <f>IFERROR(__xludf.DUMMYFUNCTION("""COMPUTED_VALUE"""),"8400597 - BEAUCARNEA T12 - Recurvata - planta/26 (BEAU12 , BEAUT12)")</f>
        <v>8400597 - BEAUCARNEA T12 - Recurvata - planta/26 (BEAU12 , BEAUT12)</v>
      </c>
    </row>
    <row r="608">
      <c r="A608" s="176"/>
      <c r="D608" s="176" t="str">
        <f>IFERROR(__xludf.DUMMYFUNCTION("""COMPUTED_VALUE"""),"8400598 - AGLAONEMA - Silver Bay - planta/38 (92442, 132331, 187150)")</f>
        <v>8400598 - AGLAONEMA - Silver Bay - planta/38 (92442, 132331, 187150)</v>
      </c>
    </row>
    <row r="609">
      <c r="A609" s="176"/>
      <c r="D609" s="176" t="str">
        <f>IFERROR(__xludf.DUMMYFUNCTION("""COMPUTED_VALUE"""),"8400599 - KALANCHOE - planta/6 (95306, h23 d10,KALI)")</f>
        <v>8400599 - KALANCHOE - planta/6 (95306, h23 d10,KALI)</v>
      </c>
    </row>
    <row r="610">
      <c r="A610" s="176"/>
      <c r="D610" s="176" t="str">
        <f>IFERROR(__xludf.DUMMYFUNCTION("""COMPUTED_VALUE"""),"8400600 - ALCHEMILLA- flor (24944, 180228)")</f>
        <v>8400600 - ALCHEMILLA- flor (24944, 180228)</v>
      </c>
    </row>
    <row r="611">
      <c r="A611" s="176"/>
      <c r="D611" s="176" t="str">
        <f>IFERROR(__xludf.DUMMYFUNCTION("""COMPUTED_VALUE"""),"8400601 - AMARANTHUS MIX - flor (55182, 151717, 45115)")</f>
        <v>8400601 - AMARANTHUS MIX - flor (55182, 151717, 45115)</v>
      </c>
    </row>
    <row r="612">
      <c r="A612" s="176"/>
      <c r="D612" s="176" t="str">
        <f>IFERROR(__xludf.DUMMYFUNCTION("""COMPUTED_VALUE"""),"8400602 - CAMPANULA - flor (35725, lavanda, 51345, 180159, 180159)")</f>
        <v>8400602 - CAMPANULA - flor (35725, lavanda, 51345, 180159, 180159)</v>
      </c>
    </row>
    <row r="613">
      <c r="A613" s="176"/>
      <c r="D613" s="176" t="str">
        <f>IFERROR(__xludf.DUMMYFUNCTION("""COMPUTED_VALUE"""),"8400603 - CLAVEL - Blue Copernico -MINI -flor (170749, Purpura/Blanco-40cm)")</f>
        <v>8400603 - CLAVEL - Blue Copernico -MINI -flor (170749, Purpura/Blanco-40cm)</v>
      </c>
    </row>
    <row r="614">
      <c r="A614" s="176"/>
      <c r="D614" s="176" t="str">
        <f>IFERROR(__xludf.DUMMYFUNCTION("""COMPUTED_VALUE"""),"8400604 - ONCIDIUM - flor (174760, 173524)")</f>
        <v>8400604 - ONCIDIUM - flor (174760, 173524)</v>
      </c>
    </row>
    <row r="615">
      <c r="A615" s="176"/>
      <c r="D615" s="176" t="str">
        <f>IFERROR(__xludf.DUMMYFUNCTION("""COMPUTED_VALUE"""),"8400605 - PAPAVER - Pizzicato - flor (174760, AMAPOLA Mixto-50cm, 89484, 155065)")</f>
        <v>8400605 - PAPAVER - Pizzicato - flor (174760, AMAPOLA Mixto-50cm, 89484, 155065)</v>
      </c>
    </row>
    <row r="616">
      <c r="A616" s="176"/>
      <c r="D616" s="176"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7">
      <c r="A617" s="176"/>
      <c r="D617" s="176" t="str">
        <f>IFERROR(__xludf.DUMMYFUNCTION("""COMPUTED_VALUE"""),"8400666 - PEONIA - flor (176196, 179295)")</f>
        <v>8400666 - PEONIA - flor (176196, 179295)</v>
      </c>
    </row>
    <row r="618">
      <c r="A618" s="176"/>
      <c r="D618" s="176" t="str">
        <f>IFERROR(__xludf.DUMMYFUNCTION("""COMPUTED_VALUE"""),"8400607 - SANGUISORBA - herbacea (RED DR Rojo-70cm, 92364, 178885, 119729)")</f>
        <v>8400607 - SANGUISORBA - herbacea (RED DR Rojo-70cm, 92364, 178885, 119729)</v>
      </c>
    </row>
    <row r="619">
      <c r="A619" s="176"/>
      <c r="D619" s="176" t="str">
        <f>IFERROR(__xludf.DUMMYFUNCTION("""COMPUTED_VALUE"""),"8400608 - CELOSIA GOLD - flor (141615, OCRE-70 CM)")</f>
        <v>8400608 - CELOSIA GOLD - flor (141615, OCRE-70 CM)</v>
      </c>
    </row>
    <row r="620">
      <c r="A620" s="176"/>
      <c r="D620" s="176" t="str">
        <f>IFERROR(__xludf.DUMMYFUNCTION("""COMPUTED_VALUE"""),"8400609 - CELOSIA ORANGE - flor (109950, 33594, 138153)")</f>
        <v>8400609 - CELOSIA ORANGE - flor (109950, 33594, 138153)</v>
      </c>
    </row>
    <row r="621">
      <c r="A621" s="176"/>
      <c r="D621" s="176" t="str">
        <f>IFERROR(__xludf.DUMMYFUNCTION("""COMPUTED_VALUE"""),"8400610 - ORNITHOGALUM - Sunshine - flor (Naranja-40cm, 25706)")</f>
        <v>8400610 - ORNITHOGALUM - Sunshine - flor (Naranja-40cm, 25706)</v>
      </c>
    </row>
    <row r="622">
      <c r="A622" s="176"/>
      <c r="D622" s="176" t="str">
        <f>IFERROR(__xludf.DUMMYFUNCTION("""COMPUTED_VALUE"""),"8400611 - [deleted] SAFARI GOLDSTRIKE (Verde/Amarillo-70cm, 170076)")</f>
        <v>8400611 - [deleted] SAFARI GOLDSTRIKE (Verde/Amarillo-70cm, 170076)</v>
      </c>
    </row>
    <row r="623">
      <c r="A623" s="176"/>
      <c r="D623" s="176" t="str">
        <f>IFERROR(__xludf.DUMMYFUNCTION("""COMPUTED_VALUE"""),"8400613 - PL LIS ESTRELLA (159763)")</f>
        <v>8400613 - PL LIS ESTRELLA (159763)</v>
      </c>
    </row>
    <row r="624">
      <c r="A624" s="176"/>
      <c r="D624" s="176" t="str">
        <f>IFERROR(__xludf.DUMMYFUNCTION("""COMPUTED_VALUE"""),"8400614 - [deleted] PL LIS HOJA FLOR (148558, CREMA-70CM)")</f>
        <v>8400614 - [deleted] PL LIS HOJA FLOR (148558, CREMA-70CM)</v>
      </c>
    </row>
    <row r="625">
      <c r="A625" s="176"/>
      <c r="D625" s="176" t="str">
        <f>IFERROR(__xludf.DUMMYFUNCTION("""COMPUTED_VALUE"""),"R00047 - CINTA ALGODÓN 10MM X 50M (39103121 )")</f>
        <v>R00047 - CINTA ALGODÓN 10MM X 50M (39103121 )</v>
      </c>
    </row>
    <row r="626">
      <c r="A626" s="176"/>
      <c r="D626" s="176" t="str">
        <f>IFERROR(__xludf.DUMMYFUNCTION("""COMPUTED_VALUE"""),"R00048 - CORDON SENYERA 2MM X 100M (39394121)")</f>
        <v>R00048 - CORDON SENYERA 2MM X 100M (39394121)</v>
      </c>
    </row>
    <row r="627">
      <c r="A627" s="176"/>
      <c r="D627" s="176" t="str">
        <f>IFERROR(__xludf.DUMMYFUNCTION("""COMPUTED_VALUE"""),"R00049 - Check-list ()")</f>
        <v>R00049 - Check-list ()</v>
      </c>
    </row>
    <row r="628">
      <c r="A628" s="176"/>
      <c r="D628" s="176" t="str">
        <f>IFERROR(__xludf.DUMMYFUNCTION("""COMPUTED_VALUE"""),"R00050 - Lista de Ramos ()")</f>
        <v>R00050 - Lista de Ramos ()</v>
      </c>
    </row>
    <row r="629">
      <c r="A629" s="176"/>
      <c r="D629" s="176" t="str">
        <f>IFERROR(__xludf.DUMMYFUNCTION("""COMPUTED_VALUE"""),"R00051 - Factura de Venta (libreta) ()")</f>
        <v>R00051 - Factura de Venta (libreta) ()</v>
      </c>
    </row>
    <row r="630">
      <c r="A630" s="176"/>
      <c r="D630" s="176" t="str">
        <f>IFERROR(__xludf.DUMMYFUNCTION("""COMPUTED_VALUE"""),"R00052 - CLIPS DE CARPETA ()")</f>
        <v>R00052 - CLIPS DE CARPETA ()</v>
      </c>
    </row>
    <row r="631">
      <c r="A631" s="176"/>
      <c r="D631" s="176" t="str">
        <f>IFERROR(__xludf.DUMMYFUNCTION("""COMPUTED_VALUE"""),"R00054 - VISITAS ARAIK GALSTYAN ()")</f>
        <v>R00054 - VISITAS ARAIK GALSTYAN ()</v>
      </c>
    </row>
    <row r="632">
      <c r="A632" s="176"/>
      <c r="D632" s="176" t="str">
        <f>IFERROR(__xludf.DUMMYFUNCTION("""COMPUTED_VALUE"""),"R00055 - NOTAS ()")</f>
        <v>R00055 - NOTAS ()</v>
      </c>
    </row>
    <row r="633">
      <c r="A633" s="176"/>
      <c r="D633" s="176" t="str">
        <f>IFERROR(__xludf.DUMMYFUNCTION("""COMPUTED_VALUE"""),"R00056 - SOBRES ()")</f>
        <v>R00056 - SOBRES ()</v>
      </c>
    </row>
    <row r="634">
      <c r="A634" s="176"/>
      <c r="D634" s="176" t="str">
        <f>IFERROR(__xludf.DUMMYFUNCTION("""COMPUTED_VALUE"""),"R00057 - DELANTAL NEGRO ()")</f>
        <v>R00057 - DELANTAL NEGRO ()</v>
      </c>
    </row>
    <row r="635">
      <c r="A635" s="176"/>
      <c r="D635" s="176" t="str">
        <f>IFERROR(__xludf.DUMMYFUNCTION("""COMPUTED_VALUE"""),"R00058-2 - SOBRES GRANDES ()")</f>
        <v>R00058-2 - SOBRES GRANDES ()</v>
      </c>
    </row>
    <row r="636">
      <c r="A636" s="176"/>
      <c r="D636" s="176" t="str">
        <f>IFERROR(__xludf.DUMMYFUNCTION("""COMPUTED_VALUE"""),"R00059 - Pegatinas de doble cara ()")</f>
        <v>R00059 - Pegatinas de doble cara ()</v>
      </c>
    </row>
    <row r="637">
      <c r="A637" s="176"/>
      <c r="D637" s="176" t="str">
        <f>IFERROR(__xludf.DUMMYFUNCTION("""COMPUTED_VALUE"""),"8400615 - Maceta de plastico para jardin ()")</f>
        <v>8400615 - Maceta de plastico para jardin ()</v>
      </c>
    </row>
    <row r="638">
      <c r="A638" s="176"/>
      <c r="D638" s="176" t="str">
        <f>IFERROR(__xludf.DUMMYFUNCTION("""COMPUTED_VALUE"""),"8400616 - Maceta de piel para jardin ()")</f>
        <v>8400616 - Maceta de piel para jardin ()</v>
      </c>
    </row>
    <row r="639">
      <c r="A639" s="176"/>
      <c r="D639" s="176" t="str">
        <f>IFERROR(__xludf.DUMMYFUNCTION("""COMPUTED_VALUE"""),"8400612 - MICROSORUM - planta/36 (4 MIC25, T25)")</f>
        <v>8400612 - MICROSORUM - planta/36 (4 MIC25, T25)</v>
      </c>
    </row>
    <row r="640">
      <c r="A640" s="176"/>
      <c r="D640" s="176" t="str">
        <f>IFERROR(__xludf.DUMMYFUNCTION("""COMPUTED_VALUE"""),"8400617 - PACHIRA 140cm - planta/110 (2 PACH27, T27, PACHACU22)")</f>
        <v>8400617 - PACHIRA 140cm - planta/110 (2 PACH27, T27, PACHACU22)</v>
      </c>
    </row>
    <row r="641">
      <c r="A641" s="176"/>
      <c r="D641" s="176" t="str">
        <f>IFERROR(__xludf.DUMMYFUNCTION("""COMPUTED_VALUE"""),"8400618 - PACHIRA - Aquatica -palnta/39 (4 PACH17, T17)")</f>
        <v>8400618 - PACHIRA - Aquatica -palnta/39 (4 PACH17, T17)</v>
      </c>
    </row>
    <row r="642">
      <c r="A642" s="176"/>
      <c r="D642" s="176" t="str">
        <f>IFERROR(__xludf.DUMMYFUNCTION("""COMPUTED_VALUE"""),"8400619 - [closed] PELARGONIUM GRANDE - planta/22 (GRAT20, GRANDIFLORUM, T20)")</f>
        <v>8400619 - [closed] PELARGONIUM GRANDE - planta/22 (GRAT20, GRANDIFLORUM, T20)</v>
      </c>
    </row>
    <row r="643">
      <c r="A643" s="176"/>
      <c r="D643" s="176" t="str">
        <f>IFERROR(__xludf.DUMMYFUNCTION("""COMPUTED_VALUE"""),"8400620 - [closed] FATSIA - Japonica - planta/68 (FATJAP17, FATSIA JAPONICA 17)")</f>
        <v>8400620 - [closed] FATSIA - Japonica - planta/68 (FATJAP17, FATSIA JAPONICA 17)</v>
      </c>
    </row>
    <row r="644">
      <c r="A644" s="176"/>
      <c r="D644" s="176" t="str">
        <f>IFERROR(__xludf.DUMMYFUNCTION("""COMPUTED_VALUE"""),"8400621 - [closed] RUSCUS - planta/60 (JA70070)")</f>
        <v>8400621 - [closed] RUSCUS - planta/60 (JA70070)</v>
      </c>
    </row>
    <row r="645">
      <c r="A645" s="176"/>
      <c r="D645" s="176" t="str">
        <f>IFERROR(__xludf.DUMMYFUNCTION("""COMPUTED_VALUE"""),"8400622 - SANSEVIERIA - Zarla - planta/25 (SANSE ZARLA, 60539, 181358)")</f>
        <v>8400622 - SANSEVIERIA - Zarla - planta/25 (SANSE ZARLA, 60539, 181358)</v>
      </c>
    </row>
    <row r="646">
      <c r="A646" s="176"/>
      <c r="D646" s="176" t="str">
        <f>IFERROR(__xludf.DUMMYFUNCTION("""COMPUTED_VALUE"""),"8400623 - ROSA - Black Pearl (ROSA)")</f>
        <v>8400623 - ROSA - Black Pearl (ROSA)</v>
      </c>
    </row>
    <row r="647">
      <c r="A647" s="176"/>
      <c r="D647" s="176" t="str">
        <f>IFERROR(__xludf.DUMMYFUNCTION("""COMPUTED_VALUE"""),"8400716 - TARJETA - Sant Jordi ()")</f>
        <v>8400716 - TARJETA - Sant Jordi ()</v>
      </c>
    </row>
    <row r="648">
      <c r="A648" s="176"/>
      <c r="D648" s="176" t="str">
        <f>IFERROR(__xludf.DUMMYFUNCTION("""COMPUTED_VALUE"""),"8400715 - FUNDA FLOR BASIC (ENV 0114)")</f>
        <v>8400715 - FUNDA FLOR BASIC (ENV 0114)</v>
      </c>
    </row>
    <row r="649">
      <c r="A649" s="176"/>
      <c r="D649" s="176" t="str">
        <f>IFERROR(__xludf.DUMMYFUNCTION("""COMPUTED_VALUE"""),"8400624 - [closed] RS ROSA - Azul (RSA50)")</f>
        <v>8400624 - [closed] RS ROSA - Azul (RSA50)</v>
      </c>
    </row>
    <row r="650">
      <c r="A650" s="176"/>
      <c r="D650" s="176" t="str">
        <f>IFERROR(__xludf.DUMMYFUNCTION("""COMPUTED_VALUE"""),"R00062 - SPRAY MONTANA 400ML (EX014W9011M, 1111, 1113)")</f>
        <v>R00062 - SPRAY MONTANA 400ML (EX014W9011M, 1111, 1113)</v>
      </c>
    </row>
    <row r="651">
      <c r="A651" s="176"/>
      <c r="D651" s="176" t="str">
        <f>IFERROR(__xludf.DUMMYFUNCTION("""COMPUTED_VALUE"""),"8400625 - ESPIGAS de TRIGO - herbacea (TRI)")</f>
        <v>8400625 - ESPIGAS de TRIGO - herbacea (TRI)</v>
      </c>
    </row>
    <row r="652">
      <c r="A652" s="176"/>
      <c r="D652" s="176" t="str">
        <f>IFERROR(__xludf.DUMMYFUNCTION("""COMPUTED_VALUE"""),"8400626 - [deleted] ROSA - SANT JORDI 50cm (235673)")</f>
        <v>8400626 - [deleted] ROSA - SANT JORDI 50cm (235673)</v>
      </c>
    </row>
    <row r="653">
      <c r="A653" s="176"/>
      <c r="D653" s="176" t="str">
        <f>IFERROR(__xludf.DUMMYFUNCTION("""COMPUTED_VALUE"""),"8400627 - [deleted] ROSA - SANT JORDI 60cm (235674)")</f>
        <v>8400627 - [deleted] ROSA - SANT JORDI 60cm (235674)</v>
      </c>
    </row>
    <row r="654">
      <c r="A654" s="176"/>
      <c r="D654" s="176" t="str">
        <f>IFERROR(__xludf.DUMMYFUNCTION("""COMPUTED_VALUE"""),"8400628 - ROSA - SANT VALENTIN 50cm (235675, 235673, 235674)")</f>
        <v>8400628 - ROSA - SANT VALENTIN 50cm (235675, 235673, 235674)</v>
      </c>
    </row>
    <row r="655">
      <c r="A655" s="176"/>
      <c r="D655" s="176" t="str">
        <f>IFERROR(__xludf.DUMMYFUNCTION("""COMPUTED_VALUE"""),"8400629 - [closed] ESPIGAS - Sant Jordi - herbacea (120051)")</f>
        <v>8400629 - [closed] ESPIGAS - Sant Jordi - herbacea (120051)</v>
      </c>
    </row>
    <row r="656">
      <c r="A656" s="176"/>
      <c r="D656" s="176" t="str">
        <f>IFERROR(__xludf.DUMMYFUNCTION("""COMPUTED_VALUE"""),"R00064 - CONO ()")</f>
        <v>R00064 - CONO ()</v>
      </c>
    </row>
    <row r="657">
      <c r="A657" s="176"/>
      <c r="D657" s="176" t="str">
        <f>IFERROR(__xludf.DUMMYFUNCTION("""COMPUTED_VALUE"""),"8400551 - BAMBU - TIGER 60cm (LUCT60)")</f>
        <v>8400551 - BAMBU - TIGER 60cm (LUCT60)</v>
      </c>
    </row>
    <row r="658">
      <c r="A658" s="176"/>
      <c r="D658" s="176" t="str">
        <f>IFERROR(__xludf.DUMMYFUNCTION("""COMPUTED_VALUE"""),"8400630 - BEGONIA MIX - planta/14 (BEGVAL )")</f>
        <v>8400630 - BEGONIA MIX - planta/14 (BEGVAL )</v>
      </c>
    </row>
    <row r="659">
      <c r="A659" s="176"/>
      <c r="D659" s="176" t="str">
        <f>IFERROR(__xludf.DUMMYFUNCTION("""COMPUTED_VALUE"""),"8400631 - PHALAENOPSIS MIX - planta/64 (3 PHALAV, 95396)")</f>
        <v>8400631 - PHALAENOPSIS MIX - planta/64 (3 PHALAV, 95396)</v>
      </c>
    </row>
    <row r="660">
      <c r="A660" s="176"/>
      <c r="D660" s="176" t="str">
        <f>IFERROR(__xludf.DUMMYFUNCTION("""COMPUTED_VALUE"""),"8400632 - [closed] OLIVO - planta/240 (OLICOPC40)")</f>
        <v>8400632 - [closed] OLIVO - planta/240 (OLICOPC40)</v>
      </c>
    </row>
    <row r="661">
      <c r="A661" s="176"/>
      <c r="D661" s="176" t="str">
        <f>IFERROR(__xludf.DUMMYFUNCTION("""COMPUTED_VALUE"""),"8400632-2 - [deleted] ARBUTUS  - rama (MAD, ARBUTUS)")</f>
        <v>8400632-2 - [deleted] ARBUTUS  - rama (MAD, ARBUTUS)</v>
      </c>
    </row>
    <row r="662">
      <c r="A662" s="176"/>
      <c r="D662" s="176" t="str">
        <f>IFERROR(__xludf.DUMMYFUNCTION("""COMPUTED_VALUE"""),"8400634 - RHIPSALIS - planta/64 (RHIPSALIS, RHIPM15)")</f>
        <v>8400634 - RHIPSALIS - planta/64 (RHIPSALIS, RHIPM15)</v>
      </c>
    </row>
    <row r="663">
      <c r="A663" s="176"/>
      <c r="D663" s="176" t="str">
        <f>IFERROR(__xludf.DUMMYFUNCTION("""COMPUTED_VALUE"""),"8400635 - RHIPSALIS con FLORES - planta/32 (RHIPM15, PLAVAR20)")</f>
        <v>8400635 - RHIPSALIS con FLORES - planta/32 (RHIPM15, PLAVAR20)</v>
      </c>
    </row>
    <row r="664">
      <c r="A664" s="176"/>
      <c r="D664" s="176" t="str">
        <f>IFERROR(__xludf.DUMMYFUNCTION("""COMPUTED_VALUE"""),"8400633 - ANTHURIUM - Colorado - planta con ceramica (88367, 119864, 136249, 116712, ANTHM17, )")</f>
        <v>8400633 - ANTHURIUM - Colorado - planta con ceramica (88367, 119864, 136249, 116712, ANTHM17, )</v>
      </c>
    </row>
    <row r="665">
      <c r="A665" s="176"/>
      <c r="D665" s="176" t="str">
        <f>IFERROR(__xludf.DUMMYFUNCTION("""COMPUTED_VALUE"""),"8400636 - CAMBRIA - Burrageara - planta (160940, 152511)")</f>
        <v>8400636 - CAMBRIA - Burrageara - planta (160940, 152511)</v>
      </c>
    </row>
    <row r="666">
      <c r="A666" s="176"/>
      <c r="D666" s="176" t="str">
        <f>IFERROR(__xludf.DUMMYFUNCTION("""COMPUTED_VALUE"""),"8400637 - PHALAENOEPSIS - planta con ceramica/110 (174956  4T Negra, 182800, 182800)")</f>
        <v>8400637 - PHALAENOEPSIS - planta con ceramica/110 (174956  4T Negra, 182800, 182800)</v>
      </c>
    </row>
    <row r="667">
      <c r="A667" s="176"/>
      <c r="D667" s="176" t="str">
        <f>IFERROR(__xludf.DUMMYFUNCTION("""COMPUTED_VALUE"""),"8400638 - SPATHIPHYLLUM  90cm  - Sweet Lauretta - planta/68 (128643)")</f>
        <v>8400638 - SPATHIPHYLLUM  90cm  - Sweet Lauretta - planta/68 (128643)</v>
      </c>
    </row>
    <row r="668">
      <c r="A668" s="176"/>
      <c r="D668" s="176" t="str">
        <f>IFERROR(__xludf.DUMMYFUNCTION("""COMPUTED_VALUE"""),"8400639 - ANTHURIUM - Dakota - planta/64 (169246, 81688 )")</f>
        <v>8400639 - ANTHURIUM - Dakota - planta/64 (169246, 81688 )</v>
      </c>
    </row>
    <row r="669">
      <c r="A669" s="176"/>
      <c r="D669" s="176" t="str">
        <f>IFERROR(__xludf.DUMMYFUNCTION("""COMPUTED_VALUE"""),"8400640 - SPATHIPHYLLUM 110cm- Sweet Sebastiano - planta/125 (177780 )")</f>
        <v>8400640 - SPATHIPHYLLUM 110cm- Sweet Sebastiano - planta/125 (177780 )</v>
      </c>
    </row>
    <row r="670">
      <c r="A670" s="176"/>
      <c r="D670" s="176" t="str">
        <f>IFERROR(__xludf.DUMMYFUNCTION("""COMPUTED_VALUE"""),"8400641 - FLOR EXOTICA - 5 flores (160950)")</f>
        <v>8400641 - FLOR EXOTICA - 5 flores (160950)</v>
      </c>
    </row>
    <row r="671">
      <c r="A671" s="176"/>
      <c r="D671" s="176" t="str">
        <f>IFERROR(__xludf.DUMMYFUNCTION("""COMPUTED_VALUE"""),"8400642 - FRITILLARIA - flor (126758)")</f>
        <v>8400642 - FRITILLARIA - flor (126758)</v>
      </c>
    </row>
    <row r="672">
      <c r="A672" s="176"/>
      <c r="D672" s="176" t="str">
        <f>IFERROR(__xludf.DUMMYFUNCTION("""COMPUTED_VALUE"""),"8400643 - ASPARAGUS COLOR - hoja (114698, 110393, 46561)")</f>
        <v>8400643 - ASPARAGUS COLOR - hoja (114698, 110393, 46561)</v>
      </c>
    </row>
    <row r="673">
      <c r="A673" s="176"/>
      <c r="D673" s="176" t="str">
        <f>IFERROR(__xludf.DUMMYFUNCTION("""COMPUTED_VALUE"""),"8400644 - MANDARINA RS ROSA ESPECIAL - flor (164838, 178544, 174535)")</f>
        <v>8400644 - MANDARINA RS ROSA ESPECIAL - flor (164838, 178544, 174535)</v>
      </c>
    </row>
    <row r="674">
      <c r="A674" s="176"/>
      <c r="D674" s="176" t="str">
        <f>IFERROR(__xludf.DUMMYFUNCTION("""COMPUTED_VALUE"""),"8400645 - [closed] HELICONIA - Golden Fire Opal - flor (175420)")</f>
        <v>8400645 - [closed] HELICONIA - Golden Fire Opal - flor (175420)</v>
      </c>
    </row>
    <row r="675">
      <c r="A675" s="176"/>
      <c r="D675" s="176" t="str">
        <f>IFERROR(__xludf.DUMMYFUNCTION("""COMPUTED_VALUE"""),"8400646 - [closed] LILIUM (LONGIFLORA) - Watch - flor (48528, 170323)")</f>
        <v>8400646 - [closed] LILIUM (LONGIFLORA) - Watch - flor (48528, 170323)</v>
      </c>
    </row>
    <row r="676">
      <c r="A676" s="176"/>
      <c r="D676" s="176" t="str">
        <f>IFERROR(__xludf.DUMMYFUNCTION("""COMPUTED_VALUE"""),"8400647 - TELOPEA - Waratah - flor (41469)")</f>
        <v>8400647 - TELOPEA - Waratah - flor (41469)</v>
      </c>
    </row>
    <row r="677">
      <c r="A677" s="176"/>
      <c r="D677" s="176" t="str">
        <f>IFERROR(__xludf.DUMMYFUNCTION("""COMPUTED_VALUE"""),"8400648 - TRIFOLIUM - MIX - flor (141896)")</f>
        <v>8400648 - TRIFOLIUM - MIX - flor (141896)</v>
      </c>
    </row>
    <row r="678">
      <c r="A678" s="176"/>
      <c r="D678" s="176" t="str">
        <f>IFERROR(__xludf.DUMMYFUNCTION("""COMPUTED_VALUE"""),"8400649 - [deleted] VIBIRIUM ROSEUM (39305)")</f>
        <v>8400649 - [deleted] VIBIRIUM ROSEUM (39305)</v>
      </c>
    </row>
    <row r="679">
      <c r="A679" s="176"/>
      <c r="D679" s="176" t="str">
        <f>IFERROR(__xludf.DUMMYFUNCTION("""COMPUTED_VALUE"""),"8400650 - GLEICHENIA COLOR - hoja (59632, CORAL FERN)")</f>
        <v>8400650 - GLEICHENIA COLOR - hoja (59632, CORAL FERN)</v>
      </c>
    </row>
    <row r="680">
      <c r="A680" s="176"/>
      <c r="D680" s="176" t="str">
        <f>IFERROR(__xludf.DUMMYFUNCTION("""COMPUTED_VALUE"""),"8400651 - GLORIOSA - Simba - flor (115647)")</f>
        <v>8400651 - GLORIOSA - Simba - flor (115647)</v>
      </c>
    </row>
    <row r="681">
      <c r="A681" s="176"/>
      <c r="D681" s="176" t="str">
        <f>IFERROR(__xludf.DUMMYFUNCTION("""COMPUTED_VALUE"""),"8400652 - ROSA RAMIFICADA - flor (rram)")</f>
        <v>8400652 - ROSA RAMIFICADA - flor (rram)</v>
      </c>
    </row>
    <row r="682">
      <c r="A682" s="176"/>
      <c r="D682" s="176" t="str">
        <f>IFERROR(__xludf.DUMMYFUNCTION("""COMPUTED_VALUE"""),"8400653 - [closed] CALA - planta con ceramica/28 (130289)")</f>
        <v>8400653 - [closed] CALA - planta con ceramica/28 (130289)</v>
      </c>
    </row>
    <row r="683">
      <c r="A683" s="176"/>
      <c r="D683" s="176" t="str">
        <f>IFERROR(__xludf.DUMMYFUNCTION("""COMPUTED_VALUE"""),"8400654 - [closed] MUGUET - flor (MUG, 150378)")</f>
        <v>8400654 - [closed] MUGUET - flor (MUG, 150378)</v>
      </c>
    </row>
    <row r="684">
      <c r="A684" s="176"/>
      <c r="D684" s="176" t="str">
        <f>IFERROR(__xludf.DUMMYFUNCTION("""COMPUTED_VALUE"""),"8400655 - LAVANDULA  - flor (43209)")</f>
        <v>8400655 - LAVANDULA  - flor (43209)</v>
      </c>
    </row>
    <row r="685">
      <c r="A685" s="176"/>
      <c r="D685" s="176" t="str">
        <f>IFERROR(__xludf.DUMMYFUNCTION("""COMPUTED_VALUE"""),"8400656 - COTINUS - rama (71553, 1897)")</f>
        <v>8400656 - COTINUS - rama (71553, 1897)</v>
      </c>
    </row>
    <row r="686">
      <c r="A686" s="176"/>
      <c r="D686" s="176" t="str">
        <f>IFERROR(__xludf.DUMMYFUNCTION("""COMPUTED_VALUE"""),"8400657 - DENDROBIUM - Sonia Yellow - flor (173424, 160012)")</f>
        <v>8400657 - DENDROBIUM - Sonia Yellow - flor (173424, 160012)</v>
      </c>
    </row>
    <row r="687">
      <c r="A687" s="176"/>
      <c r="D687" s="176" t="str">
        <f>IFERROR(__xludf.DUMMYFUNCTION("""COMPUTED_VALUE"""),"8400658 - TRUANILLA - rama (Trua)")</f>
        <v>8400658 - TRUANILLA - rama (Trua)</v>
      </c>
    </row>
    <row r="688">
      <c r="A688" s="176"/>
      <c r="D688" s="176" t="str">
        <f>IFERROR(__xludf.DUMMYFUNCTION("""COMPUTED_VALUE"""),"8400659 - ASTER - Coronado - flor (Coro, 150651, 135077, 133211)")</f>
        <v>8400659 - ASTER - Coronado - flor (Coro, 150651, 135077, 133211)</v>
      </c>
    </row>
    <row r="689">
      <c r="A689" s="176"/>
      <c r="D689" s="176" t="str">
        <f>IFERROR(__xludf.DUMMYFUNCTION("""COMPUTED_VALUE"""),"8400660 - PRUNUS - rama (PRU)")</f>
        <v>8400660 - PRUNUS - rama (PRU)</v>
      </c>
    </row>
    <row r="690">
      <c r="A690" s="176"/>
      <c r="D690" s="176" t="str">
        <f>IFERROR(__xludf.DUMMYFUNCTION("""COMPUTED_VALUE"""),"8400661 - JATROPHA - planta/18 (JAT)")</f>
        <v>8400661 - JATROPHA - planta/18 (JAT)</v>
      </c>
    </row>
    <row r="691">
      <c r="A691" s="176"/>
      <c r="D691" s="176" t="str">
        <f>IFERROR(__xludf.DUMMYFUNCTION("""COMPUTED_VALUE"""),"8400662 - AESCHYNANTHUS - planta/38 (AESML15, PLAVAR20)")</f>
        <v>8400662 - AESCHYNANTHUS - planta/38 (AESML15, PLAVAR20)</v>
      </c>
    </row>
    <row r="692">
      <c r="A692" s="176"/>
      <c r="D692" s="176" t="str">
        <f>IFERROR(__xludf.DUMMYFUNCTION("""COMPUTED_VALUE"""),"8400663 - LILIUM - flor (115493, 116736, 100429, 91263, 165899, 147576, 160203, 180753, 131203)")</f>
        <v>8400663 - LILIUM - flor (115493, 116736, 100429, 91263, 165899, 147576, 160203, 180753, 131203)</v>
      </c>
    </row>
    <row r="693">
      <c r="A693" s="176"/>
      <c r="D693" s="176" t="str">
        <f>IFERROR(__xludf.DUMMYFUNCTION("""COMPUTED_VALUE"""),"8400664 - EUPHORBIA - Vulcano - planta/28 (EUV)")</f>
        <v>8400664 - EUPHORBIA - Vulcano - planta/28 (EUV)</v>
      </c>
    </row>
    <row r="694">
      <c r="A694" s="176"/>
      <c r="D694" s="176" t="str">
        <f>IFERROR(__xludf.DUMMYFUNCTION("""COMPUTED_VALUE"""),"8400665 - ALSTROEMERIA - MINI - flor (ALSTRO, ALSTRO)")</f>
        <v>8400665 - ALSTROEMERIA - MINI - flor (ALSTRO, ALSTRO)</v>
      </c>
    </row>
    <row r="695">
      <c r="A695" s="176"/>
      <c r="D695" s="176" t="str">
        <f>IFERROR(__xludf.DUMMYFUNCTION("""COMPUTED_VALUE"""),"8400667 - [closed] RS ROSA - Gotcha EXT - flor (74816, 70314)")</f>
        <v>8400667 - [closed] RS ROSA - Gotcha EXT - flor (74816, 70314)</v>
      </c>
    </row>
    <row r="696">
      <c r="A696" s="176"/>
      <c r="D696" s="176" t="str">
        <f>IFERROR(__xludf.DUMMYFUNCTION("""COMPUTED_VALUE"""),"8400668 - ANTHURIUM T14 CON DISCUENTO  - planta/15 (124614)")</f>
        <v>8400668 - ANTHURIUM T14 CON DISCUENTO  - planta/15 (124614)</v>
      </c>
    </row>
    <row r="697">
      <c r="A697" s="176"/>
      <c r="D697" s="176" t="str">
        <f>IFERROR(__xludf.DUMMYFUNCTION("""COMPUTED_VALUE"""),"8400669 - BRIZA - Media - herbacea (152675)")</f>
        <v>8400669 - BRIZA - Media - herbacea (152675)</v>
      </c>
    </row>
    <row r="698">
      <c r="A698" s="176"/>
      <c r="D698" s="176" t="str">
        <f>IFERROR(__xludf.DUMMYFUNCTION("""COMPUTED_VALUE"""),"8400670 - [closed] RS ROSA - Tacazzi - flor (176963)")</f>
        <v>8400670 - [closed] RS ROSA - Tacazzi - flor (176963)</v>
      </c>
    </row>
    <row r="699">
      <c r="A699" s="176"/>
      <c r="D699" s="176" t="str">
        <f>IFERROR(__xludf.DUMMYFUNCTION("""COMPUTED_VALUE"""),"8400671 - [closed] RS ROSA - Hot Explorer - flor (70641)")</f>
        <v>8400671 - [closed] RS ROSA - Hot Explorer - flor (70641)</v>
      </c>
    </row>
    <row r="700">
      <c r="A700" s="176"/>
      <c r="D700" s="176" t="str">
        <f>IFERROR(__xludf.DUMMYFUNCTION("""COMPUTED_VALUE"""),"8400672 - [closed] RS ROSA - Mother of Pearl - flor (147014)")</f>
        <v>8400672 - [closed] RS ROSA - Mother of Pearl - flor (147014)</v>
      </c>
    </row>
    <row r="701">
      <c r="A701" s="176"/>
      <c r="D701" s="176" t="str">
        <f>IFERROR(__xludf.DUMMYFUNCTION("""COMPUTED_VALUE"""),"8400673 - FICUS - Marisma - planta/72 (FICMAR24)")</f>
        <v>8400673 - FICUS - Marisma - planta/72 (FICMAR24)</v>
      </c>
    </row>
    <row r="702">
      <c r="A702" s="176"/>
      <c r="D702" s="176" t="str">
        <f>IFERROR(__xludf.DUMMYFUNCTION("""COMPUTED_VALUE"""),"8400674 - PEPEROMIA - planta/34 (PEP-1)")</f>
        <v>8400674 - PEPEROMIA - planta/34 (PEP-1)</v>
      </c>
    </row>
    <row r="703">
      <c r="A703" s="176"/>
      <c r="D703" s="176" t="str">
        <f>IFERROR(__xludf.DUMMYFUNCTION("""COMPUTED_VALUE"""),"8400675 - MENTA - planta/11 (MEN-22)")</f>
        <v>8400675 - MENTA - planta/11 (MEN-22)</v>
      </c>
    </row>
    <row r="704">
      <c r="A704" s="176"/>
      <c r="D704" s="176" t="str">
        <f>IFERROR(__xludf.DUMMYFUNCTION("""COMPUTED_VALUE"""),"8400676 - [closed] RS ROSA - Cauntry Blues - flor (ROSAS60)")</f>
        <v>8400676 - [closed] RS ROSA - Cauntry Blues - flor (ROSAS60)</v>
      </c>
    </row>
    <row r="705">
      <c r="A705" s="176"/>
      <c r="D705" s="176" t="str">
        <f>IFERROR(__xludf.DUMMYFUNCTION("""COMPUTED_VALUE"""),"8400677 - RS ROSA - Kahala - flor (ROSA KAHALA, )")</f>
        <v>8400677 - RS ROSA - Kahala - flor (ROSA KAHALA, )</v>
      </c>
    </row>
    <row r="706">
      <c r="A706" s="176"/>
      <c r="D706" s="176" t="str">
        <f>IFERROR(__xludf.DUMMYFUNCTION("""COMPUTED_VALUE"""),"8400678 - EUPHORBIA - planta/32 (07)")</f>
        <v>8400678 - EUPHORBIA - planta/32 (07)</v>
      </c>
    </row>
    <row r="707">
      <c r="A707" s="176"/>
      <c r="D707" s="176" t="str">
        <f>IFERROR(__xludf.DUMMYFUNCTION("""COMPUTED_VALUE"""),"8400679 - CALATHEA - planta/68 (CTNOPPE12L)")</f>
        <v>8400679 - CALATHEA - planta/68 (CTNOPPE12L)</v>
      </c>
    </row>
    <row r="708">
      <c r="A708" s="176"/>
      <c r="D708" s="176" t="str">
        <f>IFERROR(__xludf.DUMMYFUNCTION("""COMPUTED_VALUE"""),"8400680 - PELARGONIUM T12 - planta/7 (A44, BSE14)")</f>
        <v>8400680 - PELARGONIUM T12 - planta/7 (A44, BSE14)</v>
      </c>
    </row>
    <row r="709">
      <c r="A709" s="176"/>
      <c r="D709" s="176" t="str">
        <f>IFERROR(__xludf.DUMMYFUNCTION("""COMPUTED_VALUE"""),"8400681 - SPATHIPHYLLUM 55cm - planta/38 (178719, SPATHI Sweet Chico (In Amanda), 174538)")</f>
        <v>8400681 - SPATHIPHYLLUM 55cm - planta/38 (178719, SPATHI Sweet Chico (In Amanda), 174538)</v>
      </c>
    </row>
    <row r="710">
      <c r="A710" s="176"/>
      <c r="D710" s="176" t="str">
        <f>IFERROR(__xludf.DUMMYFUNCTION("""COMPUTED_VALUE"""),"R00065 - SOPORTE PARA FLORES ()")</f>
        <v>R00065 - SOPORTE PARA FLORES ()</v>
      </c>
    </row>
    <row r="711">
      <c r="A711" s="176"/>
      <c r="D711" s="176" t="str">
        <f>IFERROR(__xludf.DUMMYFUNCTION("""COMPUTED_VALUE"""),"8400682 - DIGITALIS PURPUREA - flor (177913, 131476)")</f>
        <v>8400682 - DIGITALIS PURPUREA - flor (177913, 131476)</v>
      </c>
    </row>
    <row r="712">
      <c r="A712" s="176"/>
      <c r="D712" s="176" t="str">
        <f>IFERROR(__xludf.DUMMYFUNCTION("""COMPUTED_VALUE"""),"8400683 - ROSA LONDON  - flor (137833, 150831, 149519)")</f>
        <v>8400683 - ROSA LONDON  - flor (137833, 150831, 149519)</v>
      </c>
    </row>
    <row r="713">
      <c r="A713" s="176"/>
      <c r="D713" s="176" t="str">
        <f>IFERROR(__xludf.DUMMYFUNCTION("""COMPUTED_VALUE"""),"8400684 - RS ROSA - Buttercup SEL - flor (107872)")</f>
        <v>8400684 - RS ROSA - Buttercup SEL - flor (107872)</v>
      </c>
    </row>
    <row r="714">
      <c r="A714" s="176"/>
      <c r="D714" s="176" t="str">
        <f>IFERROR(__xludf.DUMMYFUNCTION("""COMPUTED_VALUE"""),"8400685 - RS ROSA 50cm - Explorer EXT - flor (177175, 177184)")</f>
        <v>8400685 - RS ROSA 50cm - Explorer EXT - flor (177175, 177184)</v>
      </c>
    </row>
    <row r="715">
      <c r="A715" s="176"/>
      <c r="D715" s="176" t="str">
        <f>IFERROR(__xludf.DUMMYFUNCTION("""COMPUTED_VALUE"""),"8400686 - RS ROSA - Miss Piggy - flor (115657, 143815, 133218)")</f>
        <v>8400686 - RS ROSA - Miss Piggy - flor (115657, 143815, 133218)</v>
      </c>
    </row>
    <row r="716">
      <c r="A716" s="176"/>
      <c r="D716" s="176" t="str">
        <f>IFERROR(__xludf.DUMMYFUNCTION("""COMPUTED_VALUE"""),"8400687 - [closed] RSR ROSA - Haley - flor (80608)")</f>
        <v>8400687 - [closed] RSR ROSA - Haley - flor (80608)</v>
      </c>
    </row>
    <row r="717">
      <c r="A717" s="176"/>
      <c r="D717" s="176" t="str">
        <f>IFERROR(__xludf.DUMMYFUNCTION("""COMPUTED_VALUE"""),"8400688 - RS ROSA - Dragon Fly - flor (178762)")</f>
        <v>8400688 - RS ROSA - Dragon Fly - flor (178762)</v>
      </c>
    </row>
    <row r="718">
      <c r="A718" s="176"/>
      <c r="D718" s="176" t="str">
        <f>IFERROR(__xludf.DUMMYFUNCTION("""COMPUTED_VALUE"""),"8400689 - RS ROSA 60cm - Explorer SEL - flor (60801, 177175, 177175)")</f>
        <v>8400689 - RS ROSA 60cm - Explorer SEL - flor (60801, 177175, 177175)</v>
      </c>
    </row>
    <row r="719">
      <c r="A719" s="176"/>
      <c r="D719" s="176" t="str">
        <f>IFERROR(__xludf.DUMMYFUNCTION("""COMPUTED_VALUE"""),"8400690 - RS ROSA - Sophia Loren - flor (169478, 18931)")</f>
        <v>8400690 - RS ROSA - Sophia Loren - flor (169478, 18931)</v>
      </c>
    </row>
    <row r="720">
      <c r="A720" s="176"/>
      <c r="D720" s="176" t="str">
        <f>IFERROR(__xludf.DUMMYFUNCTION("""COMPUTED_VALUE"""),"8400691 - ROSA - Be Sweet SEL - flor (153150, 172300, 191416)")</f>
        <v>8400691 - ROSA - Be Sweet SEL - flor (153150, 172300, 191416)</v>
      </c>
    </row>
    <row r="721">
      <c r="A721" s="176"/>
      <c r="D721" s="176" t="str">
        <f>IFERROR(__xludf.DUMMYFUNCTION("""COMPUTED_VALUE"""),"8400692 - ROSA RAMIFICADA - flor/4 (121700)")</f>
        <v>8400692 - ROSA RAMIFICADA - flor/4 (121700)</v>
      </c>
    </row>
    <row r="722">
      <c r="A722" s="176"/>
      <c r="D722" s="176" t="str">
        <f>IFERROR(__xludf.DUMMYFUNCTION("""COMPUTED_VALUE"""),"8400693 - FICUS - Ginseng - planta en ceramica/36 (178276)")</f>
        <v>8400693 - FICUS - Ginseng - planta en ceramica/36 (178276)</v>
      </c>
    </row>
    <row r="723">
      <c r="A723" s="176"/>
      <c r="D723" s="176" t="str">
        <f>IFERROR(__xludf.DUMMYFUNCTION("""COMPUTED_VALUE"""),"8400694 - HEPOESTES - MIX - planta/2 (102358)")</f>
        <v>8400694 - HEPOESTES - MIX - planta/2 (102358)</v>
      </c>
    </row>
    <row r="724">
      <c r="A724" s="176"/>
      <c r="D724" s="176" t="str">
        <f>IFERROR(__xludf.DUMMYFUNCTION("""COMPUTED_VALUE"""),"8400695 - MONSTERA - Adansonii - planta/16 (100499, 115154)")</f>
        <v>8400695 - MONSTERA - Adansonii - planta/16 (100499, 115154)</v>
      </c>
    </row>
    <row r="725">
      <c r="A725" s="176"/>
      <c r="D725" s="176" t="str">
        <f>IFERROR(__xludf.DUMMYFUNCTION("""COMPUTED_VALUE"""),"8400696 - BUPLEURUM - Rotundifolia - flor (180608, 130155, 172440, 145179, 180586)")</f>
        <v>8400696 - BUPLEURUM - Rotundifolia - flor (180608, 130155, 172440, 145179, 180586)</v>
      </c>
    </row>
    <row r="726">
      <c r="A726" s="176"/>
      <c r="D726" s="176" t="str">
        <f>IFERROR(__xludf.DUMMYFUNCTION("""COMPUTED_VALUE"""),"8400697 - YUCCA 110cm - Elephantipes - planta/75 (175261)")</f>
        <v>8400697 - YUCCA 110cm - Elephantipes - planta/75 (175261)</v>
      </c>
    </row>
    <row r="727">
      <c r="A727" s="176"/>
      <c r="D727" s="176" t="str">
        <f>IFERROR(__xludf.DUMMYFUNCTION("""COMPUTED_VALUE"""),"8400698 - ECHINOPS - flor (00288,)")</f>
        <v>8400698 - ECHINOPS - flor (00288,)</v>
      </c>
    </row>
    <row r="728">
      <c r="A728" s="176"/>
      <c r="D728" s="176" t="str">
        <f>IFERROR(__xludf.DUMMYFUNCTION("""COMPUTED_VALUE"""),"8400699 - HYPOESTES - planta/6 (HYPOS17)")</f>
        <v>8400699 - HYPOESTES - planta/6 (HYPOS17)</v>
      </c>
    </row>
    <row r="729">
      <c r="A729" s="176"/>
      <c r="D729" s="176" t="str">
        <f>IFERROR(__xludf.DUMMYFUNCTION("""COMPUTED_VALUE"""),"8400700 - MONSTERA 7.5L - Adansoni - planta/67 (MONSAD25)")</f>
        <v>8400700 - MONSTERA 7.5L - Adansoni - planta/67 (MONSAD25)</v>
      </c>
    </row>
    <row r="730">
      <c r="A730" s="176"/>
      <c r="D730" s="176" t="str">
        <f>IFERROR(__xludf.DUMMYFUNCTION("""COMPUTED_VALUE"""),"8400701 - OLIVO 160cm - planta/180 (OLIVOCOP30, 163165)")</f>
        <v>8400701 - OLIVO 160cm - planta/180 (OLIVOCOP30, 163165)</v>
      </c>
    </row>
    <row r="731">
      <c r="A731" s="176"/>
      <c r="D731" s="176" t="str">
        <f>IFERROR(__xludf.DUMMYFUNCTION("""COMPUTED_VALUE"""),"8400703 - EUONYMUS - rama (EUOLUNAPAQ)")</f>
        <v>8400703 - EUONYMUS - rama (EUOLUNAPAQ)</v>
      </c>
    </row>
    <row r="732">
      <c r="A732" s="176"/>
      <c r="D732" s="176" t="str">
        <f>IFERROR(__xludf.DUMMYFUNCTION("""COMPUTED_VALUE"""),"8400702 - EUCALIPTO ROBUSTA - pequeno (101)")</f>
        <v>8400702 - EUCALIPTO ROBUSTA - pequeno (101)</v>
      </c>
    </row>
    <row r="733">
      <c r="A733" s="176"/>
      <c r="D733" s="176" t="str">
        <f>IFERROR(__xludf.DUMMYFUNCTION("""COMPUTED_VALUE"""),"8400704 - ROSA AUSTIN - flor (122081)")</f>
        <v>8400704 - ROSA AUSTIN - flor (122081)</v>
      </c>
    </row>
    <row r="734">
      <c r="A734" s="176"/>
      <c r="D734" s="176" t="str">
        <f>IFERROR(__xludf.DUMMYFUNCTION("""COMPUTED_VALUE"""),"8400705 - [closed] RS ROSA - Just More - flor (102130)")</f>
        <v>8400705 - [closed] RS ROSA - Just More - flor (102130)</v>
      </c>
    </row>
    <row r="735">
      <c r="A735" s="176"/>
      <c r="D735" s="176" t="str">
        <f>IFERROR(__xludf.DUMMYFUNCTION("""COMPUTED_VALUE"""),"8400706 - [deleted] ROSA KAHALA - flor, usa 8400677 (49550)")</f>
        <v>8400706 - [deleted] ROSA KAHALA - flor, usa 8400677 (49550)</v>
      </c>
    </row>
    <row r="736">
      <c r="A736" s="176"/>
      <c r="D736" s="176" t="str">
        <f>IFERROR(__xludf.DUMMYFUNCTION("""COMPUTED_VALUE"""),"8400707 - RS ROSA - Quick Sand - flor (177198)")</f>
        <v>8400707 - RS ROSA - Quick Sand - flor (177198)</v>
      </c>
    </row>
    <row r="737">
      <c r="A737" s="176"/>
      <c r="D737" s="176" t="str">
        <f>IFERROR(__xludf.DUMMYFUNCTION("""COMPUTED_VALUE"""),"8400708 - ROSA MIX - ramificada 60cm - flor (100636)")</f>
        <v>8400708 - ROSA MIX - ramificada 60cm - flor (100636)</v>
      </c>
    </row>
    <row r="738">
      <c r="A738" s="176"/>
      <c r="D738" s="176" t="str">
        <f>IFERROR(__xludf.DUMMYFUNCTION("""COMPUTED_VALUE"""),"8400709 - [closed] RS ROSA - Nina - flor ()")</f>
        <v>8400709 - [closed] RS ROSA - Nina - flor ()</v>
      </c>
    </row>
    <row r="739">
      <c r="A739" s="176"/>
      <c r="D739" s="176" t="str">
        <f>IFERROR(__xludf.DUMMYFUNCTION("""COMPUTED_VALUE"""),"8400710 - [closed] RS ROSA - Paloma - flor ()")</f>
        <v>8400710 - [closed] RS ROSA - Paloma - flor ()</v>
      </c>
    </row>
    <row r="740">
      <c r="A740" s="176"/>
      <c r="D740" s="176" t="str">
        <f>IFERROR(__xludf.DUMMYFUNCTION("""COMPUTED_VALUE"""),"8400711 - [closed] RS ROSA - High Yellow - flor ()")</f>
        <v>8400711 - [closed] RS ROSA - High Yellow - flor ()</v>
      </c>
    </row>
    <row r="741">
      <c r="A741" s="176"/>
      <c r="D741" s="176" t="str">
        <f>IFERROR(__xludf.DUMMYFUNCTION("""COMPUTED_VALUE"""),"8400712 - [closed] RS ROSA - Moments - flor ()")</f>
        <v>8400712 - [closed] RS ROSA - Moments - flor ()</v>
      </c>
    </row>
    <row r="742">
      <c r="A742" s="176"/>
      <c r="D742" s="176" t="str">
        <f>IFERROR(__xludf.DUMMYFUNCTION("""COMPUTED_VALUE"""),"8400713 - [closed] RS ROSA - Cool Water - flor ()")</f>
        <v>8400713 - [closed] RS ROSA - Cool Water - flor ()</v>
      </c>
    </row>
    <row r="743">
      <c r="A743" s="176"/>
      <c r="D743" s="176" t="str">
        <f>IFERROR(__xludf.DUMMYFUNCTION("""COMPUTED_VALUE"""),"8400714 - [closed] RS ROSA - Pink Floyd - flor ()")</f>
        <v>8400714 - [closed] RS ROSA - Pink Floyd - flor ()</v>
      </c>
    </row>
    <row r="744">
      <c r="A744" s="176"/>
      <c r="D744" s="176" t="str">
        <f>IFERROR(__xludf.DUMMYFUNCTION("""COMPUTED_VALUE"""),"8400717 - EUCALYPTO 30cm - Silver Dollar - planta/12 ()")</f>
        <v>8400717 - EUCALYPTO 30cm - Silver Dollar - planta/12 ()</v>
      </c>
    </row>
    <row r="745">
      <c r="A745" s="176"/>
      <c r="D745" s="176" t="str">
        <f>IFERROR(__xludf.DUMMYFUNCTION("""COMPUTED_VALUE"""),"8400718 - GLORIOSA MIX - flor (30638, 27356)")</f>
        <v>8400718 - GLORIOSA MIX - flor (30638, 27356)</v>
      </c>
    </row>
    <row r="746">
      <c r="A746" s="176"/>
      <c r="D746" s="176" t="str">
        <f>IFERROR(__xludf.DUMMYFUNCTION("""COMPUTED_VALUE"""),"8400719 - ALFILER PERLA - decoracion (71069)")</f>
        <v>8400719 - ALFILER PERLA - decoracion (71069)</v>
      </c>
    </row>
    <row r="747">
      <c r="A747" s="176"/>
      <c r="D747" s="176" t="str">
        <f>IFERROR(__xludf.DUMMYFUNCTION("""COMPUTED_VALUE"""),"8400720 - ALFILER PRENDIDO TRANSPARENTE (5100)")</f>
        <v>8400720 - ALFILER PRENDIDO TRANSPARENTE (5100)</v>
      </c>
    </row>
    <row r="748">
      <c r="A748" s="176"/>
      <c r="D748" s="176" t="str">
        <f>IFERROR(__xludf.DUMMYFUNCTION("""COMPUTED_VALUE"""),"8400721 - BOLSA CLAER (54450)")</f>
        <v>8400721 - BOLSA CLAER (54450)</v>
      </c>
    </row>
    <row r="749">
      <c r="A749" s="176"/>
      <c r="D749" s="176" t="str">
        <f>IFERROR(__xludf.DUMMYFUNCTION("""COMPUTED_VALUE"""),"8400722 - BOLSA CARRY TRANSPARENTE (128273)")</f>
        <v>8400722 - BOLSA CARRY TRANSPARENTE (128273)</v>
      </c>
    </row>
    <row r="750">
      <c r="A750" s="176"/>
      <c r="D750" s="176" t="str">
        <f>IFERROR(__xludf.DUMMYFUNCTION("""COMPUTED_VALUE"""),"8400723 - BRAZALETE (71478)")</f>
        <v>8400723 - BRAZALETE (71478)</v>
      </c>
    </row>
    <row r="751">
      <c r="A751" s="176"/>
      <c r="D751" s="176" t="str">
        <f>IFERROR(__xludf.DUMMYFUNCTION("""COMPUTED_VALUE"""),"8400724 - BEARGRASS (10 unidades) - herbacea (50, 231)")</f>
        <v>8400724 - BEARGRASS (10 unidades) - herbacea (50, 231)</v>
      </c>
    </row>
    <row r="752">
      <c r="A752" s="176"/>
      <c r="D752" s="176" t="str">
        <f>IFERROR(__xludf.DUMMYFUNCTION("""COMPUTED_VALUE"""),"8400731 - RS ROSA LA BELLE LOLOMARIK - flor (181496)")</f>
        <v>8400731 - RS ROSA LA BELLE LOLOMARIK - flor (181496)</v>
      </c>
    </row>
    <row r="753">
      <c r="A753" s="176"/>
      <c r="D753" s="176" t="str">
        <f>IFERROR(__xludf.DUMMYFUNCTION("""COMPUTED_VALUE"""),"8400737 - MACETA ANCHA-NEGRA ()")</f>
        <v>8400737 - MACETA ANCHA-NEGRA ()</v>
      </c>
    </row>
    <row r="754">
      <c r="A754" s="176"/>
      <c r="D754" s="176" t="str">
        <f>IFERROR(__xludf.DUMMYFUNCTION("""COMPUTED_VALUE"""),"8400743 - SEDUM SPECTABILE - herbacea (182537, 182539, 26850)")</f>
        <v>8400743 - SEDUM SPECTABILE - herbacea (182537, 182539, 26850)</v>
      </c>
    </row>
    <row r="755">
      <c r="A755" s="176"/>
      <c r="D755" s="176" t="str">
        <f>IFERROR(__xludf.DUMMYFUNCTION("""COMPUTED_VALUE"""),"8400739 - CHAMAEDOREA ELEGANTS - Сhico - planta/68 (70595)")</f>
        <v>8400739 - CHAMAEDOREA ELEGANTS - Сhico - planta/68 (70595)</v>
      </c>
    </row>
    <row r="756">
      <c r="A756" s="176"/>
      <c r="D756" s="176" t="str">
        <f>IFERROR(__xludf.DUMMYFUNCTION("""COMPUTED_VALUE"""),"8400742 - PHALAENOPSIS CERAMICA KOLIBRI T3 - planta/42 (144709)")</f>
        <v>8400742 - PHALAENOPSIS CERAMICA KOLIBRI T3 - planta/42 (144709)</v>
      </c>
    </row>
    <row r="757">
      <c r="A757" s="176"/>
      <c r="D757" s="176" t="str">
        <f>IFERROR(__xludf.DUMMYFUNCTION("""COMPUTED_VALUE"""),"8400741 - CHAMAEDOREA ELEGANTS - Сhico Pequeño - planta/9 (57624)")</f>
        <v>8400741 - CHAMAEDOREA ELEGANTS - Сhico Pequeño - planta/9 (57624)</v>
      </c>
    </row>
    <row r="758">
      <c r="A758" s="176"/>
      <c r="D758" s="176" t="str">
        <f>IFERROR(__xludf.DUMMYFUNCTION("""COMPUTED_VALUE"""),"8400740 - KALANCHOE MOMENTS PURPLR - planta/12 (73864)")</f>
        <v>8400740 - KALANCHOE MOMENTS PURPLR - planta/12 (73864)</v>
      </c>
    </row>
    <row r="759">
      <c r="A759" s="176"/>
      <c r="D759" s="176" t="str">
        <f>IFERROR(__xludf.DUMMYFUNCTION("""COMPUTED_VALUE"""),"8400738 - ROSA BLESSING 60 CM - flor (177269)")</f>
        <v>8400738 - ROSA BLESSING 60 CM - flor (177269)</v>
      </c>
    </row>
    <row r="760">
      <c r="A760" s="176"/>
      <c r="D760" s="176" t="str">
        <f>IFERROR(__xludf.DUMMYFUNCTION("""COMPUTED_VALUE"""),"8400736 - MONSTERA 150cm - Tutor - planta/145 (126998)")</f>
        <v>8400736 - MONSTERA 150cm - Tutor - planta/145 (126998)</v>
      </c>
    </row>
    <row r="761">
      <c r="A761" s="176"/>
      <c r="D761" s="176" t="str">
        <f>IFERROR(__xludf.DUMMYFUNCTION("""COMPUTED_VALUE"""),"8400735 - ROSA COUNTRY HOME SEL - flor (134294)")</f>
        <v>8400735 - ROSA COUNTRY HOME SEL - flor (134294)</v>
      </c>
    </row>
    <row r="762">
      <c r="A762" s="176"/>
      <c r="D762" s="176" t="str">
        <f>IFERROR(__xludf.DUMMYFUNCTION("""COMPUTED_VALUE"""),"8400734 - RUBUS CHESTER - rama (26853, 19909)")</f>
        <v>8400734 - RUBUS CHESTER - rama (26853, 19909)</v>
      </c>
    </row>
    <row r="763">
      <c r="A763" s="176"/>
      <c r="D763" s="176" t="str">
        <f>IFERROR(__xludf.DUMMYFUNCTION("""COMPUTED_VALUE"""),"8400733 - RS ROSA JACKPOT+ HOLLA - flor (115642)")</f>
        <v>8400733 - RS ROSA JACKPOT+ HOLLA - flor (115642)</v>
      </c>
    </row>
    <row r="764">
      <c r="A764" s="176"/>
      <c r="D764" s="176" t="str">
        <f>IFERROR(__xludf.DUMMYFUNCTION("""COMPUTED_VALUE"""),"8400732 - ROSA STARDUST (Amarillo) - flor (154043, 86633)")</f>
        <v>8400732 - ROSA STARDUST (Amarillo) - flor (154043, 86633)</v>
      </c>
    </row>
    <row r="765">
      <c r="A765" s="176"/>
      <c r="D765" s="176" t="str">
        <f>IFERROR(__xludf.DUMMYFUNCTION("""COMPUTED_VALUE"""),"8400730 - RS ROSA KISS -flor (133084)")</f>
        <v>8400730 - RS ROSA KISS -flor (133084)</v>
      </c>
    </row>
    <row r="766">
      <c r="A766" s="176"/>
      <c r="D766" s="176" t="str">
        <f>IFERROR(__xludf.DUMMYFUNCTION("""COMPUTED_VALUE"""),"8400725 - RS ROSA PATZ HOLLA - flor (98842)")</f>
        <v>8400725 - RS ROSA PATZ HOLLA - flor (98842)</v>
      </c>
    </row>
    <row r="767">
      <c r="A767" s="176"/>
      <c r="D767" s="176" t="str">
        <f>IFERROR(__xludf.DUMMYFUNCTION("""COMPUTED_VALUE"""),"8400726 - RS ROSA LOVELY JEWEL 40cm - flor (98956)")</f>
        <v>8400726 - RS ROSA LOVELY JEWEL 40cm - flor (98956)</v>
      </c>
    </row>
    <row r="768">
      <c r="A768" s="176"/>
      <c r="D768" s="176" t="str">
        <f>IFERROR(__xludf.DUMMYFUNCTION("""COMPUTED_VALUE"""),"8400727 - ROSA CLEMENTINA - flor (119657)")</f>
        <v>8400727 - ROSA CLEMENTINA - flor (119657)</v>
      </c>
    </row>
    <row r="769">
      <c r="A769" s="176"/>
      <c r="D769" s="176" t="str">
        <f>IFERROR(__xludf.DUMMYFUNCTION("""COMPUTED_VALUE"""),"8400728 - RS ROSA ASCOT COLOMBIA -flor (177263, 199244)")</f>
        <v>8400728 - RS ROSA ASCOT COLOMBIA -flor (177263, 199244)</v>
      </c>
    </row>
    <row r="770">
      <c r="A770" s="176"/>
      <c r="D770" s="176" t="str">
        <f>IFERROR(__xludf.DUMMYFUNCTION("""COMPUTED_VALUE"""),"8400729 - RS ROSA CHERRY BRANDY - flor (19069, 135054)")</f>
        <v>8400729 - RS ROSA CHERRY BRANDY - flor (19069, 135054)</v>
      </c>
    </row>
    <row r="771">
      <c r="A771" s="176"/>
      <c r="D771" s="176" t="str">
        <f>IFERROR(__xludf.DUMMYFUNCTION("""COMPUTED_VALUE"""),"8400744 - ROSA COMANCHE - flor (150403)")</f>
        <v>8400744 - ROSA COMANCHE - flor (150403)</v>
      </c>
    </row>
    <row r="772">
      <c r="A772" s="176"/>
      <c r="D772" s="176" t="str">
        <f>IFERROR(__xludf.DUMMYFUNCTION("""COMPUTED_VALUE"""),"8400745 - FREESIA DOUBLE ROSARIO - flor (43105)")</f>
        <v>8400745 - FREESIA DOUBLE ROSARIO - flor (43105)</v>
      </c>
    </row>
    <row r="773">
      <c r="A773" s="176"/>
      <c r="D773" s="176" t="str">
        <f>IFERROR(__xludf.DUMMYFUNCTION("""COMPUTED_VALUE"""),"8400746 - BON FICUS GINSENG - planta (130361, 161444)")</f>
        <v>8400746 - BON FICUS GINSENG - planta (130361, 161444)</v>
      </c>
    </row>
    <row r="774">
      <c r="A774" s="176"/>
      <c r="D774" s="176" t="str">
        <f>IFERROR(__xludf.DUMMYFUNCTION("""COMPUTED_VALUE"""),"8400747 - EUPHOBIA RTIGONA RUBRA - planta (62669)")</f>
        <v>8400747 - EUPHOBIA RTIGONA RUBRA - planta (62669)</v>
      </c>
    </row>
    <row r="775">
      <c r="A775" s="176"/>
      <c r="D775" s="176" t="str">
        <f>IFERROR(__xludf.DUMMYFUNCTION("""COMPUTED_VALUE"""),"8400748 - ROSA MOODY BLUES - flor (44193)")</f>
        <v>8400748 - ROSA MOODY BLUES - flor (44193)</v>
      </c>
    </row>
    <row r="776">
      <c r="A776" s="176"/>
      <c r="D776" s="176" t="str">
        <f>IFERROR(__xludf.DUMMYFUNCTION("""COMPUTED_VALUE"""),"8400749 - ROSA RED NAOMI  - flor (170062, 136131)")</f>
        <v>8400749 - ROSA RED NAOMI  - flor (170062, 136131)</v>
      </c>
    </row>
    <row r="777">
      <c r="A777" s="176"/>
      <c r="D777" s="176" t="str">
        <f>IFERROR(__xludf.DUMMYFUNCTION("""COMPUTED_VALUE"""),"8400750 - TRITELEIA WHITE SECRET - flor (135068)")</f>
        <v>8400750 - TRITELEIA WHITE SECRET - flor (135068)</v>
      </c>
    </row>
    <row r="778">
      <c r="A778" s="176"/>
      <c r="D778" s="176" t="str">
        <f>IFERROR(__xludf.DUMMYFUNCTION("""COMPUTED_VALUE"""),"8400751 - ROSA KENDAL - flor (146874)")</f>
        <v>8400751 - ROSA KENDAL - flor (146874)</v>
      </c>
    </row>
    <row r="779">
      <c r="A779" s="176"/>
      <c r="D779" s="176" t="str">
        <f>IFERROR(__xludf.DUMMYFUNCTION("""COMPUTED_VALUE"""),"8400752 - ROSA MOVIE STAR - flor (136290)")</f>
        <v>8400752 - ROSA MOVIE STAR - flor (136290)</v>
      </c>
    </row>
    <row r="780">
      <c r="A780" s="176"/>
      <c r="D780" s="176" t="str">
        <f>IFERROR(__xludf.DUMMYFUNCTION("""COMPUTED_VALUE"""),"8400753 - ROSA CHEYENNE BRAAM - flor (498)")</f>
        <v>8400753 - ROSA CHEYENNE BRAAM - flor (498)</v>
      </c>
    </row>
    <row r="781">
      <c r="A781" s="176"/>
      <c r="D781" s="176" t="str">
        <f>IFERROR(__xludf.DUMMYFUNCTION("""COMPUTED_VALUE"""),"8400754 - HEDERA - planta/32 (56092)")</f>
        <v>8400754 - HEDERA - planta/32 (56092)</v>
      </c>
    </row>
    <row r="782">
      <c r="A782" s="176"/>
      <c r="D782" s="176" t="str">
        <f>IFERROR(__xludf.DUMMYFUNCTION("""COMPUTED_VALUE"""),"8400755 - PHYTOLACA AMERICANA - rama (137357)")</f>
        <v>8400755 - PHYTOLACA AMERICANA - rama (137357)</v>
      </c>
    </row>
    <row r="783">
      <c r="A783" s="176"/>
      <c r="D783" s="176" t="str">
        <f>IFERROR(__xludf.DUMMYFUNCTION("""COMPUTED_VALUE"""),"8400756 - MACETA DE CERAMICA - VN ()")</f>
        <v>8400756 - MACETA DE CERAMICA - VN ()</v>
      </c>
    </row>
    <row r="784">
      <c r="A784" s="176"/>
      <c r="D784" s="176" t="str">
        <f>IFERROR(__xludf.DUMMYFUNCTION("""COMPUTED_VALUE"""),"8400757 - ROSA FREE SPIRIT - flor (128989)")</f>
        <v>8400757 - ROSA FREE SPIRIT - flor (128989)</v>
      </c>
    </row>
    <row r="785">
      <c r="A785" s="176"/>
      <c r="D785" s="176" t="str">
        <f>IFERROR(__xludf.DUMMYFUNCTION("""COMPUTED_VALUE"""),"8400758 - ALLIUM BOMBA - flor (134631)")</f>
        <v>8400758 - ALLIUM BOMBA - flor (134631)</v>
      </c>
    </row>
    <row r="786">
      <c r="A786" s="176"/>
      <c r="D786" s="176" t="str">
        <f>IFERROR(__xludf.DUMMYFUNCTION("""COMPUTED_VALUE"""),"8400759 - LOTUS NELUMBO - flor (16405)")</f>
        <v>8400759 - LOTUS NELUMBO - flor (16405)</v>
      </c>
    </row>
    <row r="787">
      <c r="A787" s="176"/>
      <c r="D787" s="176" t="str">
        <f>IFERROR(__xludf.DUMMYFUNCTION("""COMPUTED_VALUE"""),"8400760 - NIGELLA DEEP - flor (94816)")</f>
        <v>8400760 - NIGELLA DEEP - flor (94816)</v>
      </c>
    </row>
    <row r="788">
      <c r="A788" s="176"/>
      <c r="D788" s="176" t="str">
        <f>IFERROR(__xludf.DUMMYFUNCTION("""COMPUTED_VALUE"""),"8400761 - ROSA NENA - flor (56703)")</f>
        <v>8400761 - ROSA NENA - flor (56703)</v>
      </c>
    </row>
    <row r="789">
      <c r="A789" s="176"/>
      <c r="D789" s="176" t="str">
        <f>IFERROR(__xludf.DUMMYFUNCTION("""COMPUTED_VALUE"""),"8400762 - YUCCA - planta pequeña/56 (117140)")</f>
        <v>8400762 - YUCCA - planta pequeña/56 (117140)</v>
      </c>
    </row>
    <row r="790">
      <c r="A790" s="176"/>
      <c r="D790" s="176" t="str">
        <f>IFERROR(__xludf.DUMMYFUNCTION("""COMPUTED_VALUE"""),"8400763 - BROMELIA GRANDE - planta/25 (153718)")</f>
        <v>8400763 - BROMELIA GRANDE - planta/25 (153718)</v>
      </c>
    </row>
    <row r="791">
      <c r="A791" s="176"/>
      <c r="D791" s="176" t="str">
        <f>IFERROR(__xludf.DUMMYFUNCTION("""COMPUTED_VALUE"""),"8400764 - EUCALYPTUS CINEREA - planta (184589)")</f>
        <v>8400764 - EUCALYPTUS CINEREA - planta (184589)</v>
      </c>
    </row>
    <row r="792">
      <c r="A792" s="176"/>
      <c r="D792" s="176" t="str">
        <f>IFERROR(__xludf.DUMMYFUNCTION("""COMPUTED_VALUE"""),"8400765 - ANANAS - planta (40210)")</f>
        <v>8400765 - ANANAS - planta (40210)</v>
      </c>
    </row>
    <row r="793">
      <c r="A793" s="176"/>
      <c r="D793" s="176" t="str">
        <f>IFERROR(__xludf.DUMMYFUNCTION("""COMPUTED_VALUE"""),"8400766 - COLEOS - planta (182920)")</f>
        <v>8400766 - COLEOS - planta (182920)</v>
      </c>
    </row>
    <row r="794">
      <c r="A794" s="176"/>
      <c r="D794" s="176" t="str">
        <f>IFERROR(__xludf.DUMMYFUNCTION("""COMPUTED_VALUE"""),"8400767 - COLMANARA - planta (127687)")</f>
        <v>8400767 - COLMANARA - planta (127687)</v>
      </c>
    </row>
    <row r="795">
      <c r="A795" s="176"/>
      <c r="D795" s="176" t="str">
        <f>IFERROR(__xludf.DUMMYFUNCTION("""COMPUTED_VALUE"""),"8400768 - KALANCHOE MAGIC BELLS - planta (41120)")</f>
        <v>8400768 - KALANCHOE MAGIC BELLS - planta (41120)</v>
      </c>
    </row>
    <row r="796">
      <c r="A796" s="176"/>
      <c r="D796" s="176" t="str">
        <f>IFERROR(__xludf.DUMMYFUNCTION("""COMPUTED_VALUE"""),"8400769 - MILTONIA MINI - planta (42893)")</f>
        <v>8400769 - MILTONIA MINI - planta (42893)</v>
      </c>
    </row>
    <row r="797">
      <c r="A797" s="176"/>
      <c r="D797" s="176" t="str">
        <f>IFERROR(__xludf.DUMMYFUNCTION("""COMPUTED_VALUE"""),"8400770 - ORCHIDEA - planta (182432)")</f>
        <v>8400770 - ORCHIDEA - planta (182432)</v>
      </c>
    </row>
    <row r="798">
      <c r="A798" s="176"/>
      <c r="D798" s="176" t="str">
        <f>IFERROR(__xludf.DUMMYFUNCTION("""COMPUTED_VALUE"""),"8400771 - SAINPAULIA (VIOLETA) - planta/16 (3439)")</f>
        <v>8400771 - SAINPAULIA (VIOLETA) - planta/16 (3439)</v>
      </c>
    </row>
    <row r="799">
      <c r="A799" s="176"/>
      <c r="D799" s="176" t="str">
        <f>IFERROR(__xludf.DUMMYFUNCTION("""COMPUTED_VALUE"""),"8400772 - ROSA KARMA MAGNOLIA - flor (174094)")</f>
        <v>8400772 - ROSA KARMA MAGNOLIA - flor (174094)</v>
      </c>
    </row>
    <row r="800">
      <c r="A800" s="176"/>
      <c r="D800" s="176" t="str">
        <f>IFERROR(__xludf.DUMMYFUNCTION("""COMPUTED_VALUE"""),"8400773 - ROSA MAG AVALANCHE - flor (171)")</f>
        <v>8400773 - ROSA MAG AVALANCHE - flor (171)</v>
      </c>
    </row>
    <row r="801">
      <c r="A801" s="176"/>
      <c r="D801" s="176" t="str">
        <f>IFERROR(__xludf.DUMMYFUNCTION("""COMPUTED_VALUE"""),"8400774 - ROSA PINK MAJOLIKA - flor (132487)")</f>
        <v>8400774 - ROSA PINK MAJOLIKA - flor (132487)</v>
      </c>
    </row>
    <row r="802">
      <c r="A802" s="176"/>
      <c r="D802" s="176" t="str">
        <f>IFERROR(__xludf.DUMMYFUNCTION("""COMPUTED_VALUE"""),"8400775 - SANSEVIERIA LAURETII - planta (27442, 94649)")</f>
        <v>8400775 - SANSEVIERIA LAURETII - planta (27442, 94649)</v>
      </c>
    </row>
    <row r="803">
      <c r="A803" s="176"/>
      <c r="D803" s="176" t="str">
        <f>IFERROR(__xludf.DUMMYFUNCTION("""COMPUTED_VALUE"""),"8400776 - DADELS Rama - flor (116132)")</f>
        <v>8400776 - DADELS Rama - flor (116132)</v>
      </c>
    </row>
    <row r="804">
      <c r="A804" s="176"/>
      <c r="D804" s="176" t="str">
        <f>IFERROR(__xludf.DUMMYFUNCTION("""COMPUTED_VALUE"""),"8400777 - JARRÓN (promo) ()")</f>
        <v>8400777 - JARRÓN (promo) ()</v>
      </c>
    </row>
    <row r="805">
      <c r="A805" s="176"/>
      <c r="D805" s="176" t="str">
        <f>IFERROR(__xludf.DUMMYFUNCTION("""COMPUTED_VALUE"""),"8400778 - ROSA VINTAGE - flor (43728)")</f>
        <v>8400778 - ROSA VINTAGE - flor (43728)</v>
      </c>
    </row>
    <row r="806">
      <c r="A806" s="176"/>
      <c r="D806" s="176" t="str">
        <f>IFERROR(__xludf.DUMMYFUNCTION("""COMPUTED_VALUE"""),"8400779 - CORALLO ramo - flor (160159)")</f>
        <v>8400779 - CORALLO ramo - flor (160159)</v>
      </c>
    </row>
    <row r="807">
      <c r="A807" s="176"/>
      <c r="D807" s="176" t="str">
        <f>IFERROR(__xludf.DUMMYFUNCTION("""COMPUTED_VALUE"""),"8400780 - ROSA MELOCOTÓN - flor (11139)")</f>
        <v>8400780 - ROSA MELOCOTÓN - flor (11139)</v>
      </c>
    </row>
    <row r="808">
      <c r="A808" s="176"/>
      <c r="D808" s="176" t="str">
        <f>IFERROR(__xludf.DUMMYFUNCTION("""COMPUTED_VALUE"""),"8400781 - ROSA PINK TACAZZI - flor (185418)")</f>
        <v>8400781 - ROSA PINK TACAZZI - flor (185418)</v>
      </c>
    </row>
    <row r="809">
      <c r="A809" s="176"/>
      <c r="D809" s="176" t="str">
        <f>IFERROR(__xludf.DUMMYFUNCTION("""COMPUTED_VALUE"""),"8400782 - ROSA WILD CROWN - flor (164556)")</f>
        <v>8400782 - ROSA WILD CROWN - flor (164556)</v>
      </c>
    </row>
    <row r="810">
      <c r="A810" s="176"/>
      <c r="D810" s="176" t="str">
        <f>IFERROR(__xludf.DUMMYFUNCTION("""COMPUTED_VALUE"""),"8400783 - ROSA VICTORIAN CLASSIC - flor (178865)")</f>
        <v>8400783 - ROSA VICTORIAN CLASSIC - flor (178865)</v>
      </c>
    </row>
    <row r="811">
      <c r="A811" s="176"/>
      <c r="D811" s="176" t="str">
        <f>IFERROR(__xludf.DUMMYFUNCTION("""COMPUTED_VALUE"""),"8400784 - SANDERSONIA AURANTIACA - flor (100432)")</f>
        <v>8400784 - SANDERSONIA AURANTIACA - flor (100432)</v>
      </c>
    </row>
    <row r="812">
      <c r="A812" s="176"/>
      <c r="D812" s="176" t="str">
        <f>IFERROR(__xludf.DUMMYFUNCTION("""COMPUTED_VALUE"""),"8400785 - SOLANUM PSEUDOCAPSICUM - planta (103826)")</f>
        <v>8400785 - SOLANUM PSEUDOCAPSICUM - planta (103826)</v>
      </c>
    </row>
    <row r="813">
      <c r="A813" s="176"/>
      <c r="D813" s="176" t="str">
        <f>IFERROR(__xludf.DUMMYFUNCTION("""COMPUTED_VALUE"""),"8400786 - AMARCRINUM - flor (186034)")</f>
        <v>8400786 - AMARCRINUM - flor (186034)</v>
      </c>
    </row>
    <row r="814">
      <c r="A814" s="176"/>
      <c r="D814" s="176" t="str">
        <f>IFERROR(__xludf.DUMMYFUNCTION("""COMPUTED_VALUE"""),"8400787 - PITTOSPARUM ROMBIFOLIA - rama (53675)")</f>
        <v>8400787 - PITTOSPARUM ROMBIFOLIA - rama (53675)</v>
      </c>
    </row>
    <row r="815">
      <c r="A815" s="176"/>
      <c r="D815" s="176" t="str">
        <f>IFERROR(__xludf.DUMMYFUNCTION("""COMPUTED_VALUE"""),"8400788 - ROSA BIMBA - flor (175718)")</f>
        <v>8400788 - ROSA BIMBA - flor (175718)</v>
      </c>
    </row>
    <row r="816">
      <c r="A816" s="176"/>
      <c r="D816" s="176" t="str">
        <f>IFERROR(__xludf.DUMMYFUNCTION("""COMPUTED_VALUE"""),"8400789 - ROSA CREAM PRESSION - flor (177616)")</f>
        <v>8400789 - ROSA CREAM PRESSION - flor (177616)</v>
      </c>
    </row>
    <row r="817">
      <c r="A817" s="176"/>
      <c r="D817" s="176" t="str">
        <f>IFERROR(__xludf.DUMMYFUNCTION("""COMPUTED_VALUE"""),"8400790 - ROSA WILDCAT - flor (185836)")</f>
        <v>8400790 - ROSA WILDCAT - flor (185836)</v>
      </c>
    </row>
    <row r="818">
      <c r="A818" s="176"/>
      <c r="D818" s="176" t="str">
        <f>IFERROR(__xludf.DUMMYFUNCTION("""COMPUTED_VALUE"""),"8400791 - ROSA MATILDA - flor (175209, 184372)")</f>
        <v>8400791 - ROSA MATILDA - flor (175209, 184372)</v>
      </c>
    </row>
    <row r="819">
      <c r="A819" s="176"/>
      <c r="D819" s="176" t="str">
        <f>IFERROR(__xludf.DUMMYFUNCTION("""COMPUTED_VALUE"""),"8400792 - CURCUMA SIAM SPLASH - planta (52495)")</f>
        <v>8400792 - CURCUMA SIAM SPLASH - planta (52495)</v>
      </c>
    </row>
    <row r="820">
      <c r="A820" s="176"/>
      <c r="D820" s="176" t="str">
        <f>IFERROR(__xludf.DUMMYFUNCTION("""COMPUTED_VALUE"""),"8400793 - FLOR CYMBIDIU - flor ()")</f>
        <v>8400793 - FLOR CYMBIDIU - flor ()</v>
      </c>
    </row>
    <row r="821">
      <c r="A821" s="176"/>
      <c r="D821" s="176" t="str">
        <f>IFERROR(__xludf.DUMMYFUNCTION("""COMPUTED_VALUE"""),"8400794 - ROSA COUNTRY BLUES - flor (186487)")</f>
        <v>8400794 - ROSA COUNTRY BLUES - flor (186487)</v>
      </c>
    </row>
    <row r="822">
      <c r="A822" s="176"/>
      <c r="D822" s="176" t="str">
        <f>IFERROR(__xludf.DUMMYFUNCTION("""COMPUTED_VALUE"""),"8400795 - PHLOX SENORA ramo  - flor (52505)")</f>
        <v>8400795 - PHLOX SENORA ramo  - flor (52505)</v>
      </c>
    </row>
    <row r="823">
      <c r="A823" s="176"/>
      <c r="D823" s="176" t="str">
        <f>IFERROR(__xludf.DUMMYFUNCTION("""COMPUTED_VALUE"""),"8400796 - ROSA BORN FREE - flor (185903)")</f>
        <v>8400796 - ROSA BORN FREE - flor (185903)</v>
      </c>
    </row>
    <row r="824">
      <c r="A824" s="176"/>
      <c r="D824" s="176" t="str">
        <f>IFERROR(__xludf.DUMMYFUNCTION("""COMPUTED_VALUE"""),"8400797 - ROSA FAITH - flor (155090)")</f>
        <v>8400797 - ROSA FAITH - flor (155090)</v>
      </c>
    </row>
    <row r="825">
      <c r="A825" s="176"/>
      <c r="D825" s="176" t="str">
        <f>IFERROR(__xludf.DUMMYFUNCTION("""COMPUTED_VALUE"""),"8400798 - ROSA MOONSTONE - flor (177162)")</f>
        <v>8400798 - ROSA MOONSTONE - flor (177162)</v>
      </c>
    </row>
    <row r="826">
      <c r="A826" s="176"/>
      <c r="D826" s="176" t="str">
        <f>IFERROR(__xludf.DUMMYFUNCTION("""COMPUTED_VALUE"""),"8400799 - SYMPHORICARPOS - ramo (25400, SYM)")</f>
        <v>8400799 - SYMPHORICARPOS - ramo (25400, SYM)</v>
      </c>
    </row>
    <row r="827">
      <c r="A827" s="176"/>
      <c r="D827" s="176" t="str">
        <f>IFERROR(__xludf.DUMMYFUNCTION("""COMPUTED_VALUE"""),"8400800 - FICUS BONS GINSENG - planta (184755)")</f>
        <v>8400800 - FICUS BONS GINSENG - planta (184755)</v>
      </c>
    </row>
    <row r="828">
      <c r="A828" s="176"/>
      <c r="D828" s="176" t="str">
        <f>IFERROR(__xludf.DUMMYFUNCTION("""COMPUTED_VALUE"""),"8400801 - SINGONIUM - planta (172792)")</f>
        <v>8400801 - SINGONIUM - planta (172792)</v>
      </c>
    </row>
    <row r="829">
      <c r="A829" s="176"/>
      <c r="D829" s="176" t="str">
        <f>IFERROR(__xludf.DUMMYFUNCTION("""COMPUTED_VALUE"""),"8400802 - ROSA QUEENS CROWN - flor (186678)")</f>
        <v>8400802 - ROSA QUEENS CROWN - flor (186678)</v>
      </c>
    </row>
    <row r="830">
      <c r="A830" s="176"/>
      <c r="D830" s="176" t="str">
        <f>IFERROR(__xludf.DUMMYFUNCTION("""COMPUTED_VALUE"""),"8400803 - EUPATORIUM - ramo (157935)")</f>
        <v>8400803 - EUPATORIUM - ramo (157935)</v>
      </c>
    </row>
    <row r="831">
      <c r="A831" s="176"/>
      <c r="D831" s="176" t="str">
        <f>IFERROR(__xludf.DUMMYFUNCTION("""COMPUTED_VALUE"""),"8400804 - ROSA SOLSY - flor (36576)")</f>
        <v>8400804 - ROSA SOLSY - flor (36576)</v>
      </c>
    </row>
    <row r="832">
      <c r="A832" s="176"/>
      <c r="D832" s="176" t="str">
        <f>IFERROR(__xludf.DUMMYFUNCTION("""COMPUTED_VALUE"""),"8400805 - BOUGAINVILLEA - planta (149668)")</f>
        <v>8400805 - BOUGAINVILLEA - planta (149668)</v>
      </c>
    </row>
    <row r="833">
      <c r="A833" s="176"/>
      <c r="D833" s="176" t="str">
        <f>IFERROR(__xludf.DUMMYFUNCTION("""COMPUTED_VALUE"""),"8400806 - AESCHINANTHUS FLEARLY - planta (117146)")</f>
        <v>8400806 - AESCHINANTHUS FLEARLY - planta (117146)</v>
      </c>
    </row>
    <row r="834">
      <c r="A834" s="176"/>
      <c r="D834" s="176" t="str">
        <f>IFERROR(__xludf.DUMMYFUNCTION("""COMPUTED_VALUE"""),"8400807 - GLAONEMA OVERIG - planta (187150)")</f>
        <v>8400807 - GLAONEMA OVERIG - planta (187150)</v>
      </c>
    </row>
    <row r="835">
      <c r="A835" s="176"/>
      <c r="D835" s="176" t="str">
        <f>IFERROR(__xludf.DUMMYFUNCTION("""COMPUTED_VALUE"""),"8400808 - CYMBIDIUM T4 - planta/63 (186751)")</f>
        <v>8400808 - CYMBIDIUM T4 - planta/63 (186751)</v>
      </c>
    </row>
    <row r="836">
      <c r="A836" s="176"/>
      <c r="D836" s="176" t="str">
        <f>IFERROR(__xludf.DUMMYFUNCTION("""COMPUTED_VALUE"""),"8400809 - LICUALA - planta (186747)")</f>
        <v>8400809 - LICUALA - planta (186747)</v>
      </c>
    </row>
    <row r="837">
      <c r="A837" s="176"/>
      <c r="D837" s="176" t="str">
        <f>IFERROR(__xludf.DUMMYFUNCTION("""COMPUTED_VALUE"""),"8400810 - ONCIDIUM - planta (187010)")</f>
        <v>8400810 - ONCIDIUM - planta (187010)</v>
      </c>
    </row>
    <row r="838">
      <c r="A838" s="176"/>
      <c r="D838" s="176" t="str">
        <f>IFERROR(__xludf.DUMMYFUNCTION("""COMPUTED_VALUE"""),"8400811 - POLYSCIAD FABIÁN - planta 100cm (70612)")</f>
        <v>8400811 - POLYSCIAD FABIÁN - planta 100cm (70612)</v>
      </c>
    </row>
    <row r="839">
      <c r="A839" s="176"/>
      <c r="D839" s="176" t="str">
        <f>IFERROR(__xludf.DUMMYFUNCTION("""COMPUTED_VALUE"""),"8400812 - PHYSALIS - flor (14803)")</f>
        <v>8400812 - PHYSALIS - flor (14803)</v>
      </c>
    </row>
    <row r="840">
      <c r="A840" s="176"/>
      <c r="D840" s="176" t="str">
        <f>IFERROR(__xludf.DUMMYFUNCTION("""COMPUTED_VALUE"""),"8400816 - ROSA H3O - flor (142432)")</f>
        <v>8400816 - ROSA H3O - flor (142432)</v>
      </c>
    </row>
    <row r="841">
      <c r="A841" s="176"/>
      <c r="D841" s="176" t="str">
        <f>IFERROR(__xludf.DUMMYFUNCTION("""COMPUTED_VALUE"""),"8400813 - ROSA SNOWSTORM - flor (172439)")</f>
        <v>8400813 - ROSA SNOWSTORM - flor (172439)</v>
      </c>
    </row>
    <row r="842">
      <c r="A842" s="176"/>
      <c r="D842" s="176" t="str">
        <f>IFERROR(__xludf.DUMMYFUNCTION("""COMPUTED_VALUE"""),"8400814 - FITTONIA MIX - planta (26378)")</f>
        <v>8400814 - FITTONIA MIX - planta (26378)</v>
      </c>
    </row>
    <row r="843">
      <c r="A843" s="176"/>
      <c r="D843" s="176" t="str">
        <f>IFERROR(__xludf.DUMMYFUNCTION("""COMPUTED_VALUE"""),"8400815 - FICUS BONSAI - planta/25 (11531, 189047)")</f>
        <v>8400815 - FICUS BONSAI - planta/25 (11531, 189047)</v>
      </c>
    </row>
    <row r="844">
      <c r="A844" s="176"/>
      <c r="D844" s="176" t="str">
        <f>IFERROR(__xludf.DUMMYFUNCTION("""COMPUTED_VALUE"""),"8400817 - CASTAÑO - frutos (188435)")</f>
        <v>8400817 - CASTAÑO - frutos (188435)</v>
      </c>
    </row>
    <row r="845">
      <c r="A845" s="176"/>
      <c r="D845" s="176" t="str">
        <f>IFERROR(__xludf.DUMMYFUNCTION("""COMPUTED_VALUE"""),"8400818 - CITRUS CALAMONDIN - planta (189518)")</f>
        <v>8400818 - CITRUS CALAMONDIN - planta (189518)</v>
      </c>
    </row>
    <row r="846">
      <c r="A846" s="176"/>
      <c r="D846" s="176" t="str">
        <f>IFERROR(__xludf.DUMMYFUNCTION("""COMPUTED_VALUE"""),"8400819 - CITRUS LIMONERO EUREKA  - planta (189519)")</f>
        <v>8400819 - CITRUS LIMONERO EUREKA  - planta (189519)</v>
      </c>
    </row>
    <row r="847">
      <c r="A847" s="176"/>
      <c r="D847" s="176" t="str">
        <f>IFERROR(__xludf.DUMMYFUNCTION("""COMPUTED_VALUE"""),"8400820 - FICUS DE DANIELLE (6971)")</f>
        <v>8400820 - FICUS DE DANIELLE (6971)</v>
      </c>
    </row>
    <row r="848">
      <c r="A848" s="176"/>
      <c r="D848" s="176" t="str">
        <f>IFERROR(__xludf.DUMMYFUNCTION("""COMPUTED_VALUE"""),"8400821 - POTHOS TUTOR - planta (17754)")</f>
        <v>8400821 - POTHOS TUTOR - planta (17754)</v>
      </c>
    </row>
    <row r="849">
      <c r="A849" s="176"/>
      <c r="D849" s="176" t="str">
        <f>IFERROR(__xludf.DUMMYFUNCTION("""COMPUTED_VALUE"""),"8400822 - CALLUNA GARDEN GIRLS - MIX planta (83617, 118054)")</f>
        <v>8400822 - CALLUNA GARDEN GIRLS - MIX planta (83617, 118054)</v>
      </c>
    </row>
    <row r="850">
      <c r="A850" s="176"/>
      <c r="D850" s="176" t="str">
        <f>IFERROR(__xludf.DUMMYFUNCTION("""COMPUTED_VALUE"""),"8400823 - CAREX - MIX planta (175272)")</f>
        <v>8400823 - CAREX - MIX planta (175272)</v>
      </c>
    </row>
    <row r="851">
      <c r="A851" s="176"/>
      <c r="D851" s="176" t="str">
        <f>IFERROR(__xludf.DUMMYFUNCTION("""COMPUTED_VALUE"""),"8400824 - GYNURA - planta (47008)")</f>
        <v>8400824 - GYNURA - planta (47008)</v>
      </c>
    </row>
    <row r="852">
      <c r="A852" s="176"/>
      <c r="D852" s="176" t="str">
        <f>IFERROR(__xludf.DUMMYFUNCTION("""COMPUTED_VALUE"""),"8400825 - RADERMACHERA SINICA - planta (189033)")</f>
        <v>8400825 - RADERMACHERA SINICA - planta (189033)</v>
      </c>
    </row>
    <row r="853">
      <c r="A853" s="176"/>
      <c r="D853" s="176" t="str">
        <f>IFERROR(__xludf.DUMMYFUNCTION("""COMPUTED_VALUE"""),"8400826 - ROSA JULISCHKA SIAN - flor (128466)")</f>
        <v>8400826 - ROSA JULISCHKA SIAN - flor (128466)</v>
      </c>
    </row>
    <row r="854">
      <c r="A854" s="176"/>
      <c r="D854" s="176" t="str">
        <f>IFERROR(__xludf.DUMMYFUNCTION("""COMPUTED_VALUE"""),"8400827 - ROSA MADAME RED - flor (143788)")</f>
        <v>8400827 - ROSA MADAME RED - flor (143788)</v>
      </c>
    </row>
    <row r="855">
      <c r="A855" s="176"/>
      <c r="D855" s="176" t="str">
        <f>IFERROR(__xludf.DUMMYFUNCTION("""COMPUTED_VALUE"""),"8400828 - ROSA CHIMO - flor (135409)")</f>
        <v>8400828 - ROSA CHIMO - flor (135409)</v>
      </c>
    </row>
    <row r="856">
      <c r="A856" s="176"/>
      <c r="D856" s="176" t="str">
        <f>IFERROR(__xludf.DUMMYFUNCTION("""COMPUTED_VALUE"""),"8400829 - EUPHORBIA - rama (46176, 122873)")</f>
        <v>8400829 - EUPHORBIA - rama (46176, 122873)</v>
      </c>
    </row>
    <row r="857">
      <c r="A857" s="176"/>
      <c r="D857" s="176" t="str">
        <f>IFERROR(__xludf.DUMMYFUNCTION("""COMPUTED_VALUE"""),"8400830 - ERICA - planta (190204)")</f>
        <v>8400830 - ERICA - planta (190204)</v>
      </c>
    </row>
    <row r="858">
      <c r="A858" s="176"/>
      <c r="D858" s="176" t="str">
        <f>IFERROR(__xludf.DUMMYFUNCTION("""COMPUTED_VALUE"""),"8400831 - ERICA GRASILIS - planta (103044)")</f>
        <v>8400831 - ERICA GRASILIS - planta (103044)</v>
      </c>
    </row>
    <row r="859">
      <c r="A859" s="176"/>
      <c r="D859" s="176" t="str">
        <f>IFERROR(__xludf.DUMMYFUNCTION("""COMPUTED_VALUE"""),"8400832 - FICUS TRENZADO - planta/162 (141173)")</f>
        <v>8400832 - FICUS TRENZADO - planta/162 (141173)</v>
      </c>
    </row>
    <row r="860">
      <c r="A860" s="176"/>
      <c r="D860" s="176" t="str">
        <f>IFERROR(__xludf.DUMMYFUNCTION("""COMPUTED_VALUE"""),"8400834 - SANSEVIERA LAURENTII 110cm - planta/106 (97833)")</f>
        <v>8400834 - SANSEVIERA LAURENTII 110cm - planta/106 (97833)</v>
      </c>
    </row>
    <row r="861">
      <c r="A861" s="176"/>
      <c r="D861" s="176" t="str">
        <f>IFERROR(__xludf.DUMMYFUNCTION("""COMPUTED_VALUE"""),"8400835 - ROSA ALISHA - flor (rsh, 149035)")</f>
        <v>8400835 - ROSA ALISHA - flor (rsh, 149035)</v>
      </c>
    </row>
    <row r="862">
      <c r="A862" s="176"/>
      <c r="D862" s="176" t="str">
        <f>IFERROR(__xludf.DUMMYFUNCTION("""COMPUTED_VALUE"""),"8400836 - ROSA ALINA - flor (rshc)")</f>
        <v>8400836 - ROSA ALINA - flor (rshc)</v>
      </c>
    </row>
    <row r="863">
      <c r="A863" s="176"/>
      <c r="D863" s="176" t="str">
        <f>IFERROR(__xludf.DUMMYFUNCTION("""COMPUTED_VALUE"""),"8400837 - HORTENSIA - flor pequeño/5 (174955, 174865, 191344)")</f>
        <v>8400837 - HORTENSIA - flor pequeño/5 (174955, 174865, 191344)</v>
      </c>
    </row>
    <row r="864">
      <c r="A864" s="176"/>
      <c r="D864" s="176" t="str">
        <f>IFERROR(__xludf.DUMMYFUNCTION("""COMPUTED_VALUE"""),"8400838 - CROTON - planta 143cm/T83cm (22)")</f>
        <v>8400838 - CROTON - planta 143cm/T83cm (22)</v>
      </c>
    </row>
    <row r="865">
      <c r="A865" s="176"/>
      <c r="D865" s="176" t="str">
        <f>IFERROR(__xludf.DUMMYFUNCTION("""COMPUTED_VALUE"""),"8400839 - TUBO PALO (159231)")</f>
        <v>8400839 - TUBO PALO (159231)</v>
      </c>
    </row>
    <row r="866">
      <c r="A866" s="176"/>
      <c r="D866" s="176" t="str">
        <f>IFERROR(__xludf.DUMMYFUNCTION("""COMPUTED_VALUE"""),"8400840 - ROSA COTTON - flor (191613, 163257, 191611)")</f>
        <v>8400840 - ROSA COTTON - flor (191613, 163257, 191611)</v>
      </c>
    </row>
    <row r="867">
      <c r="A867" s="176"/>
      <c r="D867" s="176" t="str">
        <f>IFERROR(__xludf.DUMMYFUNCTION("""COMPUTED_VALUE"""),"8400841 - HIPP MIX - la cebolla de flor (43290)")</f>
        <v>8400841 - HIPP MIX - la cebolla de flor (43290)</v>
      </c>
    </row>
    <row r="868">
      <c r="A868" s="176"/>
      <c r="D868" s="176" t="str">
        <f>IFERROR(__xludf.DUMMYFUNCTION("""COMPUTED_VALUE"""),"8400842 - DENDROBIUM - planta/28 (23469)")</f>
        <v>8400842 - DENDROBIUM - planta/28 (23469)</v>
      </c>
    </row>
    <row r="869">
      <c r="A869" s="176"/>
      <c r="D869" s="176" t="str">
        <f>IFERROR(__xludf.DUMMYFUNCTION("""COMPUTED_VALUE"""),"8400843 - ROSA RAMIFICADA FIRE FLASH - flor (4338)")</f>
        <v>8400843 - ROSA RAMIFICADA FIRE FLASH - flor (4338)</v>
      </c>
    </row>
    <row r="870">
      <c r="A870" s="176"/>
      <c r="D870" s="176" t="str">
        <f>IFERROR(__xludf.DUMMYFUNCTION("""COMPUTED_VALUE"""),"8400844 - VANADA CHARLOTTE - planta (177418)")</f>
        <v>8400844 - VANADA CHARLOTTE - planta (177418)</v>
      </c>
    </row>
    <row r="871">
      <c r="A871" s="176"/>
      <c r="D871" s="176" t="str">
        <f>IFERROR(__xludf.DUMMYFUNCTION("""COMPUTED_VALUE"""),"8400845 - ARO PAJA PROMOFLOR (28177)")</f>
        <v>8400845 - ARO PAJA PROMOFLOR (28177)</v>
      </c>
    </row>
    <row r="872">
      <c r="A872" s="176"/>
      <c r="D872" s="176" t="str">
        <f>IFERROR(__xludf.DUMMYFUNCTION("""COMPUTED_VALUE"""),"8400846 - CAPSICUM - rama (162271)")</f>
        <v>8400846 - CAPSICUM - rama (162271)</v>
      </c>
    </row>
    <row r="873">
      <c r="A873" s="176"/>
      <c r="D873" s="176" t="str">
        <f>IFERROR(__xludf.DUMMYFUNCTION("""COMPUTED_VALUE"""),"8400847 - SKIMMIA - ramo (73611, 138217, 149467)")</f>
        <v>8400847 - SKIMMIA - ramo (73611, 138217, 149467)</v>
      </c>
    </row>
    <row r="874">
      <c r="A874" s="176"/>
      <c r="D874" s="176" t="str">
        <f>IFERROR(__xludf.DUMMYFUNCTION("""COMPUTED_VALUE"""),"8400848 - CHRYSANTH JARDINERA MIX - planta/24 35cm/T20 (117815, 117816)")</f>
        <v>8400848 - CHRYSANTH JARDINERA MIX - planta/24 35cm/T20 (117815, 117816)</v>
      </c>
    </row>
    <row r="875">
      <c r="A875" s="176"/>
      <c r="D875" s="176" t="str">
        <f>IFERROR(__xludf.DUMMYFUNCTION("""COMPUTED_VALUE"""),"8400849 - CHRYSANTH JARDINERS XL MIX - planta/32 50cm/T40 (117820)")</f>
        <v>8400849 - CHRYSANTH JARDINERS XL MIX - planta/32 50cm/T40 (117820)</v>
      </c>
    </row>
    <row r="876">
      <c r="A876" s="176"/>
      <c r="D876" s="176" t="str">
        <f>IFERROR(__xludf.DUMMYFUNCTION("""COMPUTED_VALUE"""),"8400850 - CILINDRO 50/12,5 (165745)")</f>
        <v>8400850 - CILINDRO 50/12,5 (165745)</v>
      </c>
    </row>
    <row r="877">
      <c r="A877" s="176"/>
      <c r="D877" s="176" t="str">
        <f>IFERROR(__xludf.DUMMYFUNCTION("""COMPUTED_VALUE"""),"8400851 - BINDWIRE ALAMBRADA - consumibles (71461)")</f>
        <v>8400851 - BINDWIRE ALAMBRADA - consumibles (71461)</v>
      </c>
    </row>
    <row r="878">
      <c r="A878" s="176"/>
      <c r="D878" s="176" t="str">
        <f>IFERROR(__xludf.DUMMYFUNCTION("""COMPUTED_VALUE"""),"8400852 - BIRCH 70cm - rama (140984)")</f>
        <v>8400852 - BIRCH 70cm - rama (140984)</v>
      </c>
    </row>
    <row r="879">
      <c r="A879" s="176"/>
      <c r="D879" s="176" t="str">
        <f>IFERROR(__xludf.DUMMYFUNCTION("""COMPUTED_VALUE"""),"8400853 - CONIFERA BOUQUET 50cm - rama (64462)")</f>
        <v>8400853 - CONIFERA BOUQUET 50cm - rama (64462)</v>
      </c>
    </row>
    <row r="880">
      <c r="A880" s="176"/>
      <c r="D880" s="176" t="str">
        <f>IFERROR(__xludf.DUMMYFUNCTION("""COMPUTED_VALUE"""),"8400854 - CUPRESSUS ARIZONICA 70CM - rama (140579)")</f>
        <v>8400854 - CUPRESSUS ARIZONICA 70CM - rama (140579)</v>
      </c>
    </row>
    <row r="881">
      <c r="A881" s="176"/>
      <c r="D881" s="176" t="str">
        <f>IFERROR(__xludf.DUMMYFUNCTION("""COMPUTED_VALUE"""),"8400855 - CEDRO LIBANES 60cm - rama (165216)")</f>
        <v>8400855 - CEDRO LIBANES 60cm - rama (165216)</v>
      </c>
    </row>
    <row r="882">
      <c r="A882" s="176"/>
      <c r="D882" s="176" t="str">
        <f>IFERROR(__xludf.DUMMYFUNCTION("""COMPUTED_VALUE"""),"8400856 - JUNIPERUS (Enebro) 60cm - rama (104494)")</f>
        <v>8400856 - JUNIPERUS (Enebro) 60cm - rama (104494)</v>
      </c>
    </row>
    <row r="883">
      <c r="A883" s="176"/>
      <c r="D883" s="176" t="str">
        <f>IFERROR(__xludf.DUMMYFUNCTION("""COMPUTED_VALUE"""),"8400857 - TILLANDSIA USNEOIDES 50cm - hoja (16732)")</f>
        <v>8400857 - TILLANDSIA USNEOIDES 50cm - hoja (16732)</v>
      </c>
    </row>
    <row r="884">
      <c r="A884" s="176"/>
      <c r="D884" s="176" t="str">
        <f>IFERROR(__xludf.DUMMYFUNCTION("""COMPUTED_VALUE"""),"8400858 - GLIXIA MIX 50cm - rama (937468)")</f>
        <v>8400858 - GLIXIA MIX 50cm - rama (937468)</v>
      </c>
    </row>
    <row r="885">
      <c r="A885" s="176"/>
      <c r="D885" s="176" t="str">
        <f>IFERROR(__xludf.DUMMYFUNCTION("""COMPUTED_VALUE"""),"8400859 - PORTAVELAS 8cm (165955)")</f>
        <v>8400859 - PORTAVELAS 8cm (165955)</v>
      </c>
    </row>
    <row r="886">
      <c r="A886" s="176"/>
      <c r="D886" s="176" t="str">
        <f>IFERROR(__xludf.DUMMYFUNCTION("""COMPUTED_VALUE"""),"8400860 - RUSCUS 70-80cm - hoja (70932)")</f>
        <v>8400860 - RUSCUS 70-80cm - hoja (70932)</v>
      </c>
    </row>
    <row r="887">
      <c r="A887" s="176"/>
      <c r="D887" s="176" t="str">
        <f>IFERROR(__xludf.DUMMYFUNCTION("""COMPUTED_VALUE"""),"8400861 - Tlapsi -rama ()")</f>
        <v>8400861 - Tlapsi -rama ()</v>
      </c>
    </row>
    <row r="888">
      <c r="A888" s="176"/>
      <c r="D888" s="176" t="str">
        <f>IFERROR(__xludf.DUMMYFUNCTION("""COMPUTED_VALUE"""),"8400862 - COTTON - flor seco (26510)")</f>
        <v>8400862 - COTTON - flor seco (26510)</v>
      </c>
    </row>
    <row r="889">
      <c r="A889" s="176"/>
      <c r="D889" s="176" t="str">
        <f>IFERROR(__xludf.DUMMYFUNCTION("""COMPUTED_VALUE"""),"8400863 - CESTA BORDE - grande (171745)")</f>
        <v>8400863 - CESTA BORDE - grande (171745)</v>
      </c>
    </row>
    <row r="890">
      <c r="A890" s="176"/>
      <c r="D890" s="176" t="str">
        <f>IFERROR(__xludf.DUMMYFUNCTION("""COMPUTED_VALUE"""),"8400864 - CESTA BORDE - mediana (171745)")</f>
        <v>8400864 - CESTA BORDE - mediana (171745)</v>
      </c>
    </row>
    <row r="891">
      <c r="A891" s="176"/>
      <c r="D891" s="176" t="str">
        <f>IFERROR(__xludf.DUMMYFUNCTION("""COMPUTED_VALUE"""),"8400865 - CESTA BORDE - pequeña (171745)")</f>
        <v>8400865 - CESTA BORDE - pequeña (171745)</v>
      </c>
    </row>
    <row r="892">
      <c r="A892" s="176"/>
      <c r="D892" s="176" t="str">
        <f>IFERROR(__xludf.DUMMYFUNCTION("""COMPUTED_VALUE"""),"8400866 - REDONDA CESTA BORDE - grande  22cm 24cm (85656)")</f>
        <v>8400866 - REDONDA CESTA BORDE - grande  22cm 24cm (85656)</v>
      </c>
    </row>
    <row r="893">
      <c r="A893" s="176"/>
      <c r="D893" s="176" t="str">
        <f>IFERROR(__xludf.DUMMYFUNCTION("""COMPUTED_VALUE"""),"8400867 - REDONDA CESTA BORDE - mediana 20cm 22cm (85655)")</f>
        <v>8400867 - REDONDA CESTA BORDE - mediana 20cm 22cm (85655)</v>
      </c>
    </row>
    <row r="894">
      <c r="A894" s="176"/>
      <c r="D894" s="176" t="str">
        <f>IFERROR(__xludf.DUMMYFUNCTION("""COMPUTED_VALUE"""),"8400868 - REDONDA CESTA BORDE - pequeña 14cm 17,5cm (85653)")</f>
        <v>8400868 - REDONDA CESTA BORDE - pequeña 14cm 17,5cm (85653)</v>
      </c>
    </row>
    <row r="895">
      <c r="A895" s="176"/>
      <c r="D895" s="176" t="str">
        <f>IFERROR(__xludf.DUMMYFUNCTION("""COMPUTED_VALUE"""),"8400869 - CILINDRO de color  25*18 (187664)")</f>
        <v>8400869 - CILINDRO de color  25*18 (187664)</v>
      </c>
    </row>
    <row r="896">
      <c r="A896" s="176"/>
      <c r="D896" s="176" t="str">
        <f>IFERROR(__xludf.DUMMYFUNCTION("""COMPUTED_VALUE"""),"8400870 - CILINDRO de color 25*18 (187655)")</f>
        <v>8400870 - CILINDRO de color 25*18 (187655)</v>
      </c>
    </row>
    <row r="897">
      <c r="A897" s="176"/>
      <c r="D897" s="176" t="str">
        <f>IFERROR(__xludf.DUMMYFUNCTION("""COMPUTED_VALUE"""),"8400871 - CILINDRO de colores 28*15 (174067)")</f>
        <v>8400871 - CILINDRO de colores 28*15 (174067)</v>
      </c>
    </row>
    <row r="898">
      <c r="A898" s="176"/>
      <c r="D898" s="176" t="str">
        <f>IFERROR(__xludf.DUMMYFUNCTION("""COMPUTED_VALUE"""),"8400872 - CILINDRO de color 18*25 (174066)")</f>
        <v>8400872 - CILINDRO de color 18*25 (174066)</v>
      </c>
    </row>
    <row r="899">
      <c r="A899" s="176"/>
      <c r="D899" s="176" t="str">
        <f>IFERROR(__xludf.DUMMYFUNCTION("""COMPUTED_VALUE"""),"8400873 - VASO Grande Mate 12,5*14,5 (23777)")</f>
        <v>8400873 - VASO Grande Mate 12,5*14,5 (23777)</v>
      </c>
    </row>
    <row r="900">
      <c r="A900" s="176"/>
      <c r="D900" s="176" t="str">
        <f>IFERROR(__xludf.DUMMYFUNCTION("""COMPUTED_VALUE"""),"8400874 - ARDISIA - planta (99077)")</f>
        <v>8400874 - ARDISIA - planta (99077)</v>
      </c>
    </row>
    <row r="901">
      <c r="A901" s="176"/>
      <c r="D901" s="176" t="str">
        <f>IFERROR(__xludf.DUMMYFUNCTION("""COMPUTED_VALUE"""),"8400875 - SCHLUMBERGERA TRUNCATA - planta/14 (103758)")</f>
        <v>8400875 - SCHLUMBERGERA TRUNCATA - planta/14 (103758)</v>
      </c>
    </row>
    <row r="902">
      <c r="A902" s="176"/>
      <c r="D902" s="176" t="str">
        <f>IFERROR(__xludf.DUMMYFUNCTION("""COMPUTED_VALUE"""),"8400876 - MALUS SENTINEL - ramo (36796)")</f>
        <v>8400876 - MALUS SENTINEL - ramo (36796)</v>
      </c>
    </row>
    <row r="903">
      <c r="A903" s="176"/>
      <c r="D903" s="176" t="str">
        <f>IFERROR(__xludf.DUMMYFUNCTION("""COMPUTED_VALUE"""),"8400877 - ROSA RED RIBBON - flor (94487)")</f>
        <v>8400877 - ROSA RED RIBBON - flor (94487)</v>
      </c>
    </row>
    <row r="904">
      <c r="A904" s="176"/>
      <c r="D904" s="176" t="str">
        <f>IFERROR(__xludf.DUMMYFUNCTION("""COMPUTED_VALUE"""),"8400878 - PICEA OVERIG CONICA - planta 90-100cm (105842, 37233)")</f>
        <v>8400878 - PICEA OVERIG CONICA - planta 90-100cm (105842, 37233)</v>
      </c>
    </row>
    <row r="905">
      <c r="A905" s="176"/>
      <c r="D905" s="176" t="str">
        <f>IFERROR(__xludf.DUMMYFUNCTION("""COMPUTED_VALUE"""),"8400879 - ACEBO - rama (23569)")</f>
        <v>8400879 - ACEBO - rama (23569)</v>
      </c>
    </row>
    <row r="906">
      <c r="A906" s="176"/>
      <c r="D906" s="176" t="str">
        <f>IFERROR(__xludf.DUMMYFUNCTION("""COMPUTED_VALUE"""),"8400880 - PICEA GLAUCA - planta (104216, 148934)")</f>
        <v>8400880 - PICEA GLAUCA - planta (104216, 148934)</v>
      </c>
    </row>
    <row r="907">
      <c r="A907" s="176"/>
      <c r="D907" s="176" t="str">
        <f>IFERROR(__xludf.DUMMYFUNCTION("""COMPUTED_VALUE"""),"8400882 - ESPONJA ARO 30cm 4,5cm (10060)")</f>
        <v>8400882 - ESPONJA ARO 30cm 4,5cm (10060)</v>
      </c>
    </row>
    <row r="908">
      <c r="A908" s="176"/>
      <c r="D908" s="176" t="str">
        <f>IFERROR(__xludf.DUMMYFUNCTION("""COMPUTED_VALUE"""),"8400883 - CILINDRO de colore 30*16 (187617)")</f>
        <v>8400883 - CILINDRO de colore 30*16 (187617)</v>
      </c>
    </row>
    <row r="909">
      <c r="A909" s="176"/>
      <c r="D909" s="176" t="str">
        <f>IFERROR(__xludf.DUMMYFUNCTION("""COMPUTED_VALUE"""),"8400884 - CILINDRO de color 30*16 (187628)")</f>
        <v>8400884 - CILINDRO de color 30*16 (187628)</v>
      </c>
    </row>
    <row r="910">
      <c r="A910" s="176"/>
      <c r="D910" s="176" t="str">
        <f>IFERROR(__xludf.DUMMYFUNCTION("""COMPUTED_VALUE"""),"8400885 - SALIX GOLDEN 130cm (104345)")</f>
        <v>8400885 - SALIX GOLDEN 130cm (104345)</v>
      </c>
    </row>
    <row r="911">
      <c r="A911" s="176"/>
      <c r="D911" s="176" t="str">
        <f>IFERROR(__xludf.DUMMYFUNCTION("""COMPUTED_VALUE"""),"8400881 - ROSA ORCHESTRA PLAZA - flor (32525)")</f>
        <v>8400881 - ROSA ORCHESTRA PLAZA - flor (32525)</v>
      </c>
    </row>
    <row r="912">
      <c r="A912" s="176"/>
      <c r="D912" s="176" t="str">
        <f>IFERROR(__xludf.DUMMYFUNCTION("""COMPUTED_VALUE"""),"8400886 - EUPHOBIA LACTEA CRISTATA - planta (99751)")</f>
        <v>8400886 - EUPHOBIA LACTEA CRISTATA - planta (99751)</v>
      </c>
    </row>
    <row r="913">
      <c r="A913" s="176"/>
      <c r="D913" s="176" t="str">
        <f>IFERROR(__xludf.DUMMYFUNCTION("""COMPUTED_VALUE"""),"8400887 - ZAMIOCULCA T12 - planta/12 (94226, 196311)")</f>
        <v>8400887 - ZAMIOCULCA T12 - planta/12 (94226, 196311)</v>
      </c>
    </row>
    <row r="914">
      <c r="A914" s="176"/>
      <c r="D914" s="176" t="str">
        <f>IFERROR(__xludf.DUMMYFUNCTION("""COMPUTED_VALUE"""),"8400888 - SYNGONIUM MIX - T13 planta (94372)")</f>
        <v>8400888 - SYNGONIUM MIX - T13 planta (94372)</v>
      </c>
    </row>
    <row r="915">
      <c r="A915" s="176"/>
      <c r="D915" s="176" t="str">
        <f>IFERROR(__xludf.DUMMYFUNCTION("""COMPUTED_VALUE"""),"8400889 - SCINDAPSUS PICTUS SILVERY - planta (111064)")</f>
        <v>8400889 - SCINDAPSUS PICTUS SILVERY - planta (111064)</v>
      </c>
    </row>
    <row r="916">
      <c r="A916" s="176"/>
      <c r="D916" s="176" t="str">
        <f>IFERROR(__xludf.DUMMYFUNCTION("""COMPUTED_VALUE"""),"8400890 - ARBOL DECO NAVIDAD T13 45cm - planta (120248)")</f>
        <v>8400890 - ARBOL DECO NAVIDAD T13 45cm - planta (120248)</v>
      </c>
    </row>
    <row r="917">
      <c r="A917" s="176"/>
      <c r="D917" s="176" t="str">
        <f>IFERROR(__xludf.DUMMYFUNCTION("""COMPUTED_VALUE"""),"8400891 - GAULTHERIA - T14 planta (111469)")</f>
        <v>8400891 - GAULTHERIA - T14 planta (111469)</v>
      </c>
    </row>
    <row r="918">
      <c r="A918" s="176"/>
      <c r="D918" s="176" t="str">
        <f>IFERROR(__xludf.DUMMYFUNCTION("""COMPUTED_VALUE"""),"8400892 - GAULTHERIA - T13 planta pequeña (94749)")</f>
        <v>8400892 - GAULTHERIA - T13 planta pequeña (94749)</v>
      </c>
    </row>
    <row r="919">
      <c r="A919" s="176"/>
      <c r="D919" s="176" t="str">
        <f>IFERROR(__xludf.DUMMYFUNCTION("""COMPUTED_VALUE"""),"8400893 - EPIPREMNUM GOLDEN POTHOS - T12 planta (102114)")</f>
        <v>8400893 - EPIPREMNUM GOLDEN POTHOS - T12 planta (102114)</v>
      </c>
    </row>
    <row r="920">
      <c r="A920" s="176"/>
      <c r="D920" s="176" t="str">
        <f>IFERROR(__xludf.DUMMYFUNCTION("""COMPUTED_VALUE"""),"8400894 - PINO CHAMAECYPARIS - T13 planta 32cm (108713)")</f>
        <v>8400894 - PINO CHAMAECYPARIS - T13 planta 32cm (108713)</v>
      </c>
    </row>
    <row r="921">
      <c r="A921" s="176"/>
      <c r="D921" s="176" t="str">
        <f>IFERROR(__xludf.DUMMYFUNCTION("""COMPUTED_VALUE"""),"8400895 - RHIPSALIS MIX - T17 planta colganta (83612)")</f>
        <v>8400895 - RHIPSALIS MIX - T17 planta colganta (83612)</v>
      </c>
    </row>
    <row r="922">
      <c r="A922" s="176"/>
      <c r="D922" s="176" t="str">
        <f>IFERROR(__xludf.DUMMYFUNCTION("""COMPUTED_VALUE"""),"8400896 - ROSA FULL MONTY - flor (136276)")</f>
        <v>8400896 - ROSA FULL MONTY - flor (136276)</v>
      </c>
    </row>
    <row r="923">
      <c r="A923" s="176"/>
      <c r="D923" s="176" t="str">
        <f>IFERROR(__xludf.DUMMYFUNCTION("""COMPUTED_VALUE"""),"8400897 - CYCLAMEN - T14 planta 22cm (112700)")</f>
        <v>8400897 - CYCLAMEN - T14 planta 22cm (112700)</v>
      </c>
    </row>
    <row r="924">
      <c r="A924" s="176"/>
      <c r="D924" s="176" t="str">
        <f>IFERROR(__xludf.DUMMYFUNCTION("""COMPUTED_VALUE"""),"8400898 - SKIMMIA RUBELLA - T19 planta 50cm (3541)")</f>
        <v>8400898 - SKIMMIA RUBELLA - T19 planta 50cm (3541)</v>
      </c>
    </row>
    <row r="925">
      <c r="A925" s="176"/>
      <c r="D925" s="176" t="str">
        <f>IFERROR(__xludf.DUMMYFUNCTION("""COMPUTED_VALUE"""),"R00066 - SHRYSAL (sobres) (159760)")</f>
        <v>R00066 - SHRYSAL (sobres) (159760)</v>
      </c>
    </row>
    <row r="926">
      <c r="A926" s="176"/>
      <c r="D926" s="176" t="str">
        <f>IFERROR(__xludf.DUMMYFUNCTION("""COMPUTED_VALUE"""),"R00067 - ESPONJA - 53cm*14cm consumible (5973)")</f>
        <v>R00067 - ESPONJA - 53cm*14cm consumible (5973)</v>
      </c>
    </row>
    <row r="927">
      <c r="A927" s="176"/>
      <c r="D927" s="176" t="str">
        <f>IFERROR(__xludf.DUMMYFUNCTION("""COMPUTED_VALUE"""),"8400899 - PICEA GLAUCA CONICA - planta 120-140cm (54567)")</f>
        <v>8400899 - PICEA GLAUCA CONICA - planta 120-140cm (54567)</v>
      </c>
    </row>
    <row r="928">
      <c r="A928" s="176"/>
      <c r="D928" s="176" t="str">
        <f>IFERROR(__xludf.DUMMYFUNCTION("""COMPUTED_VALUE"""),"8400900 - ROSA MOCACHINO (162305)")</f>
        <v>8400900 - ROSA MOCACHINO (162305)</v>
      </c>
    </row>
    <row r="929">
      <c r="A929" s="176"/>
      <c r="D929" s="176" t="str">
        <f>IFERROR(__xludf.DUMMYFUNCTION("""COMPUTED_VALUE"""),"8400901 - HIPPEASTRUM CHRISMAS - bulbo (131008)")</f>
        <v>8400901 - HIPPEASTRUM CHRISMAS - bulbo (131008)</v>
      </c>
    </row>
    <row r="930">
      <c r="A930" s="176"/>
      <c r="D930" s="176" t="str">
        <f>IFERROR(__xludf.DUMMYFUNCTION("""COMPUTED_VALUE"""),"8400902 - SCHLUMBERGERA TRUNCATA - planta/32 30cm (146877)")</f>
        <v>8400902 - SCHLUMBERGERA TRUNCATA - planta/32 30cm (146877)</v>
      </c>
    </row>
    <row r="931">
      <c r="A931" s="176"/>
      <c r="D931" s="176" t="str">
        <f>IFERROR(__xludf.DUMMYFUNCTION("""COMPUTED_VALUE"""),"8400903 - PINO NORFOLK - rama (Araucaria, 13656)")</f>
        <v>8400903 - PINO NORFOLK - rama (Araucaria, 13656)</v>
      </c>
    </row>
    <row r="932">
      <c r="A932" s="176"/>
      <c r="D932" s="176" t="str">
        <f>IFERROR(__xludf.DUMMYFUNCTION("""COMPUTED_VALUE"""),"8400904 - stephanotis STEPHANOTIS - planta 45cm T13 (146877)")</f>
        <v>8400904 - stephanotis STEPHANOTIS - planta 45cm T13 (146877)</v>
      </c>
    </row>
    <row r="933">
      <c r="A933" s="176"/>
      <c r="D933" s="176" t="str">
        <f>IFERROR(__xludf.DUMMYFUNCTION("""COMPUTED_VALUE"""),"8400905 - DIPLOCYCOS PALMATUS - caja 7m (158739)")</f>
        <v>8400905 - DIPLOCYCOS PALMATUS - caja 7m (158739)</v>
      </c>
    </row>
    <row r="934">
      <c r="A934" s="176"/>
      <c r="D934" s="176" t="str">
        <f>IFERROR(__xludf.DUMMYFUNCTION("""COMPUTED_VALUE"""),"8400906 - MACETA PLÁSTICA ()")</f>
        <v>8400906 - MACETA PLÁSTICA ()</v>
      </c>
    </row>
    <row r="935">
      <c r="A935" s="176"/>
      <c r="D935" s="176" t="str">
        <f>IFERROR(__xludf.DUMMYFUNCTION("""COMPUTED_VALUE"""),"8400907 - JUGUETES DE NAVIDAD PAQUEÑAS ()")</f>
        <v>8400907 - JUGUETES DE NAVIDAD PAQUEÑAS ()</v>
      </c>
    </row>
    <row r="936">
      <c r="A936" s="176"/>
      <c r="D936" s="176" t="str">
        <f>IFERROR(__xludf.DUMMYFUNCTION("""COMPUTED_VALUE"""),"8400908 - JUGUETES DE NAVIDAD MEDIANOS ()")</f>
        <v>8400908 - JUGUETES DE NAVIDAD MEDIANOS ()</v>
      </c>
    </row>
    <row r="937">
      <c r="A937" s="176"/>
      <c r="D937" s="176" t="str">
        <f>IFERROR(__xludf.DUMMYFUNCTION("""COMPUTED_VALUE"""),"8400909 - JUGUETES DE NAVIDAD GRANDES ()")</f>
        <v>8400909 - JUGUETES DE NAVIDAD GRANDES ()</v>
      </c>
    </row>
    <row r="938">
      <c r="A938" s="176"/>
      <c r="D938" s="176" t="str">
        <f>IFERROR(__xludf.DUMMYFUNCTION("""COMPUTED_VALUE"""),"8400910 - BOLSA S ()")</f>
        <v>8400910 - BOLSA S ()</v>
      </c>
    </row>
    <row r="939">
      <c r="A939" s="176"/>
      <c r="D939" s="176" t="str">
        <f>IFERROR(__xludf.DUMMYFUNCTION("""COMPUTED_VALUE"""),"8400911 - BOLSA M ()")</f>
        <v>8400911 - BOLSA M ()</v>
      </c>
    </row>
    <row r="940">
      <c r="A940" s="176"/>
      <c r="D940" s="176" t="str">
        <f>IFERROR(__xludf.DUMMYFUNCTION("""COMPUTED_VALUE"""),"8400912 - AGLAONEMA - Silver Bay - planta/30 (92442, 132331, 187150)")</f>
        <v>8400912 - AGLAONEMA - Silver Bay - planta/30 (92442, 132331, 187150)</v>
      </c>
    </row>
    <row r="941">
      <c r="A941" s="176"/>
      <c r="D941" s="176" t="str">
        <f>IFERROR(__xludf.DUMMYFUNCTION("""COMPUTED_VALUE"""),"8400913 - ROSA MAMMA MIA - rosa (189398)")</f>
        <v>8400913 - ROSA MAMMA MIA - rosa (189398)</v>
      </c>
    </row>
    <row r="942">
      <c r="A942" s="176"/>
      <c r="D942" s="176" t="str">
        <f>IFERROR(__xludf.DUMMYFUNCTION("""COMPUTED_VALUE"""),"8400914 - BRUNIA RED - rama (36856)")</f>
        <v>8400914 - BRUNIA RED - rama (36856)</v>
      </c>
    </row>
    <row r="943">
      <c r="A943" s="176"/>
      <c r="D943" s="176" t="str">
        <f>IFERROR(__xludf.DUMMYFUNCTION("""COMPUTED_VALUE"""),"8400915 - LEUCOPHYTA BROWNII - planta 18cmT10,5 (95871)")</f>
        <v>8400915 - LEUCOPHYTA BROWNII - planta 18cmT10,5 (95871)</v>
      </c>
    </row>
    <row r="944">
      <c r="A944" s="176"/>
      <c r="D944" s="176" t="str">
        <f>IFERROR(__xludf.DUMMYFUNCTION("""COMPUTED_VALUE"""),"8400917 - ROSA MAGIC - flor (144540)")</f>
        <v>8400917 - ROSA MAGIC - flor (144540)</v>
      </c>
    </row>
    <row r="945">
      <c r="A945" s="176"/>
      <c r="D945" s="176" t="str">
        <f>IFERROR(__xludf.DUMMYFUNCTION("""COMPUTED_VALUE"""),"8400918 - ROSA OCEAN - flor (177841)")</f>
        <v>8400918 - ROSA OCEAN - flor (177841)</v>
      </c>
    </row>
    <row r="946">
      <c r="A946" s="176"/>
      <c r="D946" s="176" t="str">
        <f>IFERROR(__xludf.DUMMYFUNCTION("""COMPUTED_VALUE"""),"8400919 - ROSA SORBET - flor (99660)")</f>
        <v>8400919 - ROSA SORBET - flor (99660)</v>
      </c>
    </row>
    <row r="947">
      <c r="A947" s="176"/>
      <c r="D947" s="176" t="str">
        <f>IFERROR(__xludf.DUMMYFUNCTION("""COMPUTED_VALUE"""),"8400920 - AGERATUM - rama (65983)")</f>
        <v>8400920 - AGERATUM - rama (65983)</v>
      </c>
    </row>
    <row r="948">
      <c r="A948" s="176"/>
      <c r="D948" s="176" t="str">
        <f>IFERROR(__xludf.DUMMYFUNCTION("""COMPUTED_VALUE"""),"8400921 - REDONDA CESTA - 21cm 23cm /16 (184560)")</f>
        <v>8400921 - REDONDA CESTA - 21cm 23cm /16 (184560)</v>
      </c>
    </row>
    <row r="949">
      <c r="A949" s="176"/>
      <c r="D949" s="176" t="str">
        <f>IFERROR(__xludf.DUMMYFUNCTION("""COMPUTED_VALUE"""),"8400922 - REDONDA CESTA - 16cm 14cm   /12 (184560)")</f>
        <v>8400922 - REDONDA CESTA - 16cm 14cm   /12 (184560)</v>
      </c>
    </row>
    <row r="950">
      <c r="A950" s="176"/>
      <c r="D950" s="176" t="str">
        <f>IFERROR(__xludf.DUMMYFUNCTION("""COMPUTED_VALUE"""),"8400923 - MACETA LANVIA GRAU-BLAU 17,5cm (559243)")</f>
        <v>8400923 - MACETA LANVIA GRAU-BLAU 17,5cm (559243)</v>
      </c>
    </row>
    <row r="951">
      <c r="A951" s="176"/>
      <c r="D951" s="176" t="str">
        <f>IFERROR(__xludf.DUMMYFUNCTION("""COMPUTED_VALUE"""),"8400924 - MACETA STRIA GRAU 19cm (364608)")</f>
        <v>8400924 - MACETA STRIA GRAU 19cm (364608)</v>
      </c>
    </row>
    <row r="952">
      <c r="A952" s="176"/>
      <c r="D952" s="176" t="str">
        <f>IFERROR(__xludf.DUMMYFUNCTION("""COMPUTED_VALUE"""),"8400925 - MACETA TUBETTI CURAL BLUE 22cm (575288)")</f>
        <v>8400925 - MACETA TUBETTI CURAL BLUE 22cm (575288)</v>
      </c>
    </row>
    <row r="953">
      <c r="A953" s="176"/>
      <c r="D953" s="176" t="str">
        <f>IFERROR(__xludf.DUMMYFUNCTION("""COMPUTED_VALUE"""),"8400926 - MACETA LAVINA MARONI 35cm (849562)")</f>
        <v>8400926 - MACETA LAVINA MARONI 35cm (849562)</v>
      </c>
    </row>
    <row r="954">
      <c r="A954" s="176"/>
      <c r="D954" s="176" t="str">
        <f>IFERROR(__xludf.DUMMYFUNCTION("""COMPUTED_VALUE"""),"8400927 - MACETA LAVINA PINE GREEN 28cm (849552)")</f>
        <v>8400927 - MACETA LAVINA PINE GREEN 28cm (849552)</v>
      </c>
    </row>
    <row r="955">
      <c r="A955" s="176"/>
      <c r="D955" s="176" t="str">
        <f>IFERROR(__xludf.DUMMYFUNCTION("""COMPUTED_VALUE"""),"8400928 - MACETA LAVINA PINE GREEN 23cm (849551)")</f>
        <v>8400928 - MACETA LAVINA PINE GREEN 23cm (849551)</v>
      </c>
    </row>
    <row r="956">
      <c r="A956" s="176"/>
      <c r="D956" s="176" t="str">
        <f>IFERROR(__xludf.DUMMYFUNCTION("""COMPUTED_VALUE"""),"8400929 - MACETA DEKO-VACE LANVIA GRAU-BLAU 19,5cm (559245)")</f>
        <v>8400929 - MACETA DEKO-VACE LANVIA GRAU-BLAU 19,5cm (559245)</v>
      </c>
    </row>
    <row r="957">
      <c r="A957" s="176"/>
      <c r="D957" s="176" t="str">
        <f>IFERROR(__xludf.DUMMYFUNCTION("""COMPUTED_VALUE"""),"8400930 - MACETA STRIA GRAU 14cm (364606)")</f>
        <v>8400930 - MACETA STRIA GRAU 14cm (364606)</v>
      </c>
    </row>
    <row r="958">
      <c r="A958" s="176"/>
      <c r="D958" s="176" t="str">
        <f>IFERROR(__xludf.DUMMYFUNCTION("""COMPUTED_VALUE"""),"8400931 - MACETA STRIA GRAU 16cm (364607)")</f>
        <v>8400931 - MACETA STRIA GRAU 16cm (364607)</v>
      </c>
    </row>
    <row r="959">
      <c r="A959" s="176"/>
      <c r="D959" s="176" t="str">
        <f>IFERROR(__xludf.DUMMYFUNCTION("""COMPUTED_VALUE"""),"8400932 - MACETA BIRDY NATURWEIB 19,5cm (590402)")</f>
        <v>8400932 - MACETA BIRDY NATURWEIB 19,5cm (590402)</v>
      </c>
    </row>
    <row r="960">
      <c r="A960" s="176"/>
      <c r="D960" s="176" t="str">
        <f>IFERROR(__xludf.DUMMYFUNCTION("""COMPUTED_VALUE"""),"8400933 - MACETA MONROE TEAL 18,5cm (559240)")</f>
        <v>8400933 - MACETA MONROE TEAL 18,5cm (559240)</v>
      </c>
    </row>
    <row r="961">
      <c r="A961" s="176"/>
      <c r="D961" s="176" t="str">
        <f>IFERROR(__xludf.DUMMYFUNCTION("""COMPUTED_VALUE"""),"8400934 - MACETA ROSALBA SOFT TAUPE 20cm (575309)")</f>
        <v>8400934 - MACETA ROSALBA SOFT TAUPE 20cm (575309)</v>
      </c>
    </row>
    <row r="962">
      <c r="A962" s="176"/>
      <c r="D962" s="176" t="str">
        <f>IFERROR(__xludf.DUMMYFUNCTION("""COMPUTED_VALUE"""),"8400935 - MACETA MONROE TEAL 16cm (559239)")</f>
        <v>8400935 - MACETA MONROE TEAL 16cm (559239)</v>
      </c>
    </row>
    <row r="963">
      <c r="A963" s="176"/>
      <c r="D963" s="176" t="str">
        <f>IFERROR(__xludf.DUMMYFUNCTION("""COMPUTED_VALUE"""),"8400936 - MACETA DEKO-VASE LANVIA GRAU-BLAU 34cm (559247)")</f>
        <v>8400936 - MACETA DEKO-VASE LANVIA GRAU-BLAU 34cm (559247)</v>
      </c>
    </row>
    <row r="964">
      <c r="A964" s="176"/>
      <c r="D964" s="176" t="str">
        <f>IFERROR(__xludf.DUMMYFUNCTION("""COMPUTED_VALUE"""),"8400937 - MACETA LAVINA MARONI 70cm (849564)")</f>
        <v>8400937 - MACETA LAVINA MARONI 70cm (849564)</v>
      </c>
    </row>
    <row r="965">
      <c r="A965" s="176"/>
      <c r="D965" s="176" t="str">
        <f>IFERROR(__xludf.DUMMYFUNCTION("""COMPUTED_VALUE"""),"8400938 - MACETA TUBETTI CORAL BLUE 33cm (575289)")</f>
        <v>8400938 - MACETA TUBETTI CORAL BLUE 33cm (575289)</v>
      </c>
    </row>
    <row r="966">
      <c r="A966" s="176"/>
      <c r="D966" s="176" t="str">
        <f>IFERROR(__xludf.DUMMYFUNCTION("""COMPUTED_VALUE"""),"8400939 - MACETA ROSALBA SOFT TAUPE 27,5cm (575310)")</f>
        <v>8400939 - MACETA ROSALBA SOFT TAUPE 27,5cm (575310)</v>
      </c>
    </row>
    <row r="967">
      <c r="A967" s="176"/>
      <c r="D967" s="176" t="str">
        <f>IFERROR(__xludf.DUMMYFUNCTION("""COMPUTED_VALUE"""),"8400940 - MACETA ROSALBA SOFT TAUPE 16cm (575306)")</f>
        <v>8400940 - MACETA ROSALBA SOFT TAUPE 16cm (575306)</v>
      </c>
    </row>
    <row r="968">
      <c r="A968" s="176"/>
      <c r="D968" s="176" t="str">
        <f>IFERROR(__xludf.DUMMYFUNCTION("""COMPUTED_VALUE"""),"8400941 - MACETA LANVIA GRAU-BLAU 20,5cm (559244)")</f>
        <v>8400941 - MACETA LANVIA GRAU-BLAU 20,5cm (559244)</v>
      </c>
    </row>
    <row r="969">
      <c r="A969" s="176"/>
      <c r="D969" s="176" t="str">
        <f>IFERROR(__xludf.DUMMYFUNCTION("""COMPUTED_VALUE"""),"8400942 - MACETA MAILA GRAU/GOLD 16,5cm (559216)")</f>
        <v>8400942 - MACETA MAILA GRAU/GOLD 16,5cm (559216)</v>
      </c>
    </row>
    <row r="970">
      <c r="A970" s="176"/>
      <c r="D970" s="176" t="str">
        <f>IFERROR(__xludf.DUMMYFUNCTION("""COMPUTED_VALUE"""),"8400943 - MACETA ROSALBA MOCCA SPOTS 16cm (575320)")</f>
        <v>8400943 - MACETA ROSALBA MOCCA SPOTS 16cm (575320)</v>
      </c>
    </row>
    <row r="971">
      <c r="A971" s="176"/>
      <c r="D971" s="176" t="str">
        <f>IFERROR(__xludf.DUMMYFUNCTION("""COMPUTED_VALUE"""),"8400944 - MACETA ROSALBA MOCCA SPOTS 21cm (575321)")</f>
        <v>8400944 - MACETA ROSALBA MOCCA SPOTS 21cm (575321)</v>
      </c>
    </row>
    <row r="972">
      <c r="A972" s="176"/>
      <c r="D972" s="176" t="str">
        <f>IFERROR(__xludf.DUMMYFUNCTION("""COMPUTED_VALUE"""),"8400945 - MACETA ROSALBA SOFT TAUPE 21cm (575307)")</f>
        <v>8400945 - MACETA ROSALBA SOFT TAUPE 21cm (575307)</v>
      </c>
    </row>
    <row r="973">
      <c r="A973" s="176"/>
      <c r="D973" s="176" t="str">
        <f>IFERROR(__xludf.DUMMYFUNCTION("""COMPUTED_VALUE"""),"8400946 - MACETA ROSALBA SOFT TAUPE 20cm (575309)")</f>
        <v>8400946 - MACETA ROSALBA SOFT TAUPE 20cm (575309)</v>
      </c>
    </row>
    <row r="974">
      <c r="A974" s="176"/>
      <c r="D974" s="176" t="str">
        <f>IFERROR(__xludf.DUMMYFUNCTION("""COMPUTED_VALUE"""),"8400947 - ROSA BARISTA - flor ()")</f>
        <v>8400947 - ROSA BARISTA - flor ()</v>
      </c>
    </row>
    <row r="975">
      <c r="A975" s="176"/>
      <c r="D975" s="176" t="str">
        <f>IFERROR(__xludf.DUMMYFUNCTION("""COMPUTED_VALUE"""),"8400948 - ROSA FREE SPIRIT - rlor/5 ()")</f>
        <v>8400948 - ROSA FREE SPIRIT - rlor/5 ()</v>
      </c>
    </row>
    <row r="976">
      <c r="A976" s="176"/>
      <c r="D976" s="176" t="str">
        <f>IFERROR(__xludf.DUMMYFUNCTION("""COMPUTED_VALUE"""),"8400949 - WAX HYACINTH - bulbo de flor ()")</f>
        <v>8400949 - WAX HYACINTH - bulbo de flor ()</v>
      </c>
    </row>
    <row r="977">
      <c r="A977" s="176"/>
      <c r="D977" s="176" t="str">
        <f>IFERROR(__xludf.DUMMYFUNCTION("""COMPUTED_VALUE"""),"8400950 - ROSA MAYRA HOT PINK -  flor (GRS, 144667)")</f>
        <v>8400950 - ROSA MAYRA HOT PINK -  flor (GRS, 144667)</v>
      </c>
    </row>
    <row r="978">
      <c r="A978" s="176"/>
      <c r="D978" s="176" t="str">
        <f>IFERROR(__xludf.DUMMYFUNCTION("""COMPUTED_VALUE"""),"8400951 - ROSA VENTUROSO DIYA - rlor (125248)")</f>
        <v>8400951 - ROSA VENTUROSO DIYA - rlor (125248)</v>
      </c>
    </row>
    <row r="979">
      <c r="A979" s="176"/>
      <c r="D979" s="176" t="str">
        <f>IFERROR(__xludf.DUMMYFUNCTION("""COMPUTED_VALUE"""),"8400952 - ROSA RAMIFICADA BOMBASTIC JARDIN - flor (174975)")</f>
        <v>8400952 - ROSA RAMIFICADA BOMBASTIC JARDIN - flor (174975)</v>
      </c>
    </row>
    <row r="980">
      <c r="A980" s="176"/>
      <c r="D980" s="176" t="str">
        <f>IFERROR(__xludf.DUMMYFUNCTION("""COMPUTED_VALUE"""),"8400953 - RAMO PARA LA SUERTE ()")</f>
        <v>8400953 - RAMO PARA LA SUERTE ()</v>
      </c>
    </row>
    <row r="981">
      <c r="A981" s="176"/>
      <c r="D981" s="176" t="str">
        <f>IFERROR(__xludf.DUMMYFUNCTION("""COMPUTED_VALUE"""),"8400954 - FLORERO CON VANDA ()")</f>
        <v>8400954 - FLORERO CON VANDA ()</v>
      </c>
    </row>
    <row r="982">
      <c r="A982" s="176"/>
      <c r="D982" s="176" t="str">
        <f>IFERROR(__xludf.DUMMYFUNCTION("""COMPUTED_VALUE"""),"8400955 - VANDA ()")</f>
        <v>8400955 - VANDA ()</v>
      </c>
    </row>
    <row r="983">
      <c r="A983" s="176"/>
      <c r="D983" s="176" t="str">
        <f>IFERROR(__xludf.DUMMYFUNCTION("""COMPUTED_VALUE"""),"8400956 - CANDLE HOLDER SAKURA 10,5*8,5cm (50100)")</f>
        <v>8400956 - CANDLE HOLDER SAKURA 10,5*8,5cm (50100)</v>
      </c>
    </row>
    <row r="984">
      <c r="A984" s="176"/>
      <c r="D984" s="176" t="str">
        <f>IFERROR(__xludf.DUMMYFUNCTION("""COMPUTED_VALUE"""),"8400957 - CANDLE HOLDER SAKURA 12,5*13,5cm (50101)")</f>
        <v>8400957 - CANDLE HOLDER SAKURA 12,5*13,5cm (50101)</v>
      </c>
    </row>
    <row r="985">
      <c r="A985" s="176"/>
      <c r="D985" s="176" t="str">
        <f>IFERROR(__xludf.DUMMYFUNCTION("""COMPUTED_VALUE"""),"8400958 - CANDLE HOLDER SAKURA 15,5*18,5cm (50102)")</f>
        <v>8400958 - CANDLE HOLDER SAKURA 15,5*18,5cm (50102)</v>
      </c>
    </row>
    <row r="986">
      <c r="A986" s="176"/>
      <c r="D986" s="176" t="str">
        <f>IFERROR(__xludf.DUMMYFUNCTION("""COMPUTED_VALUE"""),"8400959 - CANDLE VOTIVE  LEAVES CLEAR 10*10cm (verde) (52151)")</f>
        <v>8400959 - CANDLE VOTIVE  LEAVES CLEAR 10*10cm (verde) (52151)</v>
      </c>
    </row>
    <row r="987">
      <c r="A987" s="176"/>
      <c r="D987" s="176" t="str">
        <f>IFERROR(__xludf.DUMMYFUNCTION("""COMPUTED_VALUE"""),"8400960 - CANDLE LEAVES CLEAR 20*20cm (verde) (52153)")</f>
        <v>8400960 - CANDLE LEAVES CLEAR 20*20cm (verde) (52153)</v>
      </c>
    </row>
    <row r="988">
      <c r="A988" s="176"/>
      <c r="D988" s="176" t="str">
        <f>IFERROR(__xludf.DUMMYFUNCTION("""COMPUTED_VALUE"""),"8400961 - CANDLE VOTIVE LEAVES CLEAR 10*10cm (amarillo) (52154)")</f>
        <v>8400961 - CANDLE VOTIVE LEAVES CLEAR 10*10cm (amarillo) (52154)</v>
      </c>
    </row>
    <row r="989">
      <c r="A989" s="176"/>
      <c r="D989" s="176" t="str">
        <f>IFERROR(__xludf.DUMMYFUNCTION("""COMPUTED_VALUE"""),"8400962 - CANDLE VOTIVE LEAVES CLEAR 20*20cm (amarillo) (52156)")</f>
        <v>8400962 - CANDLE VOTIVE LEAVES CLEAR 20*20cm (amarillo) (52156)</v>
      </c>
    </row>
    <row r="990">
      <c r="A990" s="176"/>
      <c r="D990" s="176" t="str">
        <f>IFERROR(__xludf.DUMMYFUNCTION("""COMPUTED_VALUE"""),"8400963 - CANDLE VOTIVE TREES CLEAR 15*25cm (verde) (52173)")</f>
        <v>8400963 - CANDLE VOTIVE TREES CLEAR 15*25cm (verde) (52173)</v>
      </c>
    </row>
    <row r="991">
      <c r="A991" s="176"/>
      <c r="D991" s="176" t="str">
        <f>IFERROR(__xludf.DUMMYFUNCTION("""COMPUTED_VALUE"""),"8400964 - CANDLE VOTIVE  TREES CLEAR 20*30cm (verde) (52174)")</f>
        <v>8400964 - CANDLE VOTIVE  TREES CLEAR 20*30cm (verde) (52174)</v>
      </c>
    </row>
    <row r="992">
      <c r="A992" s="176"/>
      <c r="D992" s="176" t="str">
        <f>IFERROR(__xludf.DUMMYFUNCTION("""COMPUTED_VALUE"""),"8400965 - CANDEL VOTOVE MOSAIC 13*20cm (rojo) (52509)")</f>
        <v>8400965 - CANDEL VOTOVE MOSAIC 13*20cm (rojo) (52509)</v>
      </c>
    </row>
    <row r="993">
      <c r="A993" s="176"/>
      <c r="D993" s="176" t="str">
        <f>IFERROR(__xludf.DUMMYFUNCTION("""COMPUTED_VALUE"""),"8400966 - CANDEL VOTOVE MOSAIC 16*25cm (rojo) (52510)")</f>
        <v>8400966 - CANDEL VOTOVE MOSAIC 16*25cm (rojo) (52510)</v>
      </c>
    </row>
    <row r="994">
      <c r="A994" s="176"/>
      <c r="D994" s="176" t="str">
        <f>IFERROR(__xludf.DUMMYFUNCTION("""COMPUTED_VALUE"""),"8400967 - JARRON FINYA 25*25*31cm (verde) (54275)")</f>
        <v>8400967 - JARRON FINYA 25*25*31cm (verde) (54275)</v>
      </c>
    </row>
    <row r="995">
      <c r="A995" s="176"/>
      <c r="D995" s="176" t="str">
        <f>IFERROR(__xludf.DUMMYFUNCTION("""COMPUTED_VALUE"""),"8400968 - CANDLE HOLDER ZEBRA (54725)")</f>
        <v>8400968 - CANDLE HOLDER ZEBRA (54725)</v>
      </c>
    </row>
    <row r="996">
      <c r="A996" s="176"/>
      <c r="D996" s="176" t="str">
        <f>IFERROR(__xludf.DUMMYFUNCTION("""COMPUTED_VALUE"""),"8400969 - CANDLE HOLDER TIGER (54728)")</f>
        <v>8400969 - CANDLE HOLDER TIGER (54728)</v>
      </c>
    </row>
    <row r="997">
      <c r="A997" s="176"/>
      <c r="D997" s="176" t="str">
        <f>IFERROR(__xludf.DUMMYFUNCTION("""COMPUTED_VALUE"""),"8400970 - JARRON 18,5*30,5cm (azul) (55776)")</f>
        <v>8400970 - JARRON 18,5*30,5cm (azul) (55776)</v>
      </c>
    </row>
    <row r="998">
      <c r="A998" s="176"/>
      <c r="D998" s="176" t="str">
        <f>IFERROR(__xludf.DUMMYFUNCTION("""COMPUTED_VALUE"""),"8400971 - CANDLE HOLDER PARROT (56665)")</f>
        <v>8400971 - CANDLE HOLDER PARROT (56665)</v>
      </c>
    </row>
    <row r="999">
      <c r="A999" s="176"/>
      <c r="D999" s="176" t="str">
        <f>IFERROR(__xludf.DUMMYFUNCTION("""COMPUTED_VALUE"""),"8400972 - CANDLE HOLDER LION (56677)")</f>
        <v>8400972 - CANDLE HOLDER LION (56677)</v>
      </c>
    </row>
    <row r="1000">
      <c r="A1000" s="176"/>
      <c r="D1000" s="176" t="str">
        <f>IFERROR(__xludf.DUMMYFUNCTION("""COMPUTED_VALUE"""),"8400973 - CANDLE HOLDER DEER (56680)")</f>
        <v>8400973 - CANDLE HOLDER DEER (56680)</v>
      </c>
    </row>
    <row r="1001">
      <c r="A1001" s="176"/>
      <c r="D1001" s="176" t="str">
        <f>IFERROR(__xludf.DUMMYFUNCTION("""COMPUTED_VALUE"""),"8400974 - ARALIA JAPONICA 65cmT17 (106640)")</f>
        <v>8400974 - ARALIA JAPONICA 65cmT17 (106640)</v>
      </c>
    </row>
    <row r="1002">
      <c r="A1002" s="176"/>
      <c r="D1002" s="176" t="str">
        <f>IFERROR(__xludf.DUMMYFUNCTION("""COMPUTED_VALUE"""),"8400975 - PHILODENDRO OVERIG 65cmT17 (157052)")</f>
        <v>8400975 - PHILODENDRO OVERIG 65cmT17 (157052)</v>
      </c>
    </row>
    <row r="1003">
      <c r="A1003" s="176"/>
      <c r="D1003" s="176" t="str">
        <f>IFERROR(__xludf.DUMMYFUNCTION("""COMPUTED_VALUE"""),"8400976 - ORQUÍDEA ONCIDIUM -planta/26 (pequeña) ()")</f>
        <v>8400976 - ORQUÍDEA ONCIDIUM -planta/26 (pequeña) ()</v>
      </c>
    </row>
    <row r="1004">
      <c r="A1004" s="176"/>
      <c r="D1004" s="176" t="str">
        <f>IFERROR(__xludf.DUMMYFUNCTION("""COMPUTED_VALUE"""),"8400977 - ORQUÍDEA LUDISIA - planta/17 (pequeña) ()")</f>
        <v>8400977 - ORQUÍDEA LUDISIA - planta/17 (pequeña) ()</v>
      </c>
    </row>
    <row r="1005">
      <c r="A1005" s="176"/>
      <c r="D1005" s="176" t="str">
        <f>IFERROR(__xludf.DUMMYFUNCTION("""COMPUTED_VALUE"""),"8400978 - PAPHIOPEDILUM AMERICAN - planta/84 ()")</f>
        <v>8400978 - PAPHIOPEDILUM AMERICAN - planta/84 ()</v>
      </c>
    </row>
    <row r="1006">
      <c r="A1006" s="176"/>
      <c r="D1006" s="176" t="str">
        <f>IFERROR(__xludf.DUMMYFUNCTION("""COMPUTED_VALUE"""),"8400979 - ROSA MY PINK COLOMBIA - flor ()")</f>
        <v>8400979 - ROSA MY PINK COLOMBIA - flor ()</v>
      </c>
    </row>
    <row r="1007">
      <c r="A1007" s="176"/>
      <c r="D1007" s="176" t="str">
        <f>IFERROR(__xludf.DUMMYFUNCTION("""COMPUTED_VALUE"""),"8400980 - ROSA SPRAY KEIJSERS - flor ()")</f>
        <v>8400980 - ROSA SPRAY KEIJSERS - flor ()</v>
      </c>
    </row>
    <row r="1008">
      <c r="A1008" s="176"/>
      <c r="D1008" s="176" t="str">
        <f>IFERROR(__xludf.DUMMYFUNCTION("""COMPUTED_VALUE"""),"8400981 - MOLUCCELLA - rama ()")</f>
        <v>8400981 - MOLUCCELLA - rama ()</v>
      </c>
    </row>
    <row r="1009">
      <c r="A1009" s="176"/>
      <c r="D1009" s="176" t="str">
        <f>IFERROR(__xludf.DUMMYFUNCTION("""COMPUTED_VALUE"""),"8400982 - HIPPEASTRUS - flor (amaryllis) (149531)")</f>
        <v>8400982 - HIPPEASTRUS - flor (amaryllis) (149531)</v>
      </c>
    </row>
    <row r="1010">
      <c r="A1010" s="176"/>
      <c r="D1010" s="176" t="str">
        <f>IFERROR(__xludf.DUMMYFUNCTION("""COMPUTED_VALUE"""),"8400983 - NERINE SA LYDIA - flor (33555)")</f>
        <v>8400983 - NERINE SA LYDIA - flor (33555)</v>
      </c>
    </row>
    <row r="1011">
      <c r="A1011" s="176"/>
      <c r="D1011" s="176" t="str">
        <f>IFERROR(__xludf.DUMMYFUNCTION("""COMPUTED_VALUE"""),"8400984 - ESPONJA CORAZÓN (25884)")</f>
        <v>8400984 - ESPONJA CORAZÓN (25884)</v>
      </c>
    </row>
    <row r="1012">
      <c r="A1012" s="176"/>
      <c r="D1012" s="176" t="str">
        <f>IFERROR(__xludf.DUMMYFUNCTION("""COMPUTED_VALUE"""),"8400985 - BANKSIA DRYANDRA - flor (55392)")</f>
        <v>8400985 - BANKSIA DRYANDRA - flor (55392)</v>
      </c>
    </row>
    <row r="1013">
      <c r="A1013" s="176"/>
      <c r="D1013" s="176" t="str">
        <f>IFERROR(__xludf.DUMMYFUNCTION("""COMPUTED_VALUE"""),"8400986 - CORDELYNE BLACK TIE - hoja (163)")</f>
        <v>8400986 - CORDELYNE BLACK TIE - hoja (163)</v>
      </c>
    </row>
    <row r="1014">
      <c r="A1014" s="176"/>
      <c r="D1014" s="176" t="str">
        <f>IFERROR(__xludf.DUMMYFUNCTION("""COMPUTED_VALUE"""),"8400987 - ROSA DANTE - flor (113627)")</f>
        <v>8400987 - ROSA DANTE - flor (113627)</v>
      </c>
    </row>
    <row r="1015">
      <c r="A1015" s="176"/>
      <c r="D1015" s="176" t="str">
        <f>IFERROR(__xludf.DUMMYFUNCTION("""COMPUTED_VALUE"""),"8400988 - BOLSA NATURE (102770)")</f>
        <v>8400988 - BOLSA NATURE (102770)</v>
      </c>
    </row>
    <row r="1016">
      <c r="A1016" s="176"/>
      <c r="D1016" s="176" t="str">
        <f>IFERROR(__xludf.DUMMYFUNCTION("""COMPUTED_VALUE"""),"8400989 - DRACAENA (con maceta de ceramica) - planta/ (165734)")</f>
        <v>8400989 - DRACAENA (con maceta de ceramica) - planta/ (165734)</v>
      </c>
    </row>
    <row r="1017">
      <c r="A1017" s="176"/>
      <c r="D1017" s="176" t="str">
        <f>IFERROR(__xludf.DUMMYFUNCTION("""COMPUTED_VALUE"""),"8400990 - ROSA  PRETTY PILLOW AYANA - flor (165487)")</f>
        <v>8400990 - ROSA  PRETTY PILLOW AYANA - flor (165487)</v>
      </c>
    </row>
    <row r="1018">
      <c r="A1018" s="176"/>
      <c r="D1018" s="176" t="str">
        <f>IFERROR(__xludf.DUMMYFUNCTION("""COMPUTED_VALUE"""),"8400991 - SANSIVIERIA (com maceta de ceramica) - planta/22 (165820)")</f>
        <v>8400991 - SANSIVIERIA (com maceta de ceramica) - planta/22 (165820)</v>
      </c>
    </row>
    <row r="1019">
      <c r="A1019" s="176"/>
      <c r="D1019" s="176" t="str">
        <f>IFERROR(__xludf.DUMMYFUNCTION("""COMPUTED_VALUE"""),"8400992 - ROSA MELON X-PRESSION - flor (190660)")</f>
        <v>8400992 - ROSA MELON X-PRESSION - flor (190660)</v>
      </c>
    </row>
    <row r="1020">
      <c r="A1020" s="176"/>
      <c r="D1020" s="176" t="str">
        <f>IFERROR(__xludf.DUMMYFUNCTION("""COMPUTED_VALUE"""),"8400993 - PLANTAMIX (con maceta de ceramica) - planta/22 (171269)")</f>
        <v>8400993 - PLANTAMIX (con maceta de ceramica) - planta/22 (171269)</v>
      </c>
    </row>
    <row r="1021">
      <c r="A1021" s="176"/>
      <c r="D1021" s="176" t="str">
        <f>IFERROR(__xludf.DUMMYFUNCTION("""COMPUTED_VALUE"""),"8400994 - PLANTAMIX (sin maceta) - planta/14 (161900)")</f>
        <v>8400994 - PLANTAMIX (sin maceta) - planta/14 (161900)</v>
      </c>
    </row>
    <row r="1022">
      <c r="A1022" s="176"/>
      <c r="D1022" s="176" t="str">
        <f>IFERROR(__xludf.DUMMYFUNCTION("""COMPUTED_VALUE"""),"8400995 - POLYSCIAS FABIAN T13 - planta/29 (168704)")</f>
        <v>8400995 - POLYSCIAS FABIAN T13 - planta/29 (168704)</v>
      </c>
    </row>
    <row r="1023">
      <c r="A1023" s="176"/>
      <c r="D1023" s="176" t="str">
        <f>IFERROR(__xludf.DUMMYFUNCTION("""COMPUTED_VALUE"""),"8400996 - HORTENSIA 8cm - flor muy pequeño/3 (13022)")</f>
        <v>8400996 - HORTENSIA 8cm - flor muy pequeño/3 (13022)</v>
      </c>
    </row>
    <row r="1024">
      <c r="A1024" s="176"/>
      <c r="D1024" s="176" t="str">
        <f>IFERROR(__xludf.DUMMYFUNCTION("""COMPUTED_VALUE"""),"8400997 - DRACENA SAND LUCKY BAMBOO - plants/38 ()")</f>
        <v>8400997 - DRACENA SAND LUCKY BAMBOO - plants/38 ()</v>
      </c>
    </row>
    <row r="1025">
      <c r="A1025" s="176"/>
      <c r="D1025" s="176" t="str">
        <f>IFERROR(__xludf.DUMMYFUNCTION("""COMPUTED_VALUE"""),"8400998 - FICUS BENG AUDREY - planta/154 ()")</f>
        <v>8400998 - FICUS BENG AUDREY - planta/154 ()</v>
      </c>
    </row>
    <row r="1026">
      <c r="A1026" s="176"/>
      <c r="D1026" s="176" t="str">
        <f>IFERROR(__xludf.DUMMYFUNCTION("""COMPUTED_VALUE"""),"8400999 - SCINDAPSUS EN COCOS - planta/28 ()")</f>
        <v>8400999 - SCINDAPSUS EN COCOS - planta/28 ()</v>
      </c>
    </row>
    <row r="1027">
      <c r="A1027" s="176"/>
      <c r="D1027" s="176" t="str">
        <f>IFERROR(__xludf.DUMMYFUNCTION("""COMPUTED_VALUE"""),"84001000 - RADERMACHERA SINICA - árbol/ 218 ()")</f>
        <v>84001000 - RADERMACHERA SINICA - árbol/ 218 ()</v>
      </c>
    </row>
    <row r="1028">
      <c r="A1028" s="176"/>
      <c r="D1028" s="176" t="str">
        <f>IFERROR(__xludf.DUMMYFUNCTION("""COMPUTED_VALUE"""),"84001001 - EUPHORBIA TIRUCALLI - planta/24 ()")</f>
        <v>84001001 - EUPHORBIA TIRUCALLI - planta/24 ()</v>
      </c>
    </row>
    <row r="1029">
      <c r="A1029" s="176"/>
      <c r="D1029" s="176" t="str">
        <f>IFERROR(__xludf.DUMMYFUNCTION("""COMPUTED_VALUE"""),"84001002 - EUPHORBIA LACTEA CRISTATA - planta/24 ()")</f>
        <v>84001002 - EUPHORBIA LACTEA CRISTATA - planta/24 ()</v>
      </c>
    </row>
    <row r="1030">
      <c r="A1030" s="176"/>
      <c r="D1030" s="176" t="str">
        <f>IFERROR(__xludf.DUMMYFUNCTION("""COMPUTED_VALUE"""),"84001003 - KALANCHOE OTHER - planta/23 ()")</f>
        <v>84001003 - KALANCHOE OTHER - planta/23 ()</v>
      </c>
    </row>
    <row r="1031">
      <c r="A1031" s="176"/>
      <c r="D1031" s="176" t="str">
        <f>IFERROR(__xludf.DUMMYFUNCTION("""COMPUTED_VALUE"""),"84001004 - GYMNOCALYCIUM MIHA BRASIL MIX / planta/14 ()")</f>
        <v>84001004 - GYMNOCALYCIUM MIHA BRASIL MIX / planta/14 ()</v>
      </c>
    </row>
    <row r="1032">
      <c r="A1032" s="176"/>
      <c r="D1032" s="176" t="str">
        <f>IFERROR(__xludf.DUMMYFUNCTION("""COMPUTED_VALUE"""),"84001005 - RHIPSALIS MIX - planta/18 ()")</f>
        <v>84001005 - RHIPSALIS MIX - planta/18 ()</v>
      </c>
    </row>
    <row r="1033">
      <c r="A1033" s="176"/>
      <c r="D1033" s="176" t="str">
        <f>IFERROR(__xludf.DUMMYFUNCTION("""COMPUTED_VALUE"""),"84001006 - CROTON - planta/22 ()")</f>
        <v>84001006 - CROTON - planta/22 ()</v>
      </c>
    </row>
    <row r="1034">
      <c r="A1034" s="176"/>
      <c r="D1034" s="176" t="str">
        <f>IFERROR(__xludf.DUMMYFUNCTION("""COMPUTED_VALUE"""),"84001007 - ROSA AROMIC -flor (186342)")</f>
        <v>84001007 - ROSA AROMIC -flor (186342)</v>
      </c>
    </row>
    <row r="1035">
      <c r="A1035" s="176"/>
      <c r="D1035" s="176" t="str">
        <f>IFERROR(__xludf.DUMMYFUNCTION("""COMPUTED_VALUE"""),"84001008 - ROSA WHITE SHIMMER - flor (186714)")</f>
        <v>84001008 - ROSA WHITE SHIMMER - flor (186714)</v>
      </c>
    </row>
    <row r="1036">
      <c r="A1036" s="176"/>
      <c r="D1036" s="176" t="str">
        <f>IFERROR(__xludf.DUMMYFUNCTION("""COMPUTED_VALUE"""),"84001009 - CITRUS OVERIG - planta/114 (172011)")</f>
        <v>84001009 - CITRUS OVERIG - planta/114 (172011)</v>
      </c>
    </row>
    <row r="1037">
      <c r="A1037" s="176"/>
      <c r="D1037" s="176" t="str">
        <f>IFERROR(__xludf.DUMMYFUNCTION("""COMPUTED_VALUE"""),"84001010 - ALLIUM NEAPOLITANUM - flor (143992)")</f>
        <v>84001010 - ALLIUM NEAPOLITANUM - flor (143992)</v>
      </c>
    </row>
    <row r="1038">
      <c r="A1038" s="176"/>
      <c r="D1038" s="176" t="str">
        <f>IFERROR(__xludf.DUMMYFUNCTION("""COMPUTED_VALUE"""),"84001011 - HELECHO (PLATYCERIUM) - planta/ (53692)")</f>
        <v>84001011 - HELECHO (PLATYCERIUM) - planta/ (53692)</v>
      </c>
    </row>
    <row r="1039">
      <c r="A1039" s="176"/>
      <c r="D1039" s="176" t="str">
        <f>IFERROR(__xludf.DUMMYFUNCTION("""COMPUTED_VALUE"""),"84001012 - SEDUM BURRITO COLGANTE - planta/ (62614)")</f>
        <v>84001012 - SEDUM BURRITO COLGANTE - planta/ (62614)</v>
      </c>
    </row>
    <row r="1040">
      <c r="A1040" s="176"/>
      <c r="D1040" s="176" t="str">
        <f>IFERROR(__xludf.DUMMYFUNCTION("""COMPUTED_VALUE"""),"84001013 - ASPIDISTRA ROSA - hoja (51638)")</f>
        <v>84001013 - ASPIDISTRA ROSA - hoja (51638)</v>
      </c>
    </row>
    <row r="1041">
      <c r="A1041" s="176"/>
      <c r="D1041" s="176" t="str">
        <f>IFERROR(__xludf.DUMMYFUNCTION("""COMPUTED_VALUE"""),"84001014 - ASTILBE MIX - flor (13627, 43718, 101025)")</f>
        <v>84001014 - ASTILBE MIX - flor (13627, 43718, 101025)</v>
      </c>
    </row>
    <row r="1042">
      <c r="A1042" s="176"/>
      <c r="D1042" s="176" t="str">
        <f>IFERROR(__xludf.DUMMYFUNCTION("""COMPUTED_VALUE"""),"84001015 - DRACENA WHITE - hoja (17689)")</f>
        <v>84001015 - DRACENA WHITE - hoja (17689)</v>
      </c>
    </row>
    <row r="1043">
      <c r="A1043" s="176"/>
      <c r="D1043" s="176" t="str">
        <f>IFERROR(__xludf.DUMMYFUNCTION("""COMPUTED_VALUE"""),"84001016 - BOLSA ELEGANT (120258)")</f>
        <v>84001016 - BOLSA ELEGANT (120258)</v>
      </c>
    </row>
    <row r="1044">
      <c r="A1044" s="176"/>
      <c r="D1044" s="176" t="str">
        <f>IFERROR(__xludf.DUMMYFUNCTION("""COMPUTED_VALUE"""),"84001017 - JARRÓN DIÁBOLO (82335)")</f>
        <v>84001017 - JARRÓN DIÁBOLO (82335)</v>
      </c>
    </row>
    <row r="1045">
      <c r="A1045" s="176"/>
      <c r="D1045" s="176" t="str">
        <f>IFERROR(__xludf.DUMMYFUNCTION("""COMPUTED_VALUE"""),"84001018 - ANTHURIUM CLARINERVIUM - flor/4 (149677)")</f>
        <v>84001018 - ANTHURIUM CLARINERVIUM - flor/4 (149677)</v>
      </c>
    </row>
    <row r="1046">
      <c r="A1046" s="176"/>
      <c r="D1046" s="176" t="str">
        <f>IFERROR(__xludf.DUMMYFUNCTION("""COMPUTED_VALUE"""),"84001019 - PHALAENOPSIS - planta/67 ()")</f>
        <v>84001019 - PHALAENOPSIS - planta/67 ()</v>
      </c>
    </row>
    <row r="1047">
      <c r="A1047" s="176"/>
      <c r="D1047" s="176" t="str">
        <f>IFERROR(__xludf.DUMMYFUNCTION("""COMPUTED_VALUE"""),"84001020 - ROSA LARGE HELENE - flor ()")</f>
        <v>84001020 - ROSA LARGE HELENE - flor ()</v>
      </c>
    </row>
    <row r="1048">
      <c r="A1048" s="176"/>
      <c r="D1048" s="176" t="str">
        <f>IFERROR(__xludf.DUMMYFUNCTION("""COMPUTED_VALUE"""),"84001022 - TAMARINDUS INDICA - planta 12 ()")</f>
        <v>84001022 - TAMARINDUS INDICA - planta 12 ()</v>
      </c>
    </row>
    <row r="1049">
      <c r="A1049" s="176"/>
      <c r="D1049" s="176" t="str">
        <f>IFERROR(__xludf.DUMMYFUNCTION("""COMPUTED_VALUE"""),"84001023 - PANICUM PLATEADO ()")</f>
        <v>84001023 - PANICUM PLATEADO ()</v>
      </c>
    </row>
    <row r="1050">
      <c r="A1050" s="176"/>
      <c r="D1050" s="176" t="str">
        <f>IFERROR(__xludf.DUMMYFUNCTION("""COMPUTED_VALUE"""),"84001024 - ANTHURIUM - planta/14 ()")</f>
        <v>84001024 - ANTHURIUM - planta/14 ()</v>
      </c>
    </row>
    <row r="1051">
      <c r="A1051" s="176"/>
      <c r="D1051" s="176" t="str">
        <f>IFERROR(__xludf.DUMMYFUNCTION("""COMPUTED_VALUE"""),"84001025 - ASPARAGUS PRESARVADO - hoja ()")</f>
        <v>84001025 - ASPARAGUS PRESARVADO - hoja ()</v>
      </c>
    </row>
    <row r="1052">
      <c r="A1052" s="176"/>
      <c r="D1052" s="176" t="str">
        <f>IFERROR(__xludf.DUMMYFUNCTION("""COMPUTED_VALUE"""),"84001026 - HELECHO PRESERVADO - hoja ()")</f>
        <v>84001026 - HELECHO PRESERVADO - hoja ()</v>
      </c>
    </row>
    <row r="1053">
      <c r="A1053" s="176"/>
      <c r="D1053" s="176" t="str">
        <f>IFERROR(__xludf.DUMMYFUNCTION("""COMPUTED_VALUE"""),"84001027 - GLIXIA SECO - flor seco ()")</f>
        <v>84001027 - GLIXIA SECO - flor seco ()</v>
      </c>
    </row>
    <row r="1054">
      <c r="A1054" s="176"/>
      <c r="D1054" s="176" t="str">
        <f>IFERROR(__xludf.DUMMYFUNCTION("""COMPUTED_VALUE"""),"84001028 - AMARANTHS PRESERVED - hoja ()")</f>
        <v>84001028 - AMARANTHS PRESERVED - hoja ()</v>
      </c>
    </row>
    <row r="1055">
      <c r="A1055" s="176"/>
      <c r="D1055" s="176" t="str">
        <f>IFERROR(__xludf.DUMMYFUNCTION("""COMPUTED_VALUE"""),"84001029 - DRACAENA LEMON ()")</f>
        <v>84001029 - DRACAENA LEMON ()</v>
      </c>
    </row>
    <row r="1056">
      <c r="A1056" s="176"/>
      <c r="D1056" s="176" t="str">
        <f>IFERROR(__xludf.DUMMYFUNCTION("""COMPUTED_VALUE"""),"84001030 - PHILODENDRON OTHER - planta/12 ()")</f>
        <v>84001030 - PHILODENDRON OTHER - planta/12 ()</v>
      </c>
    </row>
    <row r="1057">
      <c r="A1057" s="176"/>
      <c r="D1057" s="176" t="str">
        <f>IFERROR(__xludf.DUMMYFUNCTION("""COMPUTED_VALUE"""),"84001031 - TULIPAN TRESOR - flor/3 (196008, 33691, 21732, 32023)")</f>
        <v>84001031 - TULIPAN TRESOR - flor/3 (196008, 33691, 21732, 32023)</v>
      </c>
    </row>
    <row r="1058">
      <c r="A1058" s="176"/>
      <c r="D1058" s="176" t="str">
        <f>IFERROR(__xludf.DUMMYFUNCTION("""COMPUTED_VALUE"""),"84001032 - STROMANTHE SANGUINEA TRIOSTAR - planta/24 ()")</f>
        <v>84001032 - STROMANTHE SANGUINEA TRIOSTAR - planta/24 ()</v>
      </c>
    </row>
    <row r="1059">
      <c r="A1059" s="176"/>
      <c r="D1059" s="176" t="str">
        <f>IFERROR(__xludf.DUMMYFUNCTION("""COMPUTED_VALUE"""),"84001033 - MOKARA - rama ()")</f>
        <v>84001033 - MOKARA - rama ()</v>
      </c>
    </row>
    <row r="1060">
      <c r="A1060" s="176"/>
      <c r="D1060" s="176" t="str">
        <f>IFERROR(__xludf.DUMMYFUNCTION("""COMPUTED_VALUE"""),"84001034 - ROSA MILAGRO GRS - flor ()")</f>
        <v>84001034 - ROSA MILAGRO GRS - flor ()</v>
      </c>
    </row>
    <row r="1061">
      <c r="A1061" s="176"/>
      <c r="D1061" s="176" t="str">
        <f>IFERROR(__xludf.DUMMYFUNCTION("""COMPUTED_VALUE"""),"84001035 - COPA FEET (137969)")</f>
        <v>84001035 - COPA FEET (137969)</v>
      </c>
    </row>
    <row r="1062">
      <c r="A1062" s="176"/>
      <c r="D1062" s="176" t="str">
        <f>IFERROR(__xludf.DUMMYFUNCTION("""COMPUTED_VALUE"""),"84001036 - ROSA A2 - flor ( rosa con descuento) (84883, 179475, 179474)")</f>
        <v>84001036 - ROSA A2 - flor ( rosa con descuento) (84883, 179475, 179474)</v>
      </c>
    </row>
    <row r="1063">
      <c r="A1063" s="176"/>
      <c r="D1063" s="176" t="str">
        <f>IFERROR(__xludf.DUMMYFUNCTION("""COMPUTED_VALUE"""),"84001037 - ROSA POMPEI - flor (162444)")</f>
        <v>84001037 - ROSA POMPEI - flor (162444)</v>
      </c>
    </row>
    <row r="1064">
      <c r="A1064" s="176"/>
      <c r="D1064" s="176" t="str">
        <f>IFERROR(__xludf.DUMMYFUNCTION("""COMPUTED_VALUE"""),"84001038 - NARCIS MASCOTA - planta  /17 ()")</f>
        <v>84001038 - NARCIS MASCOTA - planta  /17 ()</v>
      </c>
    </row>
    <row r="1065">
      <c r="A1065" s="176"/>
      <c r="D1065" s="176" t="str">
        <f>IFERROR(__xludf.DUMMYFUNCTION("""COMPUTED_VALUE"""),"84001039 - ROSA GOLDEN LADY - flor ()")</f>
        <v>84001039 - ROSA GOLDEN LADY - flor ()</v>
      </c>
    </row>
    <row r="1066">
      <c r="A1066" s="176"/>
      <c r="D1066" s="176" t="str">
        <f>IFERROR(__xludf.DUMMYFUNCTION("""COMPUTED_VALUE"""),"84001040 - ROSA FIRELIGHT - flor ()")</f>
        <v>84001040 - ROSA FIRELIGHT - flor ()</v>
      </c>
    </row>
    <row r="1067">
      <c r="A1067" s="176"/>
      <c r="D1067" s="176" t="str">
        <f>IFERROR(__xludf.DUMMYFUNCTION("""COMPUTED_VALUE"""),"84001041 - ROSA SAND DUNE - flor ()")</f>
        <v>84001041 - ROSA SAND DUNE - flor ()</v>
      </c>
    </row>
    <row r="1068">
      <c r="A1068" s="176"/>
      <c r="D1068" s="176" t="str">
        <f>IFERROR(__xludf.DUMMYFUNCTION("""COMPUTED_VALUE"""),"84001042 - ROSA MAYRAS ROSE - flor ()")</f>
        <v>84001042 - ROSA MAYRAS ROSE - flor ()</v>
      </c>
    </row>
    <row r="1069">
      <c r="A1069" s="176"/>
      <c r="D1069" s="176" t="str">
        <f>IFERROR(__xludf.DUMMYFUNCTION("""COMPUTED_VALUE"""),"84001043 - ROSA PETROVA - flor ()")</f>
        <v>84001043 - ROSA PETROVA - flor ()</v>
      </c>
    </row>
    <row r="1070">
      <c r="A1070" s="176"/>
      <c r="D1070" s="176" t="str">
        <f>IFERROR(__xludf.DUMMYFUNCTION("""COMPUTED_VALUE"""),"84001044 - ROSA CELEBRATING HEATHER - flor ()")</f>
        <v>84001044 - ROSA CELEBRATING HEATHER - flor ()</v>
      </c>
    </row>
    <row r="1071">
      <c r="A1071" s="176"/>
      <c r="D1071" s="176" t="str">
        <f>IFERROR(__xludf.DUMMYFUNCTION("""COMPUTED_VALUE"""),"84001045 - ROSA PINK EXPRESSION - flor ()")</f>
        <v>84001045 - ROSA PINK EXPRESSION - flor ()</v>
      </c>
    </row>
    <row r="1072">
      <c r="A1072" s="176"/>
      <c r="D1072" s="176" t="str">
        <f>IFERROR(__xludf.DUMMYFUNCTION("""COMPUTED_VALUE"""),"84001046 - ROSA MAI TAI - flor ()")</f>
        <v>84001046 - ROSA MAI TAI - flor ()</v>
      </c>
    </row>
    <row r="1073">
      <c r="A1073" s="176"/>
      <c r="D1073" s="176" t="str">
        <f>IFERROR(__xludf.DUMMYFUNCTION("""COMPUTED_VALUE"""),"84001047 - RISA GRAVITY - flor ()")</f>
        <v>84001047 - RISA GRAVITY - flor ()</v>
      </c>
    </row>
    <row r="1074">
      <c r="A1074" s="176"/>
      <c r="D1074" s="176" t="str">
        <f>IFERROR(__xludf.DUMMYFUNCTION("""COMPUTED_VALUE"""),"84001048 - GREVILLEA SPIDERMAN - rama ()")</f>
        <v>84001048 - GREVILLEA SPIDERMAN - rama ()</v>
      </c>
    </row>
    <row r="1075">
      <c r="A1075" s="176"/>
      <c r="D1075" s="176" t="str">
        <f>IFERROR(__xludf.DUMMYFUNCTION("""COMPUTED_VALUE"""),"84001049 - CORYLLUS CONTORTA -  ramo seco (73200)")</f>
        <v>84001049 - CORYLLUS CONTORTA -  ramo seco (73200)</v>
      </c>
    </row>
    <row r="1076">
      <c r="A1076" s="176"/>
      <c r="D1076" s="176" t="str">
        <f>IFERROR(__xludf.DUMMYFUNCTION("""COMPUTED_VALUE"""),"84001050 - PRIMULA - planta (192871)")</f>
        <v>84001050 - PRIMULA - planta (192871)</v>
      </c>
    </row>
    <row r="1077">
      <c r="A1077" s="176"/>
      <c r="D1077" s="176" t="str">
        <f>IFERROR(__xludf.DUMMYFUNCTION("""COMPUTED_VALUE"""),"84001051 - PRUNUS - rama larga (191973)")</f>
        <v>84001051 - PRUNUS - rama larga (191973)</v>
      </c>
    </row>
    <row r="1078">
      <c r="A1078" s="176"/>
      <c r="D1078" s="176" t="str">
        <f>IFERROR(__xludf.DUMMYFUNCTION("""COMPUTED_VALUE"""),"84001052 - ROSA AQUA - flor ()")</f>
        <v>84001052 - ROSA AQUA - flor ()</v>
      </c>
    </row>
    <row r="1079">
      <c r="A1079" s="176"/>
      <c r="D1079" s="176" t="str">
        <f>IFERROR(__xludf.DUMMYFUNCTION("""COMPUTED_VALUE"""),"84001053 - ROSA SACRED - flor ()")</f>
        <v>84001053 - ROSA SACRED - flor ()</v>
      </c>
    </row>
    <row r="1080">
      <c r="A1080" s="176"/>
      <c r="D1080" s="176" t="str">
        <f>IFERROR(__xludf.DUMMYFUNCTION("""COMPUTED_VALUE"""),"84001054 - ROSA VERONA - flor ()")</f>
        <v>84001054 - ROSA VERONA - flor ()</v>
      </c>
    </row>
    <row r="1081">
      <c r="A1081" s="176"/>
      <c r="D1081" s="176" t="str">
        <f>IFERROR(__xludf.DUMMYFUNCTION("""COMPUTED_VALUE"""),"84001055 - SERRURIA - flor ()")</f>
        <v>84001055 - SERRURIA - flor ()</v>
      </c>
    </row>
    <row r="1082">
      <c r="A1082" s="176"/>
      <c r="D1082" s="176" t="str">
        <f>IFERROR(__xludf.DUMMYFUNCTION("""COMPUTED_VALUE"""),"84001056 - ROSA SWEET UNIQUE - flor (177182)")</f>
        <v>84001056 - ROSA SWEET UNIQUE - flor (177182)</v>
      </c>
    </row>
    <row r="1083">
      <c r="A1083" s="176"/>
      <c r="D1083" s="176" t="str">
        <f>IFERROR(__xludf.DUMMYFUNCTION("""COMPUTED_VALUE"""),"84001057 - ROSA RAMIFICADA SHOW FLOW - flor (174440)")</f>
        <v>84001057 - ROSA RAMIFICADA SHOW FLOW - flor (174440)</v>
      </c>
    </row>
    <row r="1084">
      <c r="A1084" s="176"/>
      <c r="D1084" s="176" t="str">
        <f>IFERROR(__xludf.DUMMYFUNCTION("""COMPUTED_VALUE"""),"84001058 - TULIPÁN - SANT VALENTÍN /3 ()")</f>
        <v>84001058 - TULIPÁN - SANT VALENTÍN /3 ()</v>
      </c>
    </row>
    <row r="1085">
      <c r="A1085" s="176"/>
      <c r="D1085" s="176" t="str">
        <f>IFERROR(__xludf.DUMMYFUNCTION("""COMPUTED_VALUE"""),"84001059 - CYMBIDIUM - planta/42 (192766)")</f>
        <v>84001059 - CYMBIDIUM - planta/42 (192766)</v>
      </c>
    </row>
    <row r="1086">
      <c r="A1086" s="176"/>
      <c r="D1086" s="176" t="str">
        <f>IFERROR(__xludf.DUMMYFUNCTION("""COMPUTED_VALUE"""),"84001060 - ANANAS - planta T12/25 (192630)")</f>
        <v>84001060 - ANANAS - planta T12/25 (192630)</v>
      </c>
    </row>
    <row r="1087">
      <c r="A1087" s="176"/>
      <c r="D1087" s="176" t="str">
        <f>IFERROR(__xludf.DUMMYFUNCTION("""COMPUTED_VALUE"""),"84001061 - CYMBIDIUM - planta/50 (176274)")</f>
        <v>84001061 - CYMBIDIUM - planta/50 (176274)</v>
      </c>
    </row>
    <row r="1088">
      <c r="A1088" s="176"/>
      <c r="D1088" s="176" t="str">
        <f>IFERROR(__xludf.DUMMYFUNCTION("""COMPUTED_VALUE"""),"84001062 - ROSA RAMIFICADA - ginger milagro (132909)")</f>
        <v>84001062 - ROSA RAMIFICADA - ginger milagro (132909)</v>
      </c>
    </row>
    <row r="1089">
      <c r="A1089" s="176"/>
      <c r="D1089" s="176" t="str">
        <f>IFERROR(__xludf.DUMMYFUNCTION("""COMPUTED_VALUE"""),"84001063 - ROSA RAMIFICADA - mambo minar, Orange (138288)")</f>
        <v>84001063 - ROSA RAMIFICADA - mambo minar, Orange (138288)</v>
      </c>
    </row>
    <row r="1090">
      <c r="A1090" s="176"/>
      <c r="D1090" s="176" t="str">
        <f>IFERROR(__xludf.DUMMYFUNCTION("""COMPUTED_VALUE"""),"84001064 - ROSA RAMIFICADA - wedding (124496)")</f>
        <v>84001064 - ROSA RAMIFICADA - wedding (124496)</v>
      </c>
    </row>
    <row r="1091">
      <c r="A1091" s="176"/>
      <c r="D1091" s="176" t="str">
        <f>IFERROR(__xludf.DUMMYFUNCTION("""COMPUTED_VALUE"""),"84001065 - ROSA RAMIFICADA- Silva pink (177708)")</f>
        <v>84001065 - ROSA RAMIFICADA- Silva pink (177708)</v>
      </c>
    </row>
    <row r="1092">
      <c r="A1092" s="176"/>
      <c r="D1092" s="176" t="str">
        <f>IFERROR(__xludf.DUMMYFUNCTION("""COMPUTED_VALUE"""),"84001066 - ROSA RAMIFICADA- azore (60735)")</f>
        <v>84001066 - ROSA RAMIFICADA- azore (60735)</v>
      </c>
    </row>
    <row r="1093">
      <c r="A1093" s="176"/>
      <c r="D1093" s="176" t="str">
        <f>IFERROR(__xludf.DUMMYFUNCTION("""COMPUTED_VALUE"""),"84001067 - ROSA RAMIFICADA- gen star (160935)")</f>
        <v>84001067 - ROSA RAMIFICADA- gen star (160935)</v>
      </c>
    </row>
    <row r="1094">
      <c r="A1094" s="176"/>
      <c r="D1094" s="176" t="str">
        <f>IFERROR(__xludf.DUMMYFUNCTION("""COMPUTED_VALUE"""),"84001068 - ROSA RAMIFICADA- ve loving (130199)")</f>
        <v>84001068 - ROSA RAMIFICADA- ve loving (130199)</v>
      </c>
    </row>
    <row r="1095">
      <c r="A1095" s="176"/>
      <c r="D1095" s="176" t="str">
        <f>IFERROR(__xludf.DUMMYFUNCTION("""COMPUTED_VALUE"""),"84001069 - ROSA SANTA DOROTEA - flor (141406)")</f>
        <v>84001069 - ROSA SANTA DOROTEA - flor (141406)</v>
      </c>
    </row>
    <row r="1096">
      <c r="A1096" s="176"/>
      <c r="D1096" s="176" t="str">
        <f>IFERROR(__xludf.DUMMYFUNCTION("""COMPUTED_VALUE"""),"84001070 - ROSA RAMIFICADA - sweet gelato Sian (194894)")</f>
        <v>84001070 - ROSA RAMIFICADA - sweet gelato Sian (194894)</v>
      </c>
    </row>
    <row r="1097">
      <c r="A1097" s="176"/>
      <c r="D1097" s="176" t="str">
        <f>IFERROR(__xludf.DUMMYFUNCTION("""COMPUTED_VALUE"""),"84001071 - THLASPI - rama (192073)")</f>
        <v>84001071 - THLASPI - rama (192073)</v>
      </c>
    </row>
    <row r="1098">
      <c r="A1098" s="176"/>
      <c r="D1098" s="176" t="str">
        <f>IFERROR(__xludf.DUMMYFUNCTION("""COMPUTED_VALUE"""),"84001072 - ROSA RAMIFICADA- Galaxi (143928)")</f>
        <v>84001072 - ROSA RAMIFICADA- Galaxi (143928)</v>
      </c>
    </row>
    <row r="1099">
      <c r="A1099" s="176"/>
      <c r="D1099" s="176" t="str">
        <f>IFERROR(__xludf.DUMMYFUNCTION("""COMPUTED_VALUE"""),"84001073 - NARCISO - planta T21 ()")</f>
        <v>84001073 - NARCISO - planta T21 ()</v>
      </c>
    </row>
    <row r="1100">
      <c r="A1100" s="176"/>
      <c r="D1100" s="176" t="str">
        <f>IFERROR(__xludf.DUMMYFUNCTION("""COMPUTED_VALUE"""),"84001074 - NARCISO - planta T29 ()")</f>
        <v>84001074 - NARCISO - planta T29 ()</v>
      </c>
    </row>
    <row r="1101">
      <c r="A1101" s="176"/>
      <c r="D1101" s="176" t="str">
        <f>IFERROR(__xludf.DUMMYFUNCTION("""COMPUTED_VALUE"""),"84001075 - ROSA APPLE JACK - flor ()")</f>
        <v>84001075 - ROSA APPLE JACK - flor ()</v>
      </c>
    </row>
    <row r="1102">
      <c r="A1102" s="176"/>
      <c r="D1102" s="176" t="str">
        <f>IFERROR(__xludf.DUMMYFUNCTION("""COMPUTED_VALUE"""),"84001076 - ROSA PRISCILLA - flor ()")</f>
        <v>84001076 - ROSA PRISCILLA - flor ()</v>
      </c>
    </row>
    <row r="1103">
      <c r="A1103" s="176"/>
      <c r="D1103" s="176" t="str">
        <f>IFERROR(__xludf.DUMMYFUNCTION("""COMPUTED_VALUE"""),"84001077 - ROSA HARLEQUIN- flor ()")</f>
        <v>84001077 - ROSA HARLEQUIN- flor ()</v>
      </c>
    </row>
    <row r="1104">
      <c r="A1104" s="176"/>
      <c r="D1104" s="176" t="str">
        <f>IFERROR(__xludf.DUMMYFUNCTION("""COMPUTED_VALUE"""),"84001078 - ROSA BIRDS NEST - flor ()")</f>
        <v>84001078 - ROSA BIRDS NEST - flor ()</v>
      </c>
    </row>
    <row r="1105">
      <c r="A1105" s="176"/>
      <c r="D1105" s="176" t="str">
        <f>IFERROR(__xludf.DUMMYFUNCTION("""COMPUTED_VALUE"""),"84001079 - ROSA ROSEBERRY - flor ()")</f>
        <v>84001079 - ROSA ROSEBERRY - flor ()</v>
      </c>
    </row>
    <row r="1106">
      <c r="A1106" s="176"/>
      <c r="D1106" s="176" t="str">
        <f>IFERROR(__xludf.DUMMYFUNCTION("""COMPUTED_VALUE"""),"84001080 - TULIPAN DO DRUMLINE - flor ()")</f>
        <v>84001080 - TULIPAN DO DRUMLINE - flor ()</v>
      </c>
    </row>
    <row r="1107">
      <c r="A1107" s="176"/>
      <c r="D1107" s="176" t="str">
        <f>IFERROR(__xludf.DUMMYFUNCTION("""COMPUTED_VALUE"""),"84001081 - ROSA PRISCILLA - flor ()")</f>
        <v>84001081 - ROSA PRISCILLA - flor ()</v>
      </c>
    </row>
    <row r="1108">
      <c r="A1108" s="176"/>
      <c r="D1108" s="176" t="str">
        <f>IFERROR(__xludf.DUMMYFUNCTION("""COMPUTED_VALUE"""),"84001082 - ROSA MAYFIELD- flor ()")</f>
        <v>84001082 - ROSA MAYFIELD- flor ()</v>
      </c>
    </row>
    <row r="1109">
      <c r="A1109" s="176"/>
      <c r="D1109" s="176" t="str">
        <f>IFERROR(__xludf.DUMMYFUNCTION("""COMPUTED_VALUE"""),"84001083 - MUSCARI ARMENIACUM - planta/5 (29764)")</f>
        <v>84001083 - MUSCARI ARMENIACUM - planta/5 (29764)</v>
      </c>
    </row>
    <row r="1110">
      <c r="A1110" s="176"/>
      <c r="D1110" s="176" t="str">
        <f>IFERROR(__xludf.DUMMYFUNCTION("""COMPUTED_VALUE"""),"84001085 - ASPIDISTA VÍA LÁCTEA - hoja (70200)")</f>
        <v>84001085 - ASPIDISTA VÍA LÁCTEA - hoja (70200)</v>
      </c>
    </row>
    <row r="1111">
      <c r="A1111" s="176"/>
      <c r="D1111" s="176" t="str">
        <f>IFERROR(__xludf.DUMMYFUNCTION("""COMPUTED_VALUE"""),"84001086 - DRACENA - plant/78 (160486)")</f>
        <v>84001086 - DRACENA - plant/78 (160486)</v>
      </c>
    </row>
    <row r="1112">
      <c r="A1112" s="176"/>
      <c r="D1112" s="176" t="str">
        <f>IFERROR(__xludf.DUMMYFUNCTION("""COMPUTED_VALUE"""),"84001088 - CITRUS MICROCARPA - planta/26 (45182)")</f>
        <v>84001088 - CITRUS MICROCARPA - planta/26 (45182)</v>
      </c>
    </row>
    <row r="1113">
      <c r="A1113" s="176"/>
      <c r="D1113" s="176" t="str">
        <f>IFERROR(__xludf.DUMMYFUNCTION("""COMPUTED_VALUE"""),"84001089 - JARRON CAJA - consumibles (38677)")</f>
        <v>84001089 - JARRON CAJA - consumibles (38677)</v>
      </c>
    </row>
    <row r="1114">
      <c r="A1114" s="176"/>
      <c r="D1114" s="176" t="str">
        <f>IFERROR(__xludf.DUMMYFUNCTION("""COMPUTED_VALUE"""),"84001090 - CILINDRO 25x10 (102170)")</f>
        <v>84001090 - CILINDRO 25x10 (102170)</v>
      </c>
    </row>
    <row r="1115">
      <c r="A1115" s="176"/>
      <c r="D1115" s="176" t="str">
        <f>IFERROR(__xludf.DUMMYFUNCTION("""COMPUTED_VALUE"""),"84001091 - CILINDRO 40x12.5 (165744)")</f>
        <v>84001091 - CILINDRO 40x12.5 (165744)</v>
      </c>
    </row>
    <row r="1116">
      <c r="A1116" s="176"/>
      <c r="D1116" s="176" t="str">
        <f>IFERROR(__xludf.DUMMYFUNCTION("""COMPUTED_VALUE"""),"84001092 - VASO 9x8 (165786)")</f>
        <v>84001092 - VASO 9x8 (165786)</v>
      </c>
    </row>
    <row r="1117">
      <c r="A1117" s="176"/>
      <c r="D1117" s="176" t="str">
        <f>IFERROR(__xludf.DUMMYFUNCTION("""COMPUTED_VALUE"""),"84001093 - VIOLETERO PROBETA 40x8 (102414)")</f>
        <v>84001093 - VIOLETERO PROBETA 40x8 (102414)</v>
      </c>
    </row>
    <row r="1118">
      <c r="A1118" s="176"/>
      <c r="D1118" s="176" t="str">
        <f>IFERROR(__xludf.DUMMYFUNCTION("""COMPUTED_VALUE"""),"84001094 - VIOLETERO PROBETA 30x8 (102480)")</f>
        <v>84001094 - VIOLETERO PROBETA 30x8 (102480)</v>
      </c>
    </row>
    <row r="1119">
      <c r="A1119" s="176"/>
      <c r="D1119" s="176" t="str">
        <f>IFERROR(__xludf.DUMMYFUNCTION("""COMPUTED_VALUE"""),"84001095 - CILINDRO 30x12 (102261)")</f>
        <v>84001095 - CILINDRO 30x12 (102261)</v>
      </c>
    </row>
    <row r="1120">
      <c r="A1120" s="176"/>
      <c r="D1120" s="176" t="str">
        <f>IFERROR(__xludf.DUMMYFUNCTION("""COMPUTED_VALUE"""),"84001096 - JARRON ROUGH CEMENT Set/2 27cm (522721)")</f>
        <v>84001096 - JARRON ROUGH CEMENT Set/2 27cm (522721)</v>
      </c>
    </row>
    <row r="1121">
      <c r="A1121" s="176"/>
      <c r="D1121" s="176" t="str">
        <f>IFERROR(__xludf.DUMMYFUNCTION("""COMPUTED_VALUE"""),"84001097 - JARRON ROUGH CEMENT Set/3 27cm (522713)")</f>
        <v>84001097 - JARRON ROUGH CEMENT Set/3 27cm (522713)</v>
      </c>
    </row>
    <row r="1122">
      <c r="A1122" s="176"/>
      <c r="D1122" s="176" t="str">
        <f>IFERROR(__xludf.DUMMYFUNCTION("""COMPUTED_VALUE"""),"84001098 - JARRON ROUGH CEMENT LEXA Set/2 29cm (522715)")</f>
        <v>84001098 - JARRON ROUGH CEMENT LEXA Set/2 29cm (522715)</v>
      </c>
    </row>
    <row r="1123">
      <c r="A1123" s="176"/>
      <c r="D1123" s="176" t="str">
        <f>IFERROR(__xludf.DUMMYFUNCTION("""COMPUTED_VALUE"""),"84001099 - JARRON ROUGH CEMENTO Set/2 30cm (522725)")</f>
        <v>84001099 - JARRON ROUGH CEMENTO Set/2 30cm (522725)</v>
      </c>
    </row>
    <row r="1124">
      <c r="A1124" s="176"/>
      <c r="D1124" s="176" t="str">
        <f>IFERROR(__xludf.DUMMYFUNCTION("""COMPUTED_VALUE"""),"84001100 - JARRON BOWL EASYSTONE S/2 (542983)")</f>
        <v>84001100 - JARRON BOWL EASYSTONE S/2 (542983)</v>
      </c>
    </row>
    <row r="1125">
      <c r="A1125" s="176"/>
      <c r="D1125" s="176" t="str">
        <f>IFERROR(__xludf.DUMMYFUNCTION("""COMPUTED_VALUE"""),"84001101 - JARRON BOWL EASYSTONE Set/3 27,5cm (542982)")</f>
        <v>84001101 - JARRON BOWL EASYSTONE Set/3 27,5cm (542982)</v>
      </c>
    </row>
    <row r="1126">
      <c r="A1126" s="176"/>
      <c r="D1126" s="176" t="str">
        <f>IFERROR(__xludf.DUMMYFUNCTION("""COMPUTED_VALUE"""),"84001102 - JARRON SCHALE XO EASYSTONE S/2 (542991)")</f>
        <v>84001102 - JARRON SCHALE XO EASYSTONE S/2 (542991)</v>
      </c>
    </row>
    <row r="1127">
      <c r="A1127" s="176"/>
      <c r="D1127" s="176" t="str">
        <f>IFERROR(__xludf.DUMMYFUNCTION("""COMPUTED_VALUE"""),"84001103 - JARRON MONROE TEAL 13cm (559237)")</f>
        <v>84001103 - JARRON MONROE TEAL 13cm (559237)</v>
      </c>
    </row>
    <row r="1128">
      <c r="A1128" s="176"/>
      <c r="D1128" s="176" t="str">
        <f>IFERROR(__xludf.DUMMYFUNCTION("""COMPUTED_VALUE"""),"84001104 - JARRON MONROE TEAL 15cm (559238)")</f>
        <v>84001104 - JARRON MONROE TEAL 15cm (559238)</v>
      </c>
    </row>
    <row r="1129">
      <c r="A1129" s="176"/>
      <c r="D1129" s="176" t="str">
        <f>IFERROR(__xludf.DUMMYFUNCTION("""COMPUTED_VALUE"""),"84001105 - LARRON MONROE TEAL 18,5cm (559240)")</f>
        <v>84001105 - LARRON MONROE TEAL 18,5cm (559240)</v>
      </c>
    </row>
    <row r="1130">
      <c r="A1130" s="176"/>
      <c r="D1130" s="176" t="str">
        <f>IFERROR(__xludf.DUMMYFUNCTION("""COMPUTED_VALUE"""),"84001106 - JARRON ROSALBA MOCCA SPOTS 21cm (575321)")</f>
        <v>84001106 - JARRON ROSALBA MOCCA SPOTS 21cm (575321)</v>
      </c>
    </row>
    <row r="1131">
      <c r="A1131" s="176"/>
      <c r="D1131" s="176" t="str">
        <f>IFERROR(__xludf.DUMMYFUNCTION("""COMPUTED_VALUE"""),"84001107 - JARRON ROSALBA MACCO SPOTS 22,5cm (575322)")</f>
        <v>84001107 - JARRON ROSALBA MACCO SPOTS 22,5cm (575322)</v>
      </c>
    </row>
    <row r="1132">
      <c r="A1132" s="176"/>
      <c r="D1132" s="176" t="str">
        <f>IFERROR(__xludf.DUMMYFUNCTION("""COMPUTED_VALUE"""),"84001109 - JARRON LAVANDA 20,5cm (559244)")</f>
        <v>84001109 - JARRON LAVANDA 20,5cm (559244)</v>
      </c>
    </row>
    <row r="1133">
      <c r="A1133" s="176"/>
      <c r="D1133" s="176" t="str">
        <f>IFERROR(__xludf.DUMMYFUNCTION("""COMPUTED_VALUE"""),"84001110 - JARRÓN DEKO-VASE LANVIA 19,5cm (559245)")</f>
        <v>84001110 - JARRÓN DEKO-VASE LANVIA 19,5cm (559245)</v>
      </c>
    </row>
    <row r="1134">
      <c r="A1134" s="176"/>
      <c r="D1134" s="176" t="str">
        <f>IFERROR(__xludf.DUMMYFUNCTION("""COMPUTED_VALUE"""),"84001111 - JARRON ROSCOE ANTIK 31cm (591039)")</f>
        <v>84001111 - JARRON ROSCOE ANTIK 31cm (591039)</v>
      </c>
    </row>
    <row r="1135">
      <c r="A1135" s="176"/>
      <c r="D1135" s="176" t="str">
        <f>IFERROR(__xludf.DUMMYFUNCTION("""COMPUTED_VALUE"""),"84001112 - JARRON ROUGH CEMENT Set/3 20,5cm (522713)")</f>
        <v>84001112 - JARRON ROUGH CEMENT Set/3 20,5cm (522713)</v>
      </c>
    </row>
    <row r="1136">
      <c r="A1136" s="176"/>
      <c r="D1136" s="176" t="str">
        <f>IFERROR(__xludf.DUMMYFUNCTION("""COMPUTED_VALUE"""),"84001113 - JARRON ROUGH CEMENT Set/3 14,5cm (522713)")</f>
        <v>84001113 - JARRON ROUGH CEMENT Set/3 14,5cm (522713)</v>
      </c>
    </row>
    <row r="1137">
      <c r="A1137" s="176"/>
      <c r="D1137" s="176" t="str">
        <f>IFERROR(__xludf.DUMMYFUNCTION("""COMPUTED_VALUE"""),"84001114 - JARRON ROUGH CEMENT Set/2 40cm (522721)")</f>
        <v>84001114 - JARRON ROUGH CEMENT Set/2 40cm (522721)</v>
      </c>
    </row>
    <row r="1138">
      <c r="A1138" s="176"/>
      <c r="D1138" s="176" t="str">
        <f>IFERROR(__xludf.DUMMYFUNCTION("""COMPUTED_VALUE"""),"84001115 - JARRON ROUGH CEMENT LEXA Set/2 37cm (522715)")</f>
        <v>84001115 - JARRON ROUGH CEMENT LEXA Set/2 37cm (522715)</v>
      </c>
    </row>
    <row r="1139">
      <c r="A1139" s="176"/>
      <c r="D1139" s="176" t="str">
        <f>IFERROR(__xludf.DUMMYFUNCTION("""COMPUTED_VALUE"""),"84001116 - JARRON ROUGH CEMENTO Set/2 45cm (522725)")</f>
        <v>84001116 - JARRON ROUGH CEMENTO Set/2 45cm (522725)</v>
      </c>
    </row>
    <row r="1140">
      <c r="A1140" s="176"/>
      <c r="D1140" s="176" t="str">
        <f>IFERROR(__xludf.DUMMYFUNCTION("""COMPUTED_VALUE"""),"84001117 - JARRON BOWL EASYSTONE Set/3 21cm (542982)")</f>
        <v>84001117 - JARRON BOWL EASYSTONE Set/3 21cm (542982)</v>
      </c>
    </row>
    <row r="1141">
      <c r="A1141" s="176"/>
      <c r="D1141" s="176" t="str">
        <f>IFERROR(__xludf.DUMMYFUNCTION("""COMPUTED_VALUE"""),"84001118 - JARRON BOWL EASYSTONE Set/2 15,5cm (542983)")</f>
        <v>84001118 - JARRON BOWL EASYSTONE Set/2 15,5cm (542983)</v>
      </c>
    </row>
    <row r="1142">
      <c r="A1142" s="176"/>
      <c r="D1142" s="176" t="str">
        <f>IFERROR(__xludf.DUMMYFUNCTION("""COMPUTED_VALUE"""),"84001119 - DRACENA FRAG DORADO - planta/24 ()")</f>
        <v>84001119 - DRACENA FRAG DORADO - planta/24 ()</v>
      </c>
    </row>
    <row r="1143">
      <c r="A1143" s="176"/>
      <c r="D1143" s="176" t="str">
        <f>IFERROR(__xludf.DUMMYFUNCTION("""COMPUTED_VALUE"""),"84001120 - DRACENA FRAG (113981)")</f>
        <v>84001120 - DRACENA FRAG (113981)</v>
      </c>
    </row>
    <row r="1144">
      <c r="A1144" s="176"/>
      <c r="D1144" s="176" t="str">
        <f>IFERROR(__xludf.DUMMYFUNCTION("""COMPUTED_VALUE"""),"84001121 - FICUS ELAS OTHER - planta/9 ()")</f>
        <v>84001121 - FICUS ELAS OTHER - planta/9 ()</v>
      </c>
    </row>
    <row r="1145">
      <c r="A1145" s="176"/>
      <c r="D1145" s="176" t="str">
        <f>IFERROR(__xludf.DUMMYFUNCTION("""COMPUTED_VALUE"""),"84001122 - FICUS BENJ GREEN KINKY - planta/12 (196004)")</f>
        <v>84001122 - FICUS BENJ GREEN KINKY - planta/12 (196004)</v>
      </c>
    </row>
    <row r="1146">
      <c r="A1146" s="176"/>
      <c r="D1146" s="176" t="str">
        <f>IFERROR(__xludf.DUMMYFUNCTION("""COMPUTED_VALUE"""),"84001123 - DRACENA FRAG - planta/9 ()")</f>
        <v>84001123 - DRACENA FRAG - planta/9 ()</v>
      </c>
    </row>
    <row r="1147">
      <c r="A1147" s="176"/>
      <c r="D1147" s="176" t="str">
        <f>IFERROR(__xludf.DUMMYFUNCTION("""COMPUTED_VALUE"""),"84001124 - ROSA ATHENA ROYALE - flor ()")</f>
        <v>84001124 - ROSA ATHENA ROYALE - flor ()</v>
      </c>
    </row>
    <row r="1148">
      <c r="A1148" s="176"/>
      <c r="D1148" s="176" t="str">
        <f>IFERROR(__xludf.DUMMYFUNCTION("""COMPUTED_VALUE"""),"84001125 - ROSA PINK PUMA - flor (197714)")</f>
        <v>84001125 - ROSA PINK PUMA - flor (197714)</v>
      </c>
    </row>
    <row r="1149">
      <c r="A1149" s="176"/>
      <c r="D1149" s="176" t="str">
        <f>IFERROR(__xludf.DUMMYFUNCTION("""COMPUTED_VALUE"""),"84001128 - JARRÓN BOWL EASYSTONE Set/3 15,5cm (542982)")</f>
        <v>84001128 - JARRÓN BOWL EASYSTONE Set/3 15,5cm (542982)</v>
      </c>
    </row>
    <row r="1150">
      <c r="A1150" s="176"/>
      <c r="D1150" s="176" t="str">
        <f>IFERROR(__xludf.DUMMYFUNCTION("""COMPUTED_VALUE"""),"84001129 - JARRON XO EASYSTONE OLIVE-GREY-WASH Set/2 (542991)")</f>
        <v>84001129 - JARRON XO EASYSTONE OLIVE-GREY-WASH Set/2 (542991)</v>
      </c>
    </row>
    <row r="1151">
      <c r="A1151" s="176"/>
      <c r="D1151" s="176" t="str">
        <f>IFERROR(__xludf.DUMMYFUNCTION("""COMPUTED_VALUE"""),"84001130 - JARRON XO EASYSTONE OLIVE-GREY-WASH Set/2 (542991)")</f>
        <v>84001130 - JARRON XO EASYSTONE OLIVE-GREY-WASH Set/2 (542991)</v>
      </c>
    </row>
    <row r="1152">
      <c r="A1152" s="176"/>
      <c r="D1152" s="176" t="str">
        <f>IFERROR(__xludf.DUMMYFUNCTION("""COMPUTED_VALUE"""),"84001131 - JARRON SPUN BLACK AQUA 12,5cm (595172)")</f>
        <v>84001131 - JARRON SPUN BLACK AQUA 12,5cm (595172)</v>
      </c>
    </row>
    <row r="1153">
      <c r="A1153" s="176"/>
      <c r="D1153" s="176" t="str">
        <f>IFERROR(__xludf.DUMMYFUNCTION("""COMPUTED_VALUE"""),"84001132 - JARRON SPUN BLACK AQUA 10,5cm (595171)")</f>
        <v>84001132 - JARRON SPUN BLACK AQUA 10,5cm (595171)</v>
      </c>
    </row>
    <row r="1154">
      <c r="A1154" s="176"/>
      <c r="D1154" s="176" t="str">
        <f>IFERROR(__xludf.DUMMYFUNCTION("""COMPUTED_VALUE"""),"84001133 - JARRON MASSA DARK BERRY 25cm (848675)")</f>
        <v>84001133 - JARRON MASSA DARK BERRY 25cm (848675)</v>
      </c>
    </row>
    <row r="1155">
      <c r="A1155" s="176"/>
      <c r="D1155" s="176" t="str">
        <f>IFERROR(__xludf.DUMMYFUNCTION("""COMPUTED_VALUE"""),"84001134 - JARRON MASSA GREY METALLIC 16cm (848815)")</f>
        <v>84001134 - JARRON MASSA GREY METALLIC 16cm (848815)</v>
      </c>
    </row>
    <row r="1156">
      <c r="A1156" s="176"/>
      <c r="D1156" s="176" t="str">
        <f>IFERROR(__xludf.DUMMYFUNCTION("""COMPUTED_VALUE"""),"84001135 - ROSA SWEET TACAZI - flor (199203)")</f>
        <v>84001135 - ROSA SWEET TACAZI - flor (199203)</v>
      </c>
    </row>
    <row r="1157">
      <c r="A1157" s="176"/>
      <c r="D1157" s="176" t="str">
        <f>IFERROR(__xludf.DUMMYFUNCTION("""COMPUTED_VALUE"""),"84001136 - JACINTOS MIX CRISTAL - planta (198092)")</f>
        <v>84001136 - JACINTOS MIX CRISTAL - planta (198092)</v>
      </c>
    </row>
    <row r="1158">
      <c r="A1158" s="176"/>
      <c r="D1158" s="176" t="str">
        <f>IFERROR(__xludf.DUMMYFUNCTION("""COMPUTED_VALUE"""),"84001137 - FICUS BONSAI GINSENG (con maceta cerámica) - planta (198378)")</f>
        <v>84001137 - FICUS BONSAI GINSENG (con maceta cerámica) - planta (198378)</v>
      </c>
    </row>
    <row r="1159">
      <c r="A1159" s="176"/>
      <c r="D1159" s="176" t="str">
        <f>IFERROR(__xludf.DUMMYFUNCTION("""COMPUTED_VALUE"""),"84001138 - PALMA BEBÉ 190 cm (47055)")</f>
        <v>84001138 - PALMA BEBÉ 190 cm (47055)</v>
      </c>
    </row>
    <row r="1160">
      <c r="A1160" s="176"/>
      <c r="D1160" s="176" t="str">
        <f>IFERROR(__xludf.DUMMYFUNCTION("""COMPUTED_VALUE"""),"84001139 - PALMA BEBE 12 cm (144122, 144119, 39500, 67658, 39076)")</f>
        <v>84001139 - PALMA BEBE 12 cm (144122, 144119, 39500, 67658, 39076)</v>
      </c>
    </row>
    <row r="1161">
      <c r="A1161" s="176"/>
      <c r="D1161" s="176" t="str">
        <f>IFERROR(__xludf.DUMMYFUNCTION("""COMPUTED_VALUE"""),"84001140 - PALMA BEBE 25 cm (108279, 108280)")</f>
        <v>84001140 - PALMA BEBE 25 cm (108279, 108280)</v>
      </c>
    </row>
    <row r="1162">
      <c r="A1162" s="176"/>
      <c r="D1162" s="176" t="str">
        <f>IFERROR(__xludf.DUMMYFUNCTION("""COMPUTED_VALUE"""),"84001141 - PSLMA BEBÉ 100 cm (159764)")</f>
        <v>84001141 - PSLMA BEBÉ 100 cm (159764)</v>
      </c>
    </row>
    <row r="1163">
      <c r="A1163" s="176"/>
      <c r="D1163" s="176" t="str">
        <f>IFERROR(__xludf.DUMMYFUNCTION("""COMPUTED_VALUE"""),"84001142 - ALOE VERA - planta/14 (33313)")</f>
        <v>84001142 - ALOE VERA - planta/14 (33313)</v>
      </c>
    </row>
    <row r="1164">
      <c r="A1164" s="176"/>
      <c r="D1164" s="176" t="str">
        <f>IFERROR(__xludf.DUMMYFUNCTION("""COMPUTED_VALUE"""),"84001143 - ARALIA JAPONICA - planta/18 (197769)")</f>
        <v>84001143 - ARALIA JAPONICA - planta/18 (197769)</v>
      </c>
    </row>
    <row r="1165">
      <c r="A1165" s="176"/>
      <c r="D1165" s="176" t="str">
        <f>IFERROR(__xludf.DUMMYFUNCTION("""COMPUTED_VALUE"""),"84001144 - REGALITO ()")</f>
        <v>84001144 - REGALITO ()</v>
      </c>
    </row>
    <row r="1166">
      <c r="A1166" s="176"/>
      <c r="D1166" s="176" t="str">
        <f>IFERROR(__xludf.DUMMYFUNCTION("""COMPUTED_VALUE"""),"84001145 - FUCIS BENGHALENSIS - planta/267 (198856)")</f>
        <v>84001145 - FUCIS BENGHALENSIS - planta/267 (198856)</v>
      </c>
    </row>
    <row r="1167">
      <c r="A1167" s="176"/>
      <c r="D1167" s="176" t="str">
        <f>IFERROR(__xludf.DUMMYFUNCTION("""COMPUTED_VALUE"""),"84001146 - PALMA BEBE (1u/2, set 3u/5) (144122 144119)")</f>
        <v>84001146 - PALMA BEBE (1u/2, set 3u/5) (144122 144119)</v>
      </c>
    </row>
    <row r="1168">
      <c r="A1168" s="176"/>
      <c r="D1168" s="176" t="str">
        <f>IFERROR(__xludf.DUMMYFUNCTION("""COMPUTED_VALUE"""),"84001147 - PALMA BEBE 150cm (159763)")</f>
        <v>84001147 - PALMA BEBE 150cm (159763)</v>
      </c>
    </row>
    <row r="1169">
      <c r="A1169" s="176"/>
      <c r="D1169" s="176" t="str">
        <f>IFERROR(__xludf.DUMMYFUNCTION("""COMPUTED_VALUE"""),"84001148 - PALMA BEBE 14cm (67658)")</f>
        <v>84001148 - PALMA BEBE 14cm (67658)</v>
      </c>
    </row>
    <row r="1170">
      <c r="A1170" s="176"/>
      <c r="D1170" s="176" t="str">
        <f>IFERROR(__xludf.DUMMYFUNCTION("""COMPUTED_VALUE"""),"84001149 - SALAL TIPS (143)")</f>
        <v>84001149 - SALAL TIPS (143)</v>
      </c>
    </row>
    <row r="1171">
      <c r="A1171" s="176"/>
      <c r="D1171" s="176" t="str">
        <f>IFERROR(__xludf.DUMMYFUNCTION("""COMPUTED_VALUE"""),"84001150 - FONTANESIA PINK - rama (198941)")</f>
        <v>84001150 - FONTANESIA PINK - rama (198941)</v>
      </c>
    </row>
    <row r="1172">
      <c r="A1172" s="176"/>
      <c r="D1172" s="176" t="str">
        <f>IFERROR(__xludf.DUMMYFUNCTION("""COMPUTED_VALUE"""),"84001151 - CILINDRO 35x12 (194077)")</f>
        <v>84001151 - CILINDRO 35x12 (194077)</v>
      </c>
    </row>
    <row r="1173">
      <c r="A1173" s="176"/>
      <c r="D1173" s="176" t="str">
        <f>IFERROR(__xludf.DUMMYFUNCTION("""COMPUTED_VALUE"""),"84001152 - NARCISO TETE-A-TETE - composición/14 ()")</f>
        <v>84001152 - NARCISO TETE-A-TETE - composición/14 ()</v>
      </c>
    </row>
    <row r="1174">
      <c r="A1174" s="176"/>
      <c r="D1174" s="176" t="str">
        <f>IFERROR(__xludf.DUMMYFUNCTION("""COMPUTED_VALUE"""),"84001153 - ARRANGEMENT DE PHALAENOPSIS - composición/56 ()")</f>
        <v>84001153 - ARRANGEMENT DE PHALAENOPSIS - composición/56 ()</v>
      </c>
    </row>
    <row r="1175">
      <c r="A1175" s="176"/>
      <c r="D1175" s="176" t="str">
        <f>IFERROR(__xludf.DUMMYFUNCTION("""COMPUTED_VALUE"""),"84001154 - COMPOSITION DE DRECENA - planta/38 ()")</f>
        <v>84001154 - COMPOSITION DE DRECENA - planta/38 ()</v>
      </c>
    </row>
    <row r="1176">
      <c r="A1176" s="176"/>
      <c r="D1176" s="176" t="str">
        <f>IFERROR(__xludf.DUMMYFUNCTION("""COMPUTED_VALUE"""),"84001155 - ALOE ARBO - planta/47 ()")</f>
        <v>84001155 - ALOE ARBO - planta/47 ()</v>
      </c>
    </row>
    <row r="1177">
      <c r="A1177" s="176"/>
      <c r="D1177" s="176" t="str">
        <f>IFERROR(__xludf.DUMMYFUNCTION("""COMPUTED_VALUE"""),"84001156 - ALOE ARBO - planta/67 ()")</f>
        <v>84001156 - ALOE ARBO - planta/67 ()</v>
      </c>
    </row>
    <row r="1178">
      <c r="A1178" s="176"/>
      <c r="D1178" s="176" t="str">
        <f>IFERROR(__xludf.DUMMYFUNCTION("""COMPUTED_VALUE"""),"84001157 - RISA GARDAN MIX - flor/3 ()")</f>
        <v>84001157 - RISA GARDAN MIX - flor/3 ()</v>
      </c>
    </row>
    <row r="1179">
      <c r="A1179" s="176"/>
      <c r="D1179" s="176"/>
    </row>
    <row r="1180">
      <c r="A1180" s="176"/>
      <c r="D1180" s="176"/>
    </row>
    <row r="1181">
      <c r="A1181" s="176"/>
      <c r="D1181" s="176"/>
    </row>
    <row r="1182">
      <c r="A1182" s="176"/>
      <c r="D1182" s="176"/>
    </row>
    <row r="1183">
      <c r="A1183" s="176"/>
      <c r="D1183" s="176"/>
    </row>
    <row r="1184">
      <c r="A1184" s="176"/>
      <c r="D1184" s="176"/>
    </row>
    <row r="1185">
      <c r="A1185" s="176"/>
      <c r="D1185" s="176"/>
    </row>
    <row r="1186">
      <c r="A1186" s="176"/>
      <c r="D1186" s="176"/>
    </row>
    <row r="1187">
      <c r="A1187" s="176"/>
      <c r="D1187" s="176"/>
    </row>
    <row r="1188">
      <c r="A1188" s="176"/>
      <c r="D1188" s="176"/>
    </row>
    <row r="1189">
      <c r="A1189" s="176"/>
      <c r="D1189" s="176"/>
    </row>
    <row r="1190">
      <c r="A1190" s="176"/>
      <c r="D1190" s="176"/>
    </row>
    <row r="1191">
      <c r="A1191" s="176"/>
      <c r="D1191" s="176"/>
    </row>
    <row r="1192">
      <c r="A1192" s="176"/>
      <c r="D1192" s="176"/>
    </row>
    <row r="1193">
      <c r="A1193" s="176"/>
      <c r="D1193" s="176"/>
    </row>
    <row r="1194">
      <c r="A1194" s="176"/>
      <c r="D1194" s="176"/>
    </row>
    <row r="1195">
      <c r="A1195" s="176"/>
      <c r="D1195" s="176"/>
    </row>
    <row r="1196">
      <c r="A1196" s="176"/>
      <c r="D1196" s="176"/>
    </row>
    <row r="1197">
      <c r="A1197" s="176"/>
      <c r="D1197" s="176"/>
    </row>
    <row r="1198">
      <c r="A1198" s="176"/>
      <c r="D1198" s="176"/>
    </row>
    <row r="1199">
      <c r="A1199" s="176"/>
      <c r="D1199" s="176"/>
    </row>
    <row r="1200">
      <c r="A1200" s="176"/>
      <c r="D1200" s="176"/>
    </row>
    <row r="1201">
      <c r="A1201" s="176"/>
      <c r="D1201" s="176"/>
    </row>
    <row r="1202">
      <c r="A1202" s="176"/>
      <c r="D1202" s="176"/>
    </row>
    <row r="1203">
      <c r="A1203" s="176"/>
      <c r="D1203" s="176"/>
    </row>
    <row r="1204">
      <c r="A1204" s="176"/>
      <c r="D1204" s="176"/>
    </row>
    <row r="1205">
      <c r="A1205" s="176"/>
      <c r="D1205" s="176"/>
    </row>
    <row r="1206">
      <c r="A1206" s="176"/>
      <c r="D1206" s="176"/>
    </row>
    <row r="1207">
      <c r="A1207" s="176"/>
      <c r="D1207" s="176"/>
    </row>
    <row r="1208">
      <c r="A1208" s="176"/>
      <c r="D1208" s="176"/>
    </row>
    <row r="1209">
      <c r="A1209" s="176"/>
      <c r="D1209" s="176"/>
    </row>
    <row r="1210">
      <c r="A1210" s="176"/>
      <c r="D1210" s="176"/>
    </row>
    <row r="1211">
      <c r="A1211" s="176"/>
      <c r="D1211" s="176"/>
    </row>
    <row r="1212">
      <c r="A1212" s="176"/>
      <c r="D1212" s="176"/>
    </row>
    <row r="1213">
      <c r="A1213" s="176"/>
      <c r="D1213" s="176"/>
    </row>
    <row r="1214">
      <c r="A1214" s="176"/>
      <c r="D1214" s="176"/>
    </row>
    <row r="1215">
      <c r="A1215" s="176"/>
      <c r="D1215" s="176"/>
    </row>
    <row r="1216">
      <c r="A1216" s="176"/>
      <c r="D1216" s="176"/>
    </row>
    <row r="1217">
      <c r="A1217" s="176"/>
      <c r="D1217" s="176"/>
    </row>
    <row r="1218">
      <c r="A1218" s="176"/>
      <c r="D1218" s="176"/>
    </row>
    <row r="1219">
      <c r="A1219" s="176"/>
      <c r="D1219" s="176"/>
    </row>
    <row r="1220">
      <c r="A1220" s="176"/>
      <c r="D1220" s="176"/>
    </row>
    <row r="1221">
      <c r="A1221" s="176"/>
      <c r="D1221" s="176"/>
    </row>
    <row r="1222">
      <c r="A1222" s="176"/>
      <c r="D1222" s="176"/>
    </row>
    <row r="1223">
      <c r="A1223" s="176"/>
      <c r="D1223" s="176"/>
    </row>
    <row r="1224">
      <c r="A1224" s="176"/>
      <c r="D1224" s="176"/>
    </row>
    <row r="1225">
      <c r="A1225" s="176"/>
      <c r="D1225" s="176"/>
    </row>
    <row r="1226">
      <c r="A1226" s="176"/>
      <c r="D1226" s="176"/>
    </row>
    <row r="1227">
      <c r="A1227" s="176"/>
      <c r="D1227" s="176"/>
    </row>
    <row r="1228">
      <c r="A1228" s="176"/>
      <c r="D1228" s="176"/>
    </row>
    <row r="1229">
      <c r="A1229" s="176"/>
      <c r="D1229" s="176"/>
    </row>
    <row r="1230">
      <c r="A1230" s="176"/>
      <c r="D1230" s="176"/>
    </row>
    <row r="1231">
      <c r="A1231" s="176"/>
      <c r="D1231" s="176"/>
    </row>
    <row r="1232">
      <c r="A1232" s="176"/>
      <c r="D1232" s="176"/>
    </row>
    <row r="1233">
      <c r="A1233" s="176"/>
      <c r="D1233" s="176"/>
    </row>
    <row r="1234">
      <c r="A1234" s="176"/>
      <c r="D1234" s="176"/>
    </row>
    <row r="1235">
      <c r="A1235" s="176"/>
      <c r="D1235" s="176"/>
    </row>
    <row r="1236">
      <c r="A1236" s="176"/>
      <c r="D1236" s="176"/>
    </row>
    <row r="1237">
      <c r="A1237" s="176"/>
      <c r="D1237" s="176"/>
    </row>
    <row r="1238">
      <c r="A1238" s="176"/>
      <c r="D1238" s="176"/>
    </row>
    <row r="1239">
      <c r="A1239" s="176"/>
      <c r="D1239" s="176"/>
    </row>
    <row r="1240">
      <c r="A1240" s="176"/>
      <c r="D1240" s="176"/>
    </row>
    <row r="1241">
      <c r="A1241" s="176"/>
      <c r="D1241" s="176"/>
    </row>
    <row r="1242">
      <c r="A1242" s="176"/>
      <c r="D1242" s="176"/>
    </row>
    <row r="1243">
      <c r="A1243" s="176"/>
      <c r="D1243" s="176"/>
    </row>
    <row r="1244">
      <c r="A1244" s="176"/>
      <c r="D1244" s="176"/>
    </row>
    <row r="1245">
      <c r="A1245" s="176"/>
      <c r="D1245" s="176"/>
    </row>
    <row r="1246">
      <c r="A1246" s="176"/>
      <c r="D1246" s="176"/>
    </row>
    <row r="1247">
      <c r="A1247" s="176"/>
      <c r="D1247" s="176"/>
    </row>
    <row r="1248">
      <c r="A1248" s="176"/>
      <c r="D1248" s="176"/>
    </row>
    <row r="1249">
      <c r="A1249" s="176"/>
      <c r="D1249" s="176"/>
    </row>
    <row r="1250">
      <c r="A1250" s="176"/>
      <c r="D1250" s="176"/>
    </row>
    <row r="1251">
      <c r="A1251" s="176"/>
      <c r="D1251" s="176"/>
    </row>
    <row r="1252">
      <c r="A1252" s="176"/>
      <c r="D1252" s="176"/>
    </row>
    <row r="1253">
      <c r="A1253" s="176"/>
      <c r="D1253" s="176"/>
    </row>
    <row r="1254">
      <c r="A1254" s="176"/>
      <c r="D1254" s="176"/>
    </row>
    <row r="1255">
      <c r="A1255" s="176"/>
      <c r="D1255" s="176"/>
    </row>
    <row r="1256">
      <c r="A1256" s="176"/>
      <c r="D1256" s="176"/>
    </row>
    <row r="1257">
      <c r="A1257" s="176"/>
      <c r="D1257" s="176"/>
    </row>
    <row r="1258">
      <c r="A1258" s="176"/>
      <c r="D1258" s="176"/>
    </row>
    <row r="1259">
      <c r="A1259" s="176"/>
      <c r="D1259" s="176"/>
    </row>
    <row r="1260">
      <c r="A1260" s="176"/>
      <c r="D1260" s="176"/>
    </row>
    <row r="1261">
      <c r="A1261" s="176"/>
      <c r="D1261" s="176"/>
    </row>
    <row r="1262">
      <c r="A1262" s="176"/>
      <c r="D1262" s="176"/>
    </row>
    <row r="1263">
      <c r="A1263" s="176"/>
      <c r="D1263" s="176"/>
    </row>
    <row r="1264">
      <c r="A1264" s="176"/>
      <c r="D1264" s="176"/>
    </row>
    <row r="1265">
      <c r="A1265" s="176"/>
      <c r="D1265" s="176"/>
    </row>
    <row r="1266">
      <c r="A1266" s="176"/>
      <c r="D1266" s="176"/>
    </row>
    <row r="1267">
      <c r="A1267" s="176"/>
      <c r="D1267" s="176"/>
    </row>
    <row r="1268">
      <c r="A1268" s="176"/>
      <c r="D1268" s="176"/>
    </row>
    <row r="1269">
      <c r="A1269" s="176"/>
      <c r="D1269" s="176"/>
    </row>
    <row r="1270">
      <c r="A1270" s="176"/>
      <c r="D1270" s="176"/>
    </row>
    <row r="1271">
      <c r="A1271" s="176"/>
      <c r="D1271" s="176"/>
    </row>
    <row r="1272">
      <c r="A1272" s="176"/>
      <c r="D1272" s="176"/>
    </row>
    <row r="1273">
      <c r="A1273" s="176"/>
      <c r="D1273" s="176"/>
    </row>
    <row r="1274">
      <c r="A1274" s="176"/>
      <c r="D1274" s="176"/>
    </row>
    <row r="1275">
      <c r="A1275" s="176"/>
      <c r="D1275" s="176"/>
    </row>
    <row r="1276">
      <c r="A1276" s="176"/>
      <c r="D1276" s="176"/>
    </row>
    <row r="1277">
      <c r="A1277" s="176"/>
      <c r="D1277" s="176"/>
    </row>
    <row r="1278">
      <c r="A1278" s="176"/>
      <c r="D1278" s="176"/>
    </row>
    <row r="1279">
      <c r="A1279" s="176"/>
      <c r="D1279" s="176"/>
    </row>
    <row r="1280">
      <c r="A1280" s="176"/>
      <c r="D1280" s="176"/>
    </row>
    <row r="1281">
      <c r="A1281" s="176"/>
      <c r="D1281" s="176"/>
    </row>
    <row r="1282">
      <c r="A1282" s="176"/>
      <c r="D1282" s="176"/>
    </row>
    <row r="1283">
      <c r="A1283" s="176"/>
      <c r="D1283" s="176"/>
    </row>
    <row r="1284">
      <c r="A1284" s="176"/>
      <c r="D1284" s="176"/>
    </row>
    <row r="1285">
      <c r="A1285" s="176"/>
      <c r="D1285" s="176"/>
    </row>
    <row r="1286">
      <c r="A1286" s="176"/>
      <c r="D1286" s="176"/>
    </row>
    <row r="1287">
      <c r="A1287" s="176"/>
      <c r="D1287" s="176"/>
    </row>
    <row r="1288">
      <c r="A1288" s="176"/>
      <c r="D1288" s="176"/>
    </row>
    <row r="1289">
      <c r="A1289" s="176"/>
      <c r="D1289" s="176"/>
    </row>
    <row r="1290">
      <c r="A1290" s="176"/>
      <c r="D1290" s="176"/>
    </row>
    <row r="1291">
      <c r="A1291" s="176"/>
      <c r="D1291" s="176"/>
    </row>
    <row r="1292">
      <c r="A1292" s="176"/>
      <c r="D1292" s="176"/>
    </row>
    <row r="1293">
      <c r="A1293" s="176"/>
      <c r="D1293" s="176"/>
    </row>
    <row r="1294">
      <c r="A1294" s="176"/>
      <c r="D1294" s="176"/>
    </row>
    <row r="1295">
      <c r="A1295" s="176"/>
      <c r="D1295" s="176"/>
    </row>
    <row r="1296">
      <c r="A1296" s="176"/>
      <c r="D1296" s="176"/>
    </row>
    <row r="1297">
      <c r="A1297" s="176"/>
      <c r="D1297" s="176"/>
    </row>
    <row r="1298">
      <c r="A1298" s="176"/>
      <c r="D1298" s="176"/>
    </row>
    <row r="1299">
      <c r="A1299" s="176"/>
      <c r="D1299" s="176"/>
    </row>
    <row r="1300">
      <c r="A1300" s="176"/>
      <c r="D1300" s="176"/>
    </row>
    <row r="1301">
      <c r="A1301" s="176"/>
      <c r="D1301" s="176"/>
    </row>
    <row r="1302">
      <c r="A1302" s="176"/>
      <c r="D1302" s="176"/>
    </row>
    <row r="1303">
      <c r="A1303" s="176"/>
      <c r="D1303" s="176"/>
    </row>
    <row r="1304">
      <c r="A1304" s="176"/>
      <c r="D1304" s="176"/>
    </row>
    <row r="1305">
      <c r="A1305" s="176"/>
      <c r="D1305" s="176"/>
    </row>
    <row r="1306">
      <c r="A1306" s="176"/>
      <c r="D1306" s="176"/>
    </row>
    <row r="1307">
      <c r="A1307" s="176"/>
      <c r="D1307" s="176"/>
    </row>
    <row r="1308">
      <c r="A1308" s="176"/>
      <c r="D1308" s="176"/>
    </row>
    <row r="1309">
      <c r="A1309" s="176"/>
      <c r="D1309" s="176"/>
    </row>
    <row r="1310">
      <c r="A1310" s="176"/>
      <c r="D1310" s="176"/>
    </row>
    <row r="1311">
      <c r="A1311" s="176"/>
      <c r="D1311" s="176"/>
    </row>
    <row r="1312">
      <c r="A1312" s="176"/>
      <c r="D1312" s="176"/>
    </row>
    <row r="1313">
      <c r="A1313" s="176"/>
      <c r="D1313" s="176"/>
    </row>
    <row r="1314">
      <c r="A1314" s="176"/>
      <c r="D1314" s="176"/>
    </row>
    <row r="1315">
      <c r="A1315" s="176"/>
      <c r="D1315" s="176"/>
    </row>
    <row r="1316">
      <c r="A1316" s="176"/>
      <c r="D1316" s="176"/>
    </row>
    <row r="1317">
      <c r="A1317" s="176"/>
      <c r="D1317" s="176"/>
    </row>
    <row r="1318">
      <c r="A1318" s="176"/>
      <c r="D1318" s="176"/>
    </row>
    <row r="1319">
      <c r="A1319" s="176"/>
      <c r="D1319" s="176"/>
    </row>
    <row r="1320">
      <c r="A1320" s="176"/>
      <c r="D1320" s="176"/>
    </row>
    <row r="1321">
      <c r="A1321" s="176"/>
      <c r="D1321" s="176"/>
    </row>
    <row r="1322">
      <c r="A1322" s="176"/>
      <c r="D1322" s="176"/>
    </row>
    <row r="1323">
      <c r="A1323" s="176"/>
      <c r="D1323" s="176"/>
    </row>
    <row r="1324">
      <c r="A1324" s="176"/>
      <c r="D1324" s="176"/>
    </row>
    <row r="1325">
      <c r="A1325" s="176"/>
      <c r="D1325" s="176"/>
    </row>
    <row r="1326">
      <c r="A1326" s="176"/>
      <c r="D1326" s="176"/>
    </row>
    <row r="1327">
      <c r="A1327" s="176"/>
      <c r="D1327" s="176"/>
    </row>
    <row r="1328">
      <c r="A1328" s="176"/>
      <c r="D1328" s="176"/>
    </row>
    <row r="1329">
      <c r="A1329" s="176"/>
      <c r="D1329" s="176"/>
    </row>
    <row r="1330">
      <c r="A1330" s="176"/>
      <c r="D1330" s="176"/>
    </row>
    <row r="1331">
      <c r="A1331" s="176"/>
      <c r="D1331" s="176"/>
    </row>
    <row r="1332">
      <c r="A1332" s="176"/>
      <c r="D1332" s="176"/>
    </row>
    <row r="1333">
      <c r="A1333" s="176"/>
      <c r="D1333" s="176"/>
    </row>
    <row r="1334">
      <c r="A1334" s="176"/>
      <c r="D1334" s="176"/>
    </row>
    <row r="1335">
      <c r="A1335" s="176"/>
      <c r="D1335" s="176"/>
    </row>
    <row r="1336">
      <c r="A1336" s="176"/>
      <c r="D1336" s="176"/>
    </row>
    <row r="1337">
      <c r="A1337" s="176"/>
      <c r="D1337" s="176"/>
    </row>
    <row r="1338">
      <c r="A1338" s="176"/>
      <c r="D1338" s="176"/>
    </row>
    <row r="1339">
      <c r="A1339" s="176"/>
      <c r="D1339" s="176"/>
    </row>
    <row r="1340">
      <c r="A1340" s="176"/>
      <c r="D1340" s="176"/>
    </row>
    <row r="1341">
      <c r="A1341" s="176"/>
      <c r="D1341" s="176"/>
    </row>
    <row r="1342">
      <c r="A1342" s="176"/>
      <c r="D1342" s="176"/>
    </row>
    <row r="1343">
      <c r="A1343" s="176"/>
      <c r="D1343" s="176"/>
    </row>
    <row r="1344">
      <c r="A1344" s="176"/>
      <c r="D1344" s="176"/>
    </row>
    <row r="1345">
      <c r="A1345" s="176"/>
      <c r="D1345" s="176"/>
    </row>
    <row r="1346">
      <c r="A1346" s="176"/>
      <c r="D1346" s="176"/>
    </row>
    <row r="1347">
      <c r="A1347" s="176"/>
      <c r="D1347" s="176"/>
    </row>
    <row r="1348">
      <c r="A1348" s="176"/>
      <c r="D1348" s="176"/>
    </row>
    <row r="1349">
      <c r="A1349" s="176"/>
      <c r="D1349" s="176"/>
    </row>
    <row r="1350">
      <c r="A1350" s="176"/>
      <c r="D1350" s="176"/>
    </row>
    <row r="1351">
      <c r="A1351" s="176"/>
      <c r="D1351" s="176"/>
    </row>
    <row r="1352">
      <c r="A1352" s="176"/>
      <c r="D1352" s="176"/>
    </row>
    <row r="1353">
      <c r="A1353" s="176"/>
      <c r="D1353" s="176"/>
    </row>
    <row r="1354">
      <c r="A1354" s="176"/>
      <c r="D1354" s="176"/>
    </row>
    <row r="1355">
      <c r="A1355" s="176"/>
      <c r="D1355" s="176"/>
    </row>
    <row r="1356">
      <c r="A1356" s="176"/>
      <c r="D1356" s="176"/>
    </row>
    <row r="1357">
      <c r="A1357" s="176"/>
      <c r="D1357" s="176"/>
    </row>
    <row r="1358">
      <c r="A1358" s="176"/>
      <c r="D1358" s="176"/>
    </row>
    <row r="1359">
      <c r="A1359" s="176"/>
      <c r="D1359" s="176"/>
    </row>
    <row r="1360">
      <c r="A1360" s="176"/>
      <c r="D1360" s="176"/>
    </row>
    <row r="1361">
      <c r="A1361" s="176"/>
      <c r="D1361" s="176"/>
    </row>
    <row r="1362">
      <c r="A1362" s="176"/>
      <c r="D1362" s="176"/>
    </row>
    <row r="1363">
      <c r="A1363" s="176"/>
      <c r="D1363" s="176"/>
    </row>
    <row r="1364">
      <c r="A1364" s="176"/>
      <c r="D1364" s="176"/>
    </row>
    <row r="1365">
      <c r="A1365" s="176"/>
      <c r="D1365" s="176"/>
    </row>
    <row r="1366">
      <c r="A1366" s="176"/>
      <c r="D1366" s="176"/>
    </row>
    <row r="1367">
      <c r="A1367" s="176"/>
      <c r="D1367" s="176"/>
    </row>
    <row r="1368">
      <c r="A1368" s="176"/>
      <c r="D1368" s="176"/>
    </row>
    <row r="1369">
      <c r="A1369" s="176"/>
      <c r="D1369" s="176"/>
    </row>
    <row r="1370">
      <c r="A1370" s="176"/>
      <c r="D1370" s="176"/>
    </row>
    <row r="1371">
      <c r="A1371" s="176"/>
      <c r="D1371" s="176"/>
    </row>
    <row r="1372">
      <c r="A1372" s="176"/>
      <c r="D1372" s="176"/>
    </row>
    <row r="1373">
      <c r="A1373" s="176"/>
      <c r="D1373" s="176"/>
    </row>
    <row r="1374">
      <c r="A1374" s="176"/>
      <c r="D1374" s="176"/>
    </row>
    <row r="1375">
      <c r="A1375" s="176"/>
      <c r="D1375" s="176"/>
    </row>
    <row r="1376">
      <c r="A1376" s="176"/>
      <c r="D1376" s="176"/>
    </row>
    <row r="1377">
      <c r="A1377" s="176"/>
      <c r="D1377" s="176"/>
    </row>
    <row r="1378">
      <c r="A1378" s="176"/>
      <c r="D1378" s="176"/>
    </row>
    <row r="1379">
      <c r="A1379" s="176"/>
      <c r="D1379" s="176"/>
    </row>
    <row r="1380">
      <c r="A1380" s="176"/>
      <c r="D1380" s="176"/>
    </row>
    <row r="1381">
      <c r="A1381" s="176"/>
      <c r="D1381" s="176"/>
    </row>
    <row r="1382">
      <c r="A1382" s="176"/>
      <c r="D1382" s="176"/>
    </row>
    <row r="1383">
      <c r="A1383" s="176"/>
      <c r="D1383" s="176"/>
    </row>
    <row r="1384">
      <c r="A1384" s="176"/>
      <c r="D1384" s="176"/>
    </row>
    <row r="1385">
      <c r="A1385" s="176"/>
      <c r="D1385" s="176"/>
    </row>
    <row r="1386">
      <c r="A1386" s="176"/>
      <c r="D1386" s="176"/>
    </row>
    <row r="1387">
      <c r="A1387" s="176"/>
      <c r="D1387" s="176"/>
    </row>
    <row r="1388">
      <c r="A1388" s="176"/>
      <c r="D1388" s="176"/>
    </row>
    <row r="1389">
      <c r="A1389" s="176"/>
      <c r="D1389" s="176"/>
    </row>
    <row r="1390">
      <c r="A1390" s="176"/>
      <c r="D1390" s="176"/>
    </row>
    <row r="1391">
      <c r="A1391" s="176"/>
      <c r="D1391" s="176"/>
    </row>
    <row r="1392">
      <c r="A1392" s="176"/>
      <c r="D1392" s="176"/>
    </row>
    <row r="1393">
      <c r="A1393" s="176"/>
      <c r="D1393" s="176"/>
    </row>
    <row r="1394">
      <c r="A1394" s="176"/>
      <c r="D1394" s="176"/>
    </row>
    <row r="1395">
      <c r="A1395" s="176"/>
      <c r="D1395" s="176"/>
    </row>
    <row r="1396">
      <c r="A1396" s="176"/>
      <c r="D1396" s="176"/>
    </row>
    <row r="1397">
      <c r="A1397" s="176"/>
      <c r="D1397" s="176"/>
    </row>
    <row r="1398">
      <c r="A1398" s="176"/>
      <c r="D1398" s="176"/>
    </row>
    <row r="1399">
      <c r="A1399" s="176"/>
      <c r="D1399" s="176"/>
    </row>
    <row r="1400">
      <c r="A1400" s="176"/>
      <c r="D1400" s="176"/>
    </row>
    <row r="1401">
      <c r="A1401" s="176"/>
      <c r="D1401" s="176"/>
    </row>
    <row r="1402">
      <c r="A1402" s="176"/>
      <c r="D1402" s="176"/>
    </row>
    <row r="1403">
      <c r="A1403" s="176"/>
      <c r="D1403" s="176"/>
    </row>
    <row r="1404">
      <c r="A1404" s="176"/>
      <c r="D1404" s="176"/>
    </row>
    <row r="1405">
      <c r="A1405" s="176"/>
      <c r="D1405" s="176"/>
    </row>
    <row r="1406">
      <c r="A1406" s="176"/>
      <c r="D1406" s="176"/>
    </row>
    <row r="1407">
      <c r="A1407" s="176"/>
      <c r="D1407" s="176"/>
    </row>
    <row r="1408">
      <c r="A1408" s="176"/>
      <c r="D1408" s="176"/>
    </row>
    <row r="1409">
      <c r="A1409" s="176"/>
      <c r="D1409" s="176"/>
    </row>
    <row r="1410">
      <c r="A1410" s="176"/>
      <c r="D1410" s="176"/>
    </row>
    <row r="1411">
      <c r="A1411" s="176"/>
      <c r="D1411" s="176"/>
    </row>
    <row r="1412">
      <c r="A1412" s="176"/>
      <c r="D1412" s="176"/>
    </row>
    <row r="1413">
      <c r="A1413" s="176"/>
      <c r="D1413" s="176"/>
    </row>
    <row r="1414">
      <c r="A1414" s="176"/>
      <c r="D1414" s="176"/>
    </row>
    <row r="1415">
      <c r="A1415" s="176"/>
      <c r="D1415" s="176"/>
    </row>
    <row r="1416">
      <c r="A1416" s="176"/>
      <c r="D1416" s="176"/>
    </row>
    <row r="1417">
      <c r="A1417" s="176"/>
      <c r="D1417" s="176"/>
    </row>
    <row r="1418">
      <c r="A1418" s="176"/>
      <c r="D1418" s="176"/>
    </row>
    <row r="1419">
      <c r="A1419" s="176"/>
      <c r="D1419" s="176"/>
    </row>
    <row r="1420">
      <c r="A1420" s="176"/>
      <c r="D1420" s="176"/>
    </row>
    <row r="1421">
      <c r="A1421" s="176"/>
      <c r="D1421" s="176"/>
    </row>
    <row r="1422">
      <c r="A1422" s="176"/>
      <c r="D1422" s="176"/>
    </row>
    <row r="1423">
      <c r="A1423" s="176"/>
      <c r="D1423" s="176"/>
    </row>
    <row r="1424">
      <c r="A1424" s="176"/>
      <c r="D1424" s="176"/>
    </row>
    <row r="1425">
      <c r="A1425" s="176"/>
      <c r="D1425" s="176"/>
    </row>
    <row r="1426">
      <c r="A1426" s="176"/>
      <c r="D1426" s="176"/>
    </row>
    <row r="1427">
      <c r="A1427" s="176"/>
      <c r="D1427" s="176"/>
    </row>
    <row r="1428">
      <c r="A1428" s="176"/>
      <c r="D1428" s="176"/>
    </row>
    <row r="1429">
      <c r="A1429" s="176"/>
      <c r="D1429" s="176"/>
    </row>
    <row r="1430">
      <c r="A1430" s="176"/>
      <c r="D1430" s="176"/>
    </row>
    <row r="1431">
      <c r="A1431" s="176"/>
      <c r="D1431" s="176"/>
    </row>
    <row r="1432">
      <c r="A1432" s="176"/>
      <c r="D1432" s="176"/>
    </row>
    <row r="1433">
      <c r="A1433" s="176"/>
      <c r="D1433" s="176"/>
    </row>
    <row r="1434">
      <c r="A1434" s="176"/>
      <c r="D1434" s="176"/>
    </row>
    <row r="1435">
      <c r="A1435" s="176"/>
      <c r="D1435" s="176"/>
    </row>
    <row r="1436">
      <c r="A1436" s="176"/>
      <c r="D1436" s="176"/>
    </row>
    <row r="1437">
      <c r="A1437" s="176"/>
      <c r="D1437" s="176"/>
    </row>
    <row r="1438">
      <c r="A1438" s="176"/>
      <c r="D1438" s="176"/>
    </row>
    <row r="1439">
      <c r="A1439" s="176"/>
      <c r="D1439" s="176"/>
    </row>
    <row r="1440">
      <c r="A1440" s="176"/>
      <c r="D1440" s="176"/>
    </row>
    <row r="1441">
      <c r="A1441" s="176"/>
      <c r="D1441" s="176"/>
    </row>
    <row r="1442">
      <c r="A1442" s="176"/>
      <c r="D1442" s="176"/>
    </row>
    <row r="1443">
      <c r="A1443" s="176"/>
      <c r="D1443" s="176"/>
    </row>
    <row r="1444">
      <c r="A1444" s="176"/>
      <c r="D1444" s="176"/>
    </row>
    <row r="1445">
      <c r="A1445" s="176"/>
      <c r="D1445" s="176"/>
    </row>
    <row r="1446">
      <c r="A1446" s="176"/>
      <c r="D1446" s="176"/>
    </row>
    <row r="1447">
      <c r="A1447" s="176"/>
      <c r="D1447" s="176"/>
    </row>
    <row r="1448">
      <c r="A1448" s="176"/>
      <c r="D1448" s="176"/>
    </row>
    <row r="1449">
      <c r="A1449" s="176"/>
      <c r="D1449" s="176"/>
    </row>
    <row r="1450">
      <c r="A1450" s="176"/>
      <c r="D1450" s="176"/>
    </row>
    <row r="1451">
      <c r="A1451" s="176"/>
      <c r="D1451" s="176"/>
    </row>
    <row r="1452">
      <c r="A1452" s="176"/>
      <c r="D1452" s="176"/>
    </row>
    <row r="1453">
      <c r="A1453" s="176"/>
      <c r="D1453" s="176"/>
    </row>
    <row r="1454">
      <c r="A1454" s="176"/>
      <c r="D1454" s="176"/>
    </row>
    <row r="1455">
      <c r="A1455" s="176"/>
      <c r="D1455" s="176"/>
    </row>
    <row r="1456">
      <c r="A1456" s="176"/>
      <c r="D1456" s="176"/>
    </row>
    <row r="1457">
      <c r="A1457" s="176"/>
      <c r="D1457" s="176"/>
    </row>
    <row r="1458">
      <c r="A1458" s="176"/>
      <c r="D1458" s="176"/>
    </row>
    <row r="1459">
      <c r="A1459" s="176"/>
      <c r="D1459" s="176"/>
    </row>
    <row r="1460">
      <c r="A1460" s="176"/>
      <c r="D1460" s="176"/>
    </row>
    <row r="1461">
      <c r="A1461" s="176"/>
      <c r="D1461" s="176"/>
    </row>
    <row r="1462">
      <c r="A1462" s="176"/>
      <c r="D1462" s="176"/>
    </row>
    <row r="1463">
      <c r="A1463" s="176"/>
      <c r="D1463" s="176"/>
    </row>
    <row r="1464">
      <c r="A1464" s="176"/>
      <c r="D1464" s="176"/>
    </row>
    <row r="1465">
      <c r="A1465" s="176"/>
      <c r="D1465" s="176"/>
    </row>
    <row r="1466">
      <c r="A1466" s="176"/>
      <c r="D1466" s="176"/>
    </row>
    <row r="1467">
      <c r="A1467" s="176"/>
      <c r="D1467" s="176"/>
    </row>
    <row r="1468">
      <c r="A1468" s="176"/>
      <c r="D1468" s="176"/>
    </row>
    <row r="1469">
      <c r="A1469" s="176"/>
      <c r="D1469" s="176"/>
    </row>
    <row r="1470">
      <c r="A1470" s="176"/>
      <c r="D1470" s="176"/>
    </row>
    <row r="1471">
      <c r="A1471" s="176"/>
      <c r="D1471" s="176"/>
    </row>
    <row r="1472">
      <c r="A1472" s="176"/>
      <c r="D1472" s="176"/>
    </row>
    <row r="1473">
      <c r="A1473" s="176"/>
      <c r="D1473" s="176"/>
    </row>
    <row r="1474">
      <c r="A1474" s="176"/>
      <c r="D1474" s="176"/>
    </row>
    <row r="1475">
      <c r="A1475" s="176"/>
      <c r="D1475" s="176"/>
    </row>
    <row r="1476">
      <c r="A1476" s="176"/>
      <c r="D1476" s="176"/>
    </row>
    <row r="1477">
      <c r="A1477" s="176"/>
      <c r="D1477" s="176"/>
    </row>
    <row r="1478">
      <c r="A1478" s="176"/>
      <c r="D1478" s="176"/>
    </row>
    <row r="1479">
      <c r="A1479" s="176"/>
      <c r="D1479" s="176"/>
    </row>
    <row r="1480">
      <c r="A1480" s="176"/>
      <c r="D1480" s="176"/>
    </row>
    <row r="1481">
      <c r="A1481" s="176"/>
      <c r="D1481" s="176"/>
    </row>
    <row r="1482">
      <c r="A1482" s="176"/>
      <c r="D1482" s="176"/>
    </row>
    <row r="1483">
      <c r="A1483" s="176"/>
      <c r="D1483" s="176"/>
    </row>
    <row r="1484">
      <c r="A1484" s="176"/>
      <c r="D1484" s="176"/>
    </row>
    <row r="1485">
      <c r="A1485" s="176"/>
      <c r="D1485" s="176"/>
    </row>
    <row r="1486">
      <c r="A1486" s="176"/>
      <c r="D1486" s="176"/>
    </row>
    <row r="1487">
      <c r="A1487" s="176"/>
      <c r="D1487" s="176"/>
    </row>
    <row r="1488">
      <c r="A1488" s="176"/>
      <c r="D1488" s="176"/>
    </row>
    <row r="1489">
      <c r="A1489" s="176"/>
      <c r="D1489" s="176"/>
    </row>
    <row r="1490">
      <c r="A1490" s="176"/>
      <c r="D1490" s="176"/>
    </row>
    <row r="1491">
      <c r="A1491" s="176"/>
      <c r="D1491" s="176"/>
    </row>
    <row r="1492">
      <c r="A1492" s="176"/>
      <c r="D1492" s="176"/>
    </row>
    <row r="1493">
      <c r="A1493" s="176"/>
      <c r="D1493" s="176"/>
    </row>
    <row r="1494">
      <c r="A1494" s="176"/>
      <c r="D1494" s="176"/>
    </row>
    <row r="1495">
      <c r="A1495" s="176"/>
      <c r="D1495" s="176"/>
    </row>
    <row r="1496">
      <c r="A1496" s="176"/>
      <c r="D1496" s="176"/>
    </row>
    <row r="1497">
      <c r="A1497" s="176"/>
      <c r="D1497" s="176"/>
    </row>
    <row r="1498">
      <c r="A1498" s="176"/>
      <c r="D1498" s="176"/>
    </row>
    <row r="1499">
      <c r="A1499" s="176"/>
      <c r="D1499" s="176"/>
    </row>
    <row r="1500">
      <c r="A1500" s="176"/>
      <c r="D1500" s="176"/>
    </row>
    <row r="1501">
      <c r="A1501" s="176"/>
      <c r="D1501" s="176"/>
    </row>
    <row r="1502">
      <c r="A1502" s="176"/>
      <c r="D1502" s="176"/>
    </row>
    <row r="1503">
      <c r="A1503" s="176"/>
      <c r="D1503" s="176"/>
    </row>
    <row r="1504">
      <c r="A1504" s="176"/>
      <c r="D1504" s="176"/>
    </row>
    <row r="1505">
      <c r="A1505" s="176"/>
      <c r="D1505" s="176"/>
    </row>
    <row r="1506">
      <c r="A1506" s="176"/>
      <c r="D1506" s="176"/>
    </row>
    <row r="1507">
      <c r="A1507" s="176"/>
      <c r="D1507" s="176"/>
    </row>
    <row r="1508">
      <c r="A1508" s="176"/>
      <c r="D1508" s="176"/>
    </row>
    <row r="1509">
      <c r="A1509" s="176"/>
      <c r="D1509" s="176"/>
    </row>
    <row r="1510">
      <c r="A1510" s="176"/>
      <c r="D1510" s="176"/>
    </row>
    <row r="1511">
      <c r="A1511" s="176"/>
      <c r="D1511" s="176"/>
    </row>
    <row r="1512">
      <c r="A1512" s="176"/>
      <c r="D1512" s="176"/>
    </row>
    <row r="1513">
      <c r="A1513" s="176"/>
      <c r="D1513" s="176"/>
    </row>
    <row r="1514">
      <c r="A1514" s="176"/>
      <c r="D1514" s="176"/>
    </row>
    <row r="1515">
      <c r="A1515" s="176"/>
      <c r="D1515" s="176"/>
    </row>
    <row r="1516">
      <c r="A1516" s="176"/>
      <c r="D1516" s="176"/>
    </row>
    <row r="1517">
      <c r="A1517" s="176"/>
      <c r="D1517" s="176"/>
    </row>
    <row r="1518">
      <c r="A1518" s="176"/>
      <c r="D1518" s="176"/>
    </row>
    <row r="1519">
      <c r="A1519" s="176"/>
      <c r="D1519" s="176"/>
    </row>
    <row r="1520">
      <c r="A1520" s="176"/>
      <c r="D1520" s="176"/>
    </row>
    <row r="1521">
      <c r="A1521" s="176"/>
      <c r="D1521" s="176"/>
    </row>
    <row r="1522">
      <c r="A1522" s="176"/>
      <c r="D1522" s="176"/>
    </row>
    <row r="1523">
      <c r="A1523" s="176"/>
      <c r="D1523" s="176"/>
    </row>
    <row r="1524">
      <c r="A1524" s="176"/>
      <c r="D1524" s="176"/>
    </row>
    <row r="1525">
      <c r="A1525" s="176"/>
      <c r="D1525" s="176"/>
    </row>
    <row r="1526">
      <c r="A1526" s="176"/>
      <c r="D1526" s="176"/>
    </row>
    <row r="1527">
      <c r="A1527" s="176"/>
      <c r="D1527" s="176"/>
    </row>
    <row r="1528">
      <c r="A1528" s="176"/>
      <c r="D1528" s="176"/>
    </row>
    <row r="1529">
      <c r="A1529" s="176"/>
      <c r="D1529" s="176"/>
    </row>
    <row r="1530">
      <c r="A1530" s="176"/>
      <c r="D1530" s="176"/>
    </row>
    <row r="1531">
      <c r="A1531" s="176"/>
      <c r="D1531" s="176"/>
    </row>
    <row r="1532">
      <c r="A1532" s="176"/>
      <c r="D1532" s="176"/>
    </row>
    <row r="1533">
      <c r="A1533" s="176"/>
      <c r="D1533" s="176"/>
    </row>
    <row r="1534">
      <c r="A1534" s="176"/>
      <c r="D1534" s="176"/>
    </row>
    <row r="1535">
      <c r="A1535" s="176"/>
      <c r="D1535" s="176"/>
    </row>
    <row r="1536">
      <c r="A1536" s="176"/>
      <c r="D1536" s="176"/>
    </row>
    <row r="1537">
      <c r="A1537" s="176"/>
      <c r="D1537" s="176"/>
    </row>
    <row r="1538">
      <c r="A1538" s="176"/>
      <c r="D1538" s="176"/>
    </row>
    <row r="1539">
      <c r="A1539" s="176"/>
      <c r="D1539" s="176"/>
    </row>
    <row r="1540">
      <c r="A1540" s="176"/>
      <c r="D1540" s="176"/>
    </row>
    <row r="1541">
      <c r="A1541" s="176"/>
      <c r="D1541" s="176"/>
    </row>
    <row r="1542">
      <c r="A1542" s="176"/>
      <c r="D1542" s="176"/>
    </row>
    <row r="1543">
      <c r="A1543" s="176"/>
      <c r="D1543" s="176"/>
    </row>
    <row r="1544">
      <c r="A1544" s="176"/>
      <c r="D1544" s="176"/>
    </row>
    <row r="1545">
      <c r="A1545" s="176"/>
      <c r="D1545" s="176"/>
    </row>
    <row r="1546">
      <c r="A1546" s="176"/>
      <c r="D1546" s="176"/>
    </row>
    <row r="1547">
      <c r="A1547" s="176"/>
      <c r="D1547" s="176"/>
    </row>
    <row r="1548">
      <c r="A1548" s="176"/>
      <c r="D1548" s="176"/>
    </row>
    <row r="1549">
      <c r="A1549" s="176"/>
      <c r="D1549" s="176"/>
    </row>
    <row r="1550">
      <c r="A1550" s="176"/>
      <c r="D1550" s="176"/>
    </row>
    <row r="1551">
      <c r="A1551" s="176"/>
      <c r="D1551" s="176"/>
    </row>
    <row r="1552">
      <c r="A1552" s="176"/>
      <c r="D1552" s="176"/>
    </row>
    <row r="1553">
      <c r="A1553" s="176"/>
      <c r="D1553" s="176"/>
    </row>
    <row r="1554">
      <c r="A1554" s="176"/>
      <c r="D1554" s="176"/>
    </row>
    <row r="1555">
      <c r="A1555" s="176"/>
      <c r="D1555" s="176"/>
    </row>
    <row r="1556">
      <c r="A1556" s="176"/>
      <c r="D1556" s="176"/>
    </row>
    <row r="1557">
      <c r="A1557" s="176"/>
      <c r="D1557" s="176"/>
    </row>
    <row r="1558">
      <c r="A1558" s="176"/>
      <c r="D1558" s="176"/>
    </row>
    <row r="1559">
      <c r="A1559" s="176"/>
      <c r="D1559" s="176"/>
    </row>
    <row r="1560">
      <c r="A1560" s="176"/>
      <c r="D1560" s="176"/>
    </row>
    <row r="1561">
      <c r="A1561" s="176"/>
      <c r="D1561" s="176"/>
    </row>
    <row r="1562">
      <c r="A1562" s="176"/>
      <c r="D1562" s="176"/>
    </row>
    <row r="1563">
      <c r="A1563" s="176"/>
      <c r="D1563" s="176"/>
    </row>
    <row r="1564">
      <c r="A1564" s="176"/>
      <c r="D1564" s="176"/>
    </row>
    <row r="1565">
      <c r="A1565" s="176"/>
      <c r="D1565" s="176"/>
    </row>
    <row r="1566">
      <c r="A1566" s="176"/>
      <c r="D1566" s="176"/>
    </row>
    <row r="1567">
      <c r="A1567" s="176"/>
      <c r="D1567" s="176"/>
    </row>
    <row r="1568">
      <c r="A1568" s="176"/>
      <c r="D1568" s="176"/>
    </row>
    <row r="1569">
      <c r="A1569" s="176"/>
      <c r="D1569" s="176"/>
    </row>
    <row r="1570">
      <c r="A1570" s="176"/>
      <c r="D1570" s="176"/>
    </row>
    <row r="1571">
      <c r="A1571" s="176"/>
      <c r="D1571" s="176"/>
    </row>
    <row r="1572">
      <c r="A1572" s="176"/>
      <c r="D1572" s="176"/>
    </row>
    <row r="1573">
      <c r="A1573" s="176"/>
      <c r="D1573" s="176"/>
    </row>
    <row r="1574">
      <c r="A1574" s="176"/>
      <c r="D1574" s="176"/>
    </row>
    <row r="1575">
      <c r="A1575" s="176"/>
      <c r="D1575" s="176"/>
    </row>
    <row r="1576">
      <c r="A1576" s="176"/>
      <c r="D1576" s="176"/>
    </row>
    <row r="1577">
      <c r="A1577" s="176"/>
      <c r="D1577" s="176"/>
    </row>
    <row r="1578">
      <c r="A1578" s="176"/>
      <c r="D1578" s="176"/>
    </row>
    <row r="1579">
      <c r="A1579" s="176"/>
      <c r="D1579" s="176"/>
    </row>
    <row r="1580">
      <c r="A1580" s="176"/>
      <c r="D1580" s="176"/>
    </row>
    <row r="1581">
      <c r="A1581" s="176"/>
      <c r="D1581" s="176"/>
    </row>
    <row r="1582">
      <c r="A1582" s="176"/>
      <c r="D1582" s="176"/>
    </row>
    <row r="1583">
      <c r="A1583" s="176"/>
      <c r="D1583" s="176"/>
    </row>
    <row r="1584">
      <c r="A1584" s="176"/>
      <c r="D1584" s="176"/>
    </row>
    <row r="1585">
      <c r="A1585" s="176"/>
      <c r="D1585" s="176"/>
    </row>
    <row r="1586">
      <c r="A1586" s="176"/>
      <c r="D1586" s="176"/>
    </row>
    <row r="1587">
      <c r="A1587" s="176"/>
      <c r="D1587" s="176"/>
    </row>
    <row r="1588">
      <c r="A1588" s="176"/>
      <c r="D1588" s="176"/>
    </row>
    <row r="1589">
      <c r="A1589" s="176"/>
      <c r="D1589" s="176"/>
    </row>
    <row r="1590">
      <c r="A1590" s="176"/>
      <c r="D1590" s="176"/>
    </row>
    <row r="1591">
      <c r="A1591" s="176"/>
      <c r="D1591" s="176"/>
    </row>
    <row r="1592">
      <c r="A1592" s="176"/>
      <c r="D1592" s="176"/>
    </row>
    <row r="1593">
      <c r="A1593" s="176"/>
      <c r="D1593" s="176"/>
    </row>
    <row r="1594">
      <c r="A1594" s="176"/>
      <c r="D1594" s="176"/>
    </row>
    <row r="1595">
      <c r="A1595" s="176"/>
      <c r="D1595" s="176"/>
    </row>
    <row r="1596">
      <c r="A1596" s="176"/>
      <c r="D1596" s="176"/>
    </row>
    <row r="1597">
      <c r="A1597" s="176"/>
      <c r="D1597" s="176"/>
    </row>
    <row r="1598">
      <c r="A1598" s="176"/>
      <c r="D1598" s="176"/>
    </row>
    <row r="1599">
      <c r="A1599" s="176"/>
      <c r="D1599" s="176"/>
    </row>
    <row r="1600">
      <c r="A1600" s="176"/>
      <c r="D1600" s="176"/>
    </row>
    <row r="1601">
      <c r="A1601" s="176"/>
      <c r="D1601" s="176"/>
    </row>
    <row r="1602">
      <c r="A1602" s="176"/>
      <c r="D1602" s="176"/>
    </row>
    <row r="1603">
      <c r="A1603" s="176"/>
      <c r="D1603" s="176"/>
    </row>
    <row r="1604">
      <c r="A1604" s="176"/>
      <c r="D1604" s="176"/>
    </row>
    <row r="1605">
      <c r="A1605" s="176"/>
      <c r="D1605" s="176"/>
    </row>
    <row r="1606">
      <c r="A1606" s="176"/>
      <c r="D1606" s="176"/>
    </row>
    <row r="1607">
      <c r="A1607" s="176"/>
      <c r="D1607" s="176"/>
    </row>
    <row r="1608">
      <c r="A1608" s="176"/>
      <c r="D1608" s="176"/>
    </row>
    <row r="1609">
      <c r="A1609" s="176"/>
      <c r="D1609" s="176"/>
    </row>
    <row r="1610">
      <c r="A1610" s="176"/>
      <c r="D1610" s="176"/>
    </row>
    <row r="1611">
      <c r="A1611" s="176"/>
      <c r="D1611" s="176"/>
    </row>
    <row r="1612">
      <c r="A1612" s="176"/>
      <c r="D1612" s="176"/>
    </row>
    <row r="1613">
      <c r="A1613" s="176"/>
      <c r="D1613" s="176"/>
    </row>
    <row r="1614">
      <c r="A1614" s="176"/>
      <c r="D1614" s="176"/>
    </row>
    <row r="1615">
      <c r="A1615" s="176"/>
      <c r="D1615" s="176"/>
    </row>
    <row r="1616">
      <c r="A1616" s="176"/>
      <c r="D1616" s="176"/>
    </row>
    <row r="1617">
      <c r="A1617" s="176"/>
      <c r="D1617" s="176"/>
    </row>
    <row r="1618">
      <c r="A1618" s="176"/>
      <c r="D1618" s="176"/>
    </row>
    <row r="1619">
      <c r="A1619" s="176"/>
      <c r="D1619" s="176"/>
    </row>
    <row r="1620">
      <c r="A1620" s="176"/>
      <c r="D1620" s="176"/>
    </row>
    <row r="1621">
      <c r="A1621" s="176"/>
      <c r="D1621" s="176"/>
    </row>
    <row r="1622">
      <c r="A1622" s="176"/>
      <c r="D1622" s="176"/>
    </row>
    <row r="1623">
      <c r="A1623" s="176"/>
      <c r="D1623" s="176"/>
    </row>
    <row r="1624">
      <c r="A1624" s="176"/>
      <c r="D1624" s="176"/>
    </row>
    <row r="1625">
      <c r="A1625" s="176"/>
      <c r="D1625" s="176"/>
    </row>
    <row r="1626">
      <c r="A1626" s="176"/>
      <c r="D1626" s="176"/>
    </row>
    <row r="1627">
      <c r="A1627" s="176"/>
      <c r="D1627" s="176"/>
    </row>
    <row r="1628">
      <c r="A1628" s="176"/>
      <c r="D1628" s="176"/>
    </row>
    <row r="1629">
      <c r="A1629" s="176"/>
      <c r="D1629" s="176"/>
    </row>
    <row r="1630">
      <c r="A1630" s="176"/>
      <c r="D1630" s="176"/>
    </row>
    <row r="1631">
      <c r="A1631" s="176"/>
      <c r="D1631" s="176"/>
    </row>
    <row r="1632">
      <c r="A1632" s="176"/>
      <c r="D1632" s="176"/>
    </row>
    <row r="1633">
      <c r="A1633" s="176"/>
      <c r="D1633" s="176"/>
    </row>
    <row r="1634">
      <c r="A1634" s="176"/>
      <c r="D1634" s="176"/>
    </row>
    <row r="1635">
      <c r="A1635" s="176"/>
      <c r="D1635" s="176"/>
    </row>
    <row r="1636">
      <c r="A1636" s="176"/>
      <c r="D1636" s="176"/>
    </row>
    <row r="1637">
      <c r="A1637" s="176"/>
      <c r="D1637" s="176"/>
    </row>
    <row r="1638">
      <c r="A1638" s="176"/>
      <c r="D1638" s="176"/>
    </row>
    <row r="1639">
      <c r="A1639" s="176"/>
      <c r="D1639" s="176"/>
    </row>
    <row r="1640">
      <c r="A1640" s="176"/>
      <c r="D1640" s="176"/>
    </row>
    <row r="1641">
      <c r="A1641" s="176"/>
      <c r="D1641" s="176"/>
    </row>
    <row r="1642">
      <c r="A1642" s="176"/>
      <c r="D1642" s="176"/>
    </row>
    <row r="1643">
      <c r="A1643" s="176"/>
      <c r="D1643" s="176"/>
    </row>
    <row r="1644">
      <c r="A1644" s="176"/>
      <c r="D1644" s="176"/>
    </row>
    <row r="1645">
      <c r="A1645" s="176"/>
      <c r="D1645" s="176"/>
    </row>
    <row r="1646">
      <c r="A1646" s="176"/>
      <c r="D1646" s="176"/>
    </row>
    <row r="1647">
      <c r="A1647" s="176"/>
      <c r="D1647" s="176"/>
    </row>
    <row r="1648">
      <c r="A1648" s="176"/>
      <c r="D1648" s="176"/>
    </row>
    <row r="1649">
      <c r="A1649" s="176"/>
      <c r="D1649" s="176"/>
    </row>
    <row r="1650">
      <c r="A1650" s="176"/>
      <c r="D1650" s="176"/>
    </row>
    <row r="1651">
      <c r="A1651" s="176"/>
      <c r="D1651" s="176"/>
    </row>
    <row r="1652">
      <c r="A1652" s="176"/>
      <c r="D1652" s="176"/>
    </row>
    <row r="1653">
      <c r="A1653" s="176"/>
      <c r="D1653" s="176"/>
    </row>
    <row r="1654">
      <c r="A1654" s="176"/>
      <c r="D1654" s="176"/>
    </row>
    <row r="1655">
      <c r="A1655" s="176"/>
      <c r="D1655" s="176"/>
    </row>
    <row r="1656">
      <c r="A1656" s="176"/>
      <c r="D1656" s="176"/>
    </row>
    <row r="1657">
      <c r="A1657" s="176"/>
      <c r="D1657" s="176"/>
    </row>
    <row r="1658">
      <c r="A1658" s="176"/>
      <c r="D1658" s="176"/>
    </row>
    <row r="1659">
      <c r="A1659" s="176"/>
      <c r="D1659" s="176"/>
    </row>
    <row r="1660">
      <c r="A1660" s="176"/>
      <c r="D1660" s="176"/>
    </row>
    <row r="1661">
      <c r="A1661" s="176"/>
      <c r="D1661" s="176"/>
    </row>
    <row r="1662">
      <c r="A1662" s="176"/>
      <c r="D1662" s="176"/>
    </row>
    <row r="1663">
      <c r="A1663" s="176"/>
      <c r="D1663" s="176"/>
    </row>
    <row r="1664">
      <c r="A1664" s="176"/>
      <c r="D1664" s="176"/>
    </row>
    <row r="1665">
      <c r="A1665" s="176"/>
      <c r="D1665" s="176"/>
    </row>
    <row r="1666">
      <c r="A1666" s="176"/>
      <c r="D1666" s="176"/>
    </row>
    <row r="1667">
      <c r="A1667" s="176"/>
      <c r="D1667" s="176"/>
    </row>
    <row r="1668">
      <c r="A1668" s="176"/>
      <c r="D1668" s="176"/>
    </row>
    <row r="1669">
      <c r="A1669" s="176"/>
      <c r="D1669" s="176"/>
    </row>
    <row r="1670">
      <c r="A1670" s="176"/>
      <c r="D1670" s="176"/>
    </row>
    <row r="1671">
      <c r="A1671" s="176"/>
      <c r="D1671" s="176"/>
    </row>
    <row r="1672">
      <c r="A1672" s="176"/>
      <c r="D1672" s="176"/>
    </row>
    <row r="1673">
      <c r="A1673" s="176"/>
      <c r="D1673" s="176"/>
    </row>
    <row r="1674">
      <c r="A1674" s="176"/>
      <c r="D1674" s="176"/>
    </row>
    <row r="1675">
      <c r="A1675" s="176"/>
      <c r="D1675" s="176"/>
    </row>
    <row r="1676">
      <c r="A1676" s="176"/>
      <c r="D1676" s="176"/>
    </row>
    <row r="1677">
      <c r="A1677" s="176"/>
      <c r="D1677" s="176"/>
    </row>
    <row r="1678">
      <c r="A1678" s="176"/>
      <c r="D1678" s="176"/>
    </row>
    <row r="1679">
      <c r="A1679" s="176"/>
      <c r="D1679" s="176"/>
    </row>
    <row r="1680">
      <c r="A1680" s="176"/>
      <c r="D1680" s="176"/>
    </row>
    <row r="1681">
      <c r="A1681" s="176"/>
      <c r="D1681" s="176"/>
    </row>
    <row r="1682">
      <c r="A1682" s="176"/>
      <c r="D1682" s="176"/>
    </row>
    <row r="1683">
      <c r="A1683" s="176"/>
      <c r="D1683" s="176"/>
    </row>
    <row r="1684">
      <c r="A1684" s="176"/>
      <c r="D1684" s="176"/>
    </row>
    <row r="1685">
      <c r="A1685" s="176"/>
      <c r="D1685" s="176"/>
    </row>
    <row r="1686">
      <c r="A1686" s="176"/>
      <c r="D1686" s="176"/>
    </row>
    <row r="1687">
      <c r="A1687" s="176"/>
      <c r="D1687" s="176"/>
    </row>
    <row r="1688">
      <c r="A1688" s="176"/>
      <c r="D1688" s="176"/>
    </row>
    <row r="1689">
      <c r="A1689" s="176"/>
      <c r="D1689" s="176"/>
    </row>
    <row r="1690">
      <c r="A1690" s="176"/>
      <c r="D1690" s="176"/>
    </row>
    <row r="1691">
      <c r="A1691" s="176"/>
      <c r="D1691" s="176"/>
    </row>
    <row r="1692">
      <c r="A1692" s="176"/>
      <c r="D1692" s="176"/>
    </row>
    <row r="1693">
      <c r="A1693" s="176"/>
      <c r="D1693" s="176"/>
    </row>
    <row r="1694">
      <c r="A1694" s="176"/>
      <c r="D1694" s="176"/>
    </row>
    <row r="1695">
      <c r="A1695" s="176"/>
      <c r="D1695" s="176"/>
    </row>
    <row r="1696">
      <c r="A1696" s="176"/>
      <c r="D1696" s="176"/>
    </row>
    <row r="1697">
      <c r="A1697" s="176"/>
      <c r="D1697" s="176"/>
    </row>
    <row r="1698">
      <c r="A1698" s="176"/>
      <c r="D1698" s="176"/>
    </row>
    <row r="1699">
      <c r="A1699" s="176"/>
      <c r="D1699" s="176"/>
    </row>
    <row r="1700">
      <c r="A1700" s="176"/>
      <c r="D1700" s="176"/>
    </row>
    <row r="1701">
      <c r="A1701" s="176"/>
      <c r="D1701" s="176"/>
    </row>
    <row r="1702">
      <c r="A1702" s="176"/>
      <c r="D1702" s="176"/>
    </row>
    <row r="1703">
      <c r="A1703" s="176"/>
      <c r="D1703" s="176"/>
    </row>
    <row r="1704">
      <c r="A1704" s="176"/>
      <c r="D1704" s="176"/>
    </row>
    <row r="1705">
      <c r="A1705" s="176"/>
      <c r="D1705" s="176"/>
    </row>
    <row r="1706">
      <c r="A1706" s="176"/>
      <c r="D1706" s="176"/>
    </row>
    <row r="1707">
      <c r="A1707" s="176"/>
      <c r="D1707" s="176"/>
    </row>
    <row r="1708">
      <c r="A1708" s="176"/>
      <c r="D1708" s="176"/>
    </row>
    <row r="1709">
      <c r="A1709" s="176"/>
      <c r="D1709" s="176"/>
    </row>
    <row r="1710">
      <c r="A1710" s="176"/>
      <c r="D1710" s="176"/>
    </row>
    <row r="1711">
      <c r="A1711" s="176"/>
      <c r="D1711" s="176"/>
    </row>
    <row r="1712">
      <c r="A1712" s="176"/>
      <c r="D1712" s="176"/>
    </row>
    <row r="1713">
      <c r="A1713" s="176"/>
      <c r="D1713" s="176"/>
    </row>
    <row r="1714">
      <c r="A1714" s="176"/>
      <c r="D1714" s="176"/>
    </row>
    <row r="1715">
      <c r="A1715" s="176"/>
      <c r="D1715" s="176"/>
    </row>
    <row r="1716">
      <c r="A1716" s="176"/>
      <c r="D1716" s="176"/>
    </row>
    <row r="1717">
      <c r="A1717" s="176"/>
      <c r="D1717" s="176"/>
    </row>
    <row r="1718">
      <c r="A1718" s="176"/>
      <c r="D1718" s="176"/>
    </row>
    <row r="1719">
      <c r="A1719" s="176"/>
      <c r="D1719" s="176"/>
    </row>
    <row r="1720">
      <c r="A1720" s="176"/>
      <c r="D1720" s="176"/>
    </row>
    <row r="1721">
      <c r="A1721" s="176"/>
      <c r="D1721" s="176"/>
    </row>
    <row r="1722">
      <c r="A1722" s="176"/>
      <c r="D1722" s="176"/>
    </row>
    <row r="1723">
      <c r="A1723" s="176"/>
      <c r="D1723" s="176"/>
    </row>
    <row r="1724">
      <c r="A1724" s="176"/>
      <c r="D1724" s="176"/>
    </row>
    <row r="1725">
      <c r="A1725" s="176"/>
      <c r="D1725" s="176"/>
    </row>
    <row r="1726">
      <c r="A1726" s="176"/>
      <c r="D1726" s="176"/>
    </row>
    <row r="1727">
      <c r="A1727" s="176"/>
      <c r="D1727" s="176"/>
    </row>
    <row r="1728">
      <c r="A1728" s="176"/>
      <c r="D1728" s="176"/>
    </row>
    <row r="1729">
      <c r="A1729" s="176"/>
      <c r="D1729" s="176"/>
    </row>
    <row r="1730">
      <c r="A1730" s="176"/>
      <c r="D1730" s="176"/>
    </row>
    <row r="1731">
      <c r="A1731" s="176"/>
      <c r="D1731" s="176"/>
    </row>
    <row r="1732">
      <c r="A1732" s="176"/>
      <c r="D1732" s="176"/>
    </row>
    <row r="1733">
      <c r="A1733" s="176"/>
      <c r="D1733" s="176"/>
    </row>
    <row r="1734">
      <c r="A1734" s="176"/>
      <c r="D1734" s="176"/>
    </row>
    <row r="1735">
      <c r="A1735" s="176"/>
      <c r="D1735" s="176"/>
    </row>
    <row r="1736">
      <c r="A1736" s="176"/>
      <c r="D1736" s="176"/>
    </row>
    <row r="1737">
      <c r="A1737" s="176"/>
      <c r="D1737" s="176"/>
    </row>
    <row r="1738">
      <c r="A1738" s="176"/>
      <c r="D1738" s="176"/>
    </row>
    <row r="1739">
      <c r="A1739" s="176"/>
      <c r="D1739" s="176"/>
    </row>
    <row r="1740">
      <c r="A1740" s="176"/>
      <c r="D1740" s="176"/>
    </row>
    <row r="1741">
      <c r="A1741" s="176"/>
      <c r="D1741" s="176"/>
    </row>
    <row r="1742">
      <c r="A1742" s="176"/>
      <c r="D1742" s="176"/>
    </row>
    <row r="1743">
      <c r="A1743" s="176"/>
      <c r="D1743" s="176"/>
    </row>
    <row r="1744">
      <c r="A1744" s="176"/>
      <c r="D1744" s="176"/>
    </row>
    <row r="1745">
      <c r="A1745" s="176"/>
      <c r="D1745" s="176"/>
    </row>
    <row r="1746">
      <c r="A1746" s="176"/>
      <c r="D1746" s="176"/>
    </row>
    <row r="1747">
      <c r="A1747" s="176"/>
      <c r="D1747" s="176"/>
    </row>
    <row r="1748">
      <c r="A1748" s="176"/>
      <c r="D1748" s="176"/>
    </row>
    <row r="1749">
      <c r="A1749" s="176"/>
      <c r="D1749" s="176"/>
    </row>
    <row r="1750">
      <c r="A1750" s="176"/>
      <c r="D1750" s="176"/>
    </row>
    <row r="1751">
      <c r="A1751" s="176"/>
      <c r="D1751" s="176"/>
    </row>
    <row r="1752">
      <c r="A1752" s="176"/>
      <c r="D1752" s="176"/>
    </row>
    <row r="1753">
      <c r="A1753" s="176"/>
      <c r="D1753" s="176"/>
    </row>
    <row r="1754">
      <c r="A1754" s="176"/>
      <c r="D1754" s="176"/>
    </row>
    <row r="1755">
      <c r="A1755" s="176"/>
      <c r="D1755" s="176"/>
    </row>
    <row r="1756">
      <c r="A1756" s="176"/>
      <c r="D1756" s="176"/>
    </row>
    <row r="1757">
      <c r="A1757" s="176"/>
      <c r="D1757" s="176"/>
    </row>
    <row r="1758">
      <c r="A1758" s="176"/>
      <c r="D1758" s="176"/>
    </row>
    <row r="1759">
      <c r="A1759" s="176"/>
      <c r="D1759" s="176"/>
    </row>
    <row r="1760">
      <c r="A1760" s="176"/>
      <c r="D1760" s="176"/>
    </row>
    <row r="1761">
      <c r="A1761" s="176"/>
      <c r="D1761" s="176"/>
    </row>
    <row r="1762">
      <c r="A1762" s="176"/>
      <c r="D1762" s="176"/>
    </row>
    <row r="1763">
      <c r="A1763" s="176"/>
      <c r="D1763" s="176"/>
    </row>
    <row r="1764">
      <c r="A1764" s="176"/>
      <c r="D1764" s="176"/>
    </row>
    <row r="1765">
      <c r="A1765" s="176"/>
      <c r="D1765" s="176"/>
    </row>
    <row r="1766">
      <c r="A1766" s="176"/>
      <c r="D1766" s="176"/>
    </row>
    <row r="1767">
      <c r="A1767" s="176"/>
      <c r="D1767" s="176"/>
    </row>
    <row r="1768">
      <c r="A1768" s="176"/>
      <c r="D1768" s="176"/>
    </row>
    <row r="1769">
      <c r="A1769" s="176"/>
      <c r="D1769" s="176"/>
    </row>
    <row r="1770">
      <c r="A1770" s="176"/>
      <c r="D1770" s="176"/>
    </row>
    <row r="1771">
      <c r="A1771" s="176"/>
      <c r="D1771" s="176"/>
    </row>
    <row r="1772">
      <c r="A1772" s="176"/>
      <c r="D1772" s="176"/>
    </row>
    <row r="1773">
      <c r="A1773" s="176"/>
      <c r="D1773" s="176"/>
    </row>
    <row r="1774">
      <c r="A1774" s="176"/>
      <c r="D1774" s="176"/>
    </row>
    <row r="1775">
      <c r="A1775" s="176"/>
      <c r="D1775" s="176"/>
    </row>
    <row r="1776">
      <c r="A1776" s="176"/>
      <c r="D1776" s="176"/>
    </row>
    <row r="1777">
      <c r="A1777" s="176"/>
      <c r="D1777" s="176"/>
    </row>
    <row r="1778">
      <c r="A1778" s="176"/>
      <c r="D1778" s="176"/>
    </row>
    <row r="1779">
      <c r="A1779" s="176"/>
      <c r="D1779" s="176"/>
    </row>
    <row r="1780">
      <c r="A1780" s="176"/>
      <c r="D1780" s="176"/>
    </row>
    <row r="1781">
      <c r="A1781" s="176"/>
      <c r="D1781" s="176"/>
    </row>
    <row r="1782">
      <c r="A1782" s="176"/>
      <c r="D1782" s="176"/>
    </row>
    <row r="1783">
      <c r="A1783" s="176"/>
      <c r="D1783" s="176"/>
    </row>
    <row r="1784">
      <c r="A1784" s="176"/>
      <c r="D1784" s="176"/>
    </row>
    <row r="1785">
      <c r="A1785" s="176"/>
      <c r="D1785" s="176"/>
    </row>
    <row r="1786">
      <c r="A1786" s="176"/>
      <c r="D1786" s="176"/>
    </row>
    <row r="1787">
      <c r="A1787" s="176"/>
      <c r="D1787" s="176"/>
    </row>
    <row r="1788">
      <c r="A1788" s="176"/>
      <c r="D1788" s="176"/>
    </row>
    <row r="1789">
      <c r="A1789" s="176"/>
      <c r="D1789" s="176"/>
    </row>
    <row r="1790">
      <c r="A1790" s="176"/>
      <c r="D1790" s="176"/>
    </row>
    <row r="1791">
      <c r="A1791" s="176"/>
      <c r="D1791" s="176"/>
    </row>
    <row r="1792">
      <c r="A1792" s="176"/>
      <c r="D1792" s="176"/>
    </row>
    <row r="1793">
      <c r="A1793" s="176"/>
      <c r="D1793" s="176"/>
    </row>
    <row r="1794">
      <c r="A1794" s="176"/>
      <c r="D1794" s="176"/>
    </row>
    <row r="1795">
      <c r="A1795" s="176"/>
      <c r="D1795" s="176"/>
    </row>
    <row r="1796">
      <c r="A1796" s="176"/>
      <c r="D1796" s="176"/>
    </row>
    <row r="1797">
      <c r="A1797" s="176"/>
      <c r="D1797" s="176"/>
    </row>
    <row r="1798">
      <c r="A1798" s="176"/>
      <c r="D1798" s="176"/>
    </row>
    <row r="1799">
      <c r="A1799" s="176"/>
      <c r="D1799" s="176"/>
    </row>
    <row r="1800">
      <c r="A1800" s="176"/>
      <c r="D1800" s="176"/>
    </row>
    <row r="1801">
      <c r="A1801" s="176"/>
      <c r="D1801" s="176"/>
    </row>
    <row r="1802">
      <c r="A1802" s="176"/>
      <c r="D1802" s="176"/>
    </row>
    <row r="1803">
      <c r="A1803" s="176"/>
      <c r="D1803" s="176"/>
    </row>
    <row r="1804">
      <c r="A1804" s="176"/>
      <c r="D1804" s="176"/>
    </row>
    <row r="1805">
      <c r="A1805" s="176"/>
      <c r="D1805" s="176"/>
    </row>
    <row r="1806">
      <c r="A1806" s="176"/>
      <c r="D1806" s="176"/>
    </row>
    <row r="1807">
      <c r="A1807" s="176"/>
      <c r="D1807" s="176"/>
    </row>
    <row r="1808">
      <c r="A1808" s="176"/>
      <c r="D1808" s="176"/>
    </row>
    <row r="1809">
      <c r="A1809" s="176"/>
      <c r="D1809" s="176"/>
    </row>
    <row r="1810">
      <c r="A1810" s="176"/>
      <c r="D1810" s="176"/>
    </row>
    <row r="1811">
      <c r="A1811" s="176"/>
      <c r="D1811" s="176"/>
    </row>
    <row r="1812">
      <c r="A1812" s="176"/>
      <c r="D1812" s="176"/>
    </row>
    <row r="1813">
      <c r="A1813" s="176"/>
      <c r="D1813" s="176"/>
    </row>
    <row r="1814">
      <c r="A1814" s="176"/>
      <c r="D1814" s="176"/>
    </row>
    <row r="1815">
      <c r="A1815" s="176"/>
      <c r="D1815" s="176"/>
    </row>
    <row r="1816">
      <c r="A1816" s="176"/>
      <c r="D1816" s="176"/>
    </row>
    <row r="1817">
      <c r="A1817" s="176"/>
      <c r="D1817" s="176"/>
    </row>
    <row r="1818">
      <c r="A1818" s="176"/>
      <c r="D1818" s="176"/>
    </row>
    <row r="1819">
      <c r="A1819" s="176"/>
      <c r="D1819" s="176"/>
    </row>
    <row r="1820">
      <c r="A1820" s="176"/>
      <c r="D1820" s="176"/>
    </row>
    <row r="1821">
      <c r="A1821" s="176"/>
      <c r="D1821" s="176"/>
    </row>
    <row r="1822">
      <c r="A1822" s="176"/>
      <c r="D1822" s="176"/>
    </row>
    <row r="1823">
      <c r="A1823" s="176"/>
      <c r="D1823" s="176"/>
    </row>
    <row r="1824">
      <c r="A1824" s="176"/>
      <c r="D1824" s="176"/>
    </row>
    <row r="1825">
      <c r="A1825" s="176"/>
      <c r="D1825" s="176"/>
    </row>
    <row r="1826">
      <c r="A1826" s="176"/>
      <c r="D1826" s="176"/>
    </row>
    <row r="1827">
      <c r="A1827" s="176"/>
      <c r="D1827" s="176"/>
    </row>
    <row r="1828">
      <c r="A1828" s="176"/>
      <c r="D1828" s="176"/>
    </row>
    <row r="1829">
      <c r="A1829" s="176"/>
      <c r="D1829" s="176"/>
    </row>
    <row r="1830">
      <c r="A1830" s="176"/>
      <c r="D1830" s="176"/>
    </row>
    <row r="1831">
      <c r="A1831" s="176"/>
      <c r="D1831" s="176"/>
    </row>
    <row r="1832">
      <c r="A1832" s="176"/>
      <c r="D1832" s="176"/>
    </row>
    <row r="1833">
      <c r="A1833" s="176"/>
      <c r="D1833" s="176"/>
    </row>
    <row r="1834">
      <c r="A1834" s="176"/>
      <c r="D1834" s="176"/>
    </row>
    <row r="1835">
      <c r="A1835" s="176"/>
      <c r="D1835" s="176"/>
    </row>
    <row r="1836">
      <c r="A1836" s="176"/>
      <c r="D1836" s="176"/>
    </row>
    <row r="1837">
      <c r="A1837" s="176"/>
      <c r="D1837" s="176"/>
    </row>
    <row r="1838">
      <c r="A1838" s="176"/>
      <c r="D1838" s="176"/>
    </row>
    <row r="1839">
      <c r="A1839" s="176"/>
      <c r="D1839" s="176"/>
    </row>
    <row r="1840">
      <c r="A1840" s="176"/>
      <c r="D1840" s="176"/>
    </row>
    <row r="1841">
      <c r="A1841" s="176"/>
      <c r="D1841" s="176"/>
    </row>
    <row r="1842">
      <c r="A1842" s="176"/>
      <c r="D1842" s="176"/>
    </row>
    <row r="1843">
      <c r="A1843" s="176"/>
      <c r="D1843" s="176"/>
    </row>
    <row r="1844">
      <c r="A1844" s="176"/>
      <c r="D1844" s="176"/>
    </row>
    <row r="1845">
      <c r="A1845" s="176"/>
      <c r="D1845" s="176"/>
    </row>
    <row r="1846">
      <c r="A1846" s="176"/>
      <c r="D1846" s="176"/>
    </row>
    <row r="1847">
      <c r="A1847" s="176"/>
      <c r="D1847" s="176"/>
    </row>
    <row r="1848">
      <c r="A1848" s="176"/>
      <c r="D1848" s="176"/>
    </row>
    <row r="1849">
      <c r="A1849" s="176"/>
      <c r="D1849" s="176"/>
    </row>
    <row r="1850">
      <c r="A1850" s="176"/>
      <c r="D1850" s="176"/>
    </row>
    <row r="1851">
      <c r="A1851" s="176"/>
      <c r="D1851" s="176"/>
    </row>
    <row r="1852">
      <c r="A1852" s="176"/>
      <c r="D1852" s="176"/>
    </row>
    <row r="1853">
      <c r="A1853" s="176"/>
      <c r="D1853" s="176"/>
    </row>
    <row r="1854">
      <c r="A1854" s="176"/>
      <c r="D1854" s="176"/>
    </row>
    <row r="1855">
      <c r="A1855" s="176"/>
      <c r="D1855" s="176"/>
    </row>
    <row r="1856">
      <c r="A1856" s="176"/>
      <c r="D1856" s="176"/>
    </row>
    <row r="1857">
      <c r="A1857" s="176"/>
      <c r="D1857" s="176"/>
    </row>
    <row r="1858">
      <c r="A1858" s="176"/>
      <c r="D1858" s="176"/>
    </row>
    <row r="1859">
      <c r="A1859" s="176"/>
      <c r="D1859" s="176"/>
    </row>
    <row r="1860">
      <c r="A1860" s="176"/>
      <c r="D1860" s="176"/>
    </row>
    <row r="1861">
      <c r="A1861" s="176"/>
      <c r="D1861" s="176"/>
    </row>
    <row r="1862">
      <c r="A1862" s="176"/>
      <c r="D1862" s="176"/>
    </row>
    <row r="1863">
      <c r="A1863" s="176"/>
      <c r="D1863" s="176"/>
    </row>
    <row r="1864">
      <c r="A1864" s="176"/>
      <c r="D1864" s="176"/>
    </row>
    <row r="1865">
      <c r="A1865" s="176"/>
      <c r="D1865" s="176"/>
    </row>
    <row r="1866">
      <c r="A1866" s="176"/>
      <c r="D1866" s="176"/>
    </row>
    <row r="1867">
      <c r="A1867" s="176"/>
      <c r="D1867" s="176"/>
    </row>
    <row r="1868">
      <c r="A1868" s="176"/>
      <c r="D1868" s="176"/>
    </row>
    <row r="1869">
      <c r="A1869" s="176"/>
      <c r="D1869" s="176"/>
    </row>
    <row r="1870">
      <c r="A1870" s="176"/>
      <c r="D1870" s="176"/>
    </row>
    <row r="1871">
      <c r="A1871" s="176"/>
      <c r="D1871" s="176"/>
    </row>
    <row r="1872">
      <c r="A1872" s="176"/>
      <c r="D1872" s="176"/>
    </row>
    <row r="1873">
      <c r="A1873" s="176"/>
      <c r="D1873" s="176"/>
    </row>
    <row r="1874">
      <c r="A1874" s="176"/>
      <c r="D1874" s="176"/>
    </row>
    <row r="1875">
      <c r="A1875" s="176"/>
      <c r="D1875" s="176"/>
    </row>
    <row r="1876">
      <c r="A1876" s="176"/>
      <c r="D1876" s="176"/>
    </row>
    <row r="1877">
      <c r="A1877" s="176"/>
      <c r="D1877" s="176"/>
    </row>
    <row r="1878">
      <c r="A1878" s="176"/>
      <c r="D1878" s="176"/>
    </row>
    <row r="1879">
      <c r="A1879" s="176"/>
      <c r="D1879" s="176"/>
    </row>
    <row r="1880">
      <c r="A1880" s="176"/>
      <c r="D1880" s="176"/>
    </row>
    <row r="1881">
      <c r="A1881" s="176"/>
      <c r="D1881" s="176"/>
    </row>
    <row r="1882">
      <c r="A1882" s="176"/>
      <c r="D1882" s="176"/>
    </row>
    <row r="1883">
      <c r="A1883" s="176"/>
      <c r="D1883" s="176"/>
    </row>
    <row r="1884">
      <c r="A1884" s="176"/>
      <c r="D1884" s="176"/>
    </row>
    <row r="1885">
      <c r="A1885" s="176"/>
      <c r="D1885" s="176"/>
    </row>
    <row r="1886">
      <c r="A1886" s="176"/>
      <c r="D1886" s="176"/>
    </row>
    <row r="1887">
      <c r="A1887" s="176"/>
      <c r="D1887" s="176"/>
    </row>
    <row r="1888">
      <c r="A1888" s="176"/>
      <c r="D1888" s="176"/>
    </row>
    <row r="1889">
      <c r="A1889" s="176"/>
      <c r="D1889" s="176"/>
    </row>
    <row r="1890">
      <c r="A1890" s="176"/>
      <c r="D1890" s="176"/>
    </row>
    <row r="1891">
      <c r="A1891" s="176"/>
      <c r="D1891" s="176"/>
    </row>
    <row r="1892">
      <c r="A1892" s="176"/>
      <c r="D1892" s="176"/>
    </row>
    <row r="1893">
      <c r="A1893" s="176"/>
      <c r="D1893" s="176"/>
    </row>
    <row r="1894">
      <c r="A1894" s="176"/>
      <c r="D1894" s="176"/>
    </row>
    <row r="1895">
      <c r="A1895" s="176"/>
      <c r="D1895" s="176"/>
    </row>
    <row r="1896">
      <c r="A1896" s="176"/>
      <c r="D1896" s="176"/>
    </row>
    <row r="1897">
      <c r="A1897" s="176"/>
      <c r="D1897" s="176"/>
    </row>
    <row r="1898">
      <c r="A1898" s="176"/>
      <c r="D1898" s="176"/>
    </row>
    <row r="1899">
      <c r="A1899" s="176"/>
      <c r="D1899" s="176"/>
    </row>
    <row r="1900">
      <c r="A1900" s="176"/>
      <c r="D1900" s="176"/>
    </row>
    <row r="1901">
      <c r="A1901" s="176"/>
      <c r="D1901" s="176"/>
    </row>
    <row r="1902">
      <c r="A1902" s="176"/>
      <c r="D1902" s="176"/>
    </row>
    <row r="1903">
      <c r="A1903" s="176"/>
      <c r="D1903" s="176"/>
    </row>
    <row r="1904">
      <c r="A1904" s="176"/>
      <c r="D1904" s="176"/>
    </row>
    <row r="1905">
      <c r="A1905" s="176"/>
      <c r="D1905" s="176"/>
    </row>
    <row r="1906">
      <c r="A1906" s="176"/>
      <c r="D1906" s="176"/>
    </row>
    <row r="1907">
      <c r="A1907" s="176"/>
      <c r="D1907" s="176"/>
    </row>
    <row r="1908">
      <c r="A1908" s="176"/>
      <c r="D1908" s="176"/>
    </row>
    <row r="1909">
      <c r="A1909" s="176"/>
      <c r="D1909" s="176"/>
    </row>
    <row r="1910">
      <c r="A1910" s="176"/>
      <c r="D1910" s="176"/>
    </row>
    <row r="1911">
      <c r="A1911" s="176"/>
      <c r="D1911" s="176"/>
    </row>
    <row r="1912">
      <c r="A1912" s="176"/>
      <c r="D1912" s="176"/>
    </row>
    <row r="1913">
      <c r="A1913" s="176"/>
      <c r="D1913" s="176"/>
    </row>
    <row r="1914">
      <c r="A1914" s="176"/>
      <c r="D1914" s="176"/>
    </row>
    <row r="1915">
      <c r="A1915" s="176"/>
      <c r="D1915" s="176"/>
    </row>
    <row r="1916">
      <c r="A1916" s="176"/>
      <c r="D1916" s="176"/>
    </row>
    <row r="1917">
      <c r="A1917" s="176"/>
      <c r="D1917" s="176"/>
    </row>
    <row r="1918">
      <c r="A1918" s="176"/>
      <c r="D1918" s="176"/>
    </row>
    <row r="1919">
      <c r="A1919" s="176"/>
      <c r="D1919" s="176"/>
    </row>
    <row r="1920">
      <c r="A1920" s="176"/>
      <c r="D1920" s="176"/>
    </row>
    <row r="1921">
      <c r="A1921" s="176"/>
      <c r="D1921" s="176"/>
    </row>
    <row r="1922">
      <c r="A1922" s="176"/>
      <c r="D1922" s="176"/>
    </row>
    <row r="1923">
      <c r="A1923" s="176"/>
      <c r="D1923" s="176"/>
    </row>
    <row r="1924">
      <c r="A1924" s="176"/>
      <c r="D1924" s="176"/>
    </row>
    <row r="1925">
      <c r="A1925" s="176"/>
      <c r="D1925" s="176"/>
    </row>
    <row r="1926">
      <c r="A1926" s="176"/>
      <c r="D1926" s="176"/>
    </row>
    <row r="1927">
      <c r="A1927" s="176"/>
      <c r="D1927" s="176"/>
    </row>
    <row r="1928">
      <c r="A1928" s="176"/>
      <c r="D1928" s="176"/>
    </row>
    <row r="1929">
      <c r="A1929" s="176"/>
      <c r="D1929" s="176"/>
    </row>
    <row r="1930">
      <c r="A1930" s="176"/>
      <c r="D1930" s="176"/>
    </row>
    <row r="1931">
      <c r="A1931" s="176"/>
      <c r="D1931" s="176"/>
    </row>
    <row r="1932">
      <c r="A1932" s="176"/>
      <c r="D1932" s="176"/>
    </row>
    <row r="1933">
      <c r="A1933" s="176"/>
      <c r="D1933" s="176"/>
    </row>
    <row r="1934">
      <c r="A1934" s="176"/>
      <c r="D1934" s="176"/>
    </row>
    <row r="1935">
      <c r="A1935" s="176"/>
      <c r="D1935" s="176"/>
    </row>
    <row r="1936">
      <c r="A1936" s="176"/>
      <c r="D1936" s="176"/>
    </row>
    <row r="1937">
      <c r="A1937" s="176"/>
      <c r="D1937" s="176"/>
    </row>
    <row r="1938">
      <c r="A1938" s="176"/>
      <c r="D1938" s="176"/>
    </row>
    <row r="1939">
      <c r="A1939" s="176"/>
      <c r="D1939" s="176"/>
    </row>
    <row r="1940">
      <c r="A1940" s="176"/>
      <c r="D1940" s="176"/>
    </row>
    <row r="1941">
      <c r="A1941" s="176"/>
      <c r="D1941" s="176"/>
    </row>
    <row r="1942">
      <c r="A1942" s="176"/>
      <c r="D1942" s="176"/>
    </row>
    <row r="1943">
      <c r="A1943" s="176"/>
      <c r="D1943" s="176"/>
    </row>
    <row r="1944">
      <c r="A1944" s="176"/>
      <c r="D1944" s="176"/>
    </row>
    <row r="1945">
      <c r="A1945" s="176"/>
      <c r="D1945" s="176"/>
    </row>
    <row r="1946">
      <c r="A1946" s="176"/>
      <c r="D1946" s="176"/>
    </row>
    <row r="1947">
      <c r="A1947" s="176"/>
      <c r="D1947" s="176"/>
    </row>
    <row r="1948">
      <c r="A1948" s="176"/>
      <c r="D1948" s="176"/>
    </row>
    <row r="1949">
      <c r="A1949" s="176"/>
      <c r="D1949" s="176"/>
    </row>
    <row r="1950">
      <c r="A1950" s="176"/>
      <c r="D1950" s="176"/>
    </row>
    <row r="1951">
      <c r="A1951" s="176"/>
      <c r="D1951" s="176"/>
    </row>
    <row r="1952">
      <c r="A1952" s="176"/>
      <c r="D1952" s="176"/>
    </row>
    <row r="1953">
      <c r="A1953" s="176"/>
      <c r="D1953" s="176"/>
    </row>
    <row r="1954">
      <c r="A1954" s="176"/>
      <c r="D1954" s="176"/>
    </row>
    <row r="1955">
      <c r="A1955" s="176"/>
      <c r="D1955" s="176"/>
    </row>
    <row r="1956">
      <c r="A1956" s="176"/>
      <c r="D1956" s="176"/>
    </row>
    <row r="1957">
      <c r="A1957" s="176"/>
      <c r="D1957" s="176"/>
    </row>
    <row r="1958">
      <c r="A1958" s="176"/>
      <c r="D1958" s="176"/>
    </row>
    <row r="1959">
      <c r="A1959" s="176"/>
      <c r="D1959" s="176"/>
    </row>
    <row r="1960">
      <c r="A1960" s="176"/>
      <c r="D1960" s="176"/>
    </row>
    <row r="1961">
      <c r="A1961" s="176"/>
      <c r="D1961" s="176"/>
    </row>
    <row r="1962">
      <c r="A1962" s="176"/>
      <c r="D1962" s="176"/>
    </row>
    <row r="1963">
      <c r="A1963" s="176"/>
      <c r="D1963" s="176"/>
    </row>
    <row r="1964">
      <c r="A1964" s="176"/>
      <c r="D1964" s="176"/>
    </row>
    <row r="1965">
      <c r="A1965" s="176"/>
      <c r="D1965" s="176"/>
    </row>
    <row r="1966">
      <c r="A1966" s="176"/>
      <c r="D1966" s="176"/>
    </row>
    <row r="1967">
      <c r="A1967" s="176"/>
      <c r="D1967" s="176"/>
    </row>
    <row r="1968">
      <c r="A1968" s="176"/>
      <c r="D1968" s="176"/>
    </row>
    <row r="1969">
      <c r="A1969" s="176"/>
      <c r="D1969" s="176"/>
    </row>
    <row r="1970">
      <c r="A1970" s="176"/>
      <c r="D1970" s="176"/>
    </row>
    <row r="1971">
      <c r="A1971" s="176"/>
      <c r="D1971" s="176"/>
    </row>
    <row r="1972">
      <c r="A1972" s="176"/>
      <c r="D1972" s="176"/>
    </row>
    <row r="1973">
      <c r="A1973" s="176"/>
      <c r="D1973" s="176"/>
    </row>
    <row r="1974">
      <c r="A1974" s="176"/>
      <c r="D1974" s="176"/>
    </row>
    <row r="1975">
      <c r="A1975" s="176"/>
      <c r="D1975" s="176"/>
    </row>
    <row r="1976">
      <c r="A1976" s="176"/>
      <c r="D1976" s="176"/>
    </row>
    <row r="1977">
      <c r="A1977" s="176"/>
      <c r="D1977" s="176"/>
    </row>
    <row r="1978">
      <c r="A1978" s="176"/>
      <c r="D1978" s="176"/>
    </row>
    <row r="1979">
      <c r="A1979" s="176"/>
      <c r="D1979" s="176"/>
    </row>
    <row r="1980">
      <c r="A1980" s="176"/>
      <c r="D1980" s="176"/>
    </row>
    <row r="1981">
      <c r="A1981" s="176"/>
      <c r="D1981" s="176"/>
    </row>
    <row r="1982">
      <c r="A1982" s="176"/>
      <c r="D1982" s="176"/>
    </row>
    <row r="1983">
      <c r="A1983" s="176"/>
      <c r="D1983" s="176"/>
    </row>
    <row r="1984">
      <c r="A1984" s="176"/>
      <c r="D1984" s="176"/>
    </row>
    <row r="1985">
      <c r="A1985" s="176"/>
      <c r="D1985" s="176"/>
    </row>
    <row r="1986">
      <c r="A1986" s="176"/>
      <c r="D1986" s="176"/>
    </row>
    <row r="1987">
      <c r="A1987" s="176"/>
      <c r="D1987" s="176"/>
    </row>
    <row r="1988">
      <c r="A1988" s="176"/>
      <c r="D1988" s="176"/>
    </row>
    <row r="1989">
      <c r="A1989" s="176"/>
      <c r="D1989" s="176"/>
    </row>
    <row r="1990">
      <c r="A1990" s="176"/>
      <c r="D1990" s="176"/>
    </row>
    <row r="1991">
      <c r="A1991" s="176"/>
      <c r="D1991" s="176"/>
    </row>
    <row r="1992">
      <c r="A1992" s="176"/>
      <c r="D1992" s="176"/>
    </row>
    <row r="1993">
      <c r="A1993" s="176"/>
      <c r="D1993" s="176"/>
    </row>
    <row r="1994">
      <c r="A1994" s="176"/>
      <c r="D1994" s="176"/>
    </row>
    <row r="1995">
      <c r="A1995" s="176"/>
      <c r="D1995" s="176"/>
    </row>
    <row r="1996">
      <c r="A1996" s="176"/>
      <c r="D1996" s="176"/>
    </row>
    <row r="1997">
      <c r="A1997" s="176"/>
      <c r="D1997" s="176"/>
    </row>
    <row r="1998">
      <c r="A1998" s="176"/>
      <c r="D1998" s="176"/>
    </row>
    <row r="1999">
      <c r="A1999" s="176"/>
      <c r="D1999" s="176"/>
    </row>
    <row r="2000">
      <c r="A2000" s="176"/>
      <c r="D2000" s="176"/>
    </row>
    <row r="2001">
      <c r="A2001" s="176"/>
      <c r="D2001" s="176"/>
    </row>
    <row r="2002">
      <c r="A2002" s="176"/>
      <c r="D2002" s="176"/>
    </row>
    <row r="2003">
      <c r="A2003" s="176"/>
      <c r="D2003" s="176"/>
    </row>
    <row r="2004">
      <c r="A2004" s="176"/>
      <c r="D2004" s="176"/>
    </row>
    <row r="2005">
      <c r="A2005" s="176"/>
      <c r="D2005" s="176"/>
    </row>
    <row r="2006">
      <c r="A2006" s="176"/>
      <c r="D2006" s="176"/>
    </row>
    <row r="2007">
      <c r="A2007" s="176"/>
      <c r="D2007" s="176"/>
    </row>
    <row r="2008">
      <c r="A2008" s="176"/>
      <c r="D2008" s="176"/>
    </row>
    <row r="2009">
      <c r="A2009" s="176"/>
      <c r="D2009" s="176"/>
    </row>
    <row r="2010">
      <c r="A2010" s="176"/>
      <c r="D2010" s="176"/>
    </row>
    <row r="2011">
      <c r="A2011" s="176"/>
      <c r="D2011" s="176"/>
    </row>
    <row r="2012">
      <c r="A2012" s="176"/>
      <c r="D2012" s="176"/>
    </row>
    <row r="2013">
      <c r="A2013" s="176"/>
      <c r="D2013" s="176"/>
    </row>
    <row r="2014">
      <c r="A2014" s="176"/>
      <c r="D2014" s="176"/>
    </row>
    <row r="2015">
      <c r="A2015" s="176"/>
      <c r="D2015" s="176"/>
    </row>
    <row r="2016">
      <c r="A2016" s="176"/>
      <c r="D2016" s="176"/>
    </row>
    <row r="2017">
      <c r="A2017" s="176"/>
      <c r="D2017" s="176"/>
    </row>
    <row r="2018">
      <c r="A2018" s="176"/>
      <c r="D2018" s="176"/>
    </row>
    <row r="2019">
      <c r="A2019" s="176"/>
      <c r="D2019" s="176"/>
    </row>
    <row r="2020">
      <c r="A2020" s="176"/>
      <c r="D2020" s="176"/>
    </row>
    <row r="2021">
      <c r="A2021" s="176"/>
      <c r="D2021" s="176"/>
    </row>
    <row r="2022">
      <c r="A2022" s="176"/>
      <c r="D2022" s="176"/>
    </row>
    <row r="2023">
      <c r="A2023" s="176"/>
      <c r="D2023" s="176"/>
    </row>
    <row r="2024">
      <c r="A2024" s="176"/>
      <c r="D2024" s="176"/>
    </row>
    <row r="2025">
      <c r="A2025" s="176"/>
      <c r="D2025" s="176"/>
    </row>
    <row r="2026">
      <c r="A2026" s="176"/>
      <c r="D2026" s="176"/>
    </row>
    <row r="2027">
      <c r="A2027" s="176"/>
      <c r="D2027" s="176"/>
    </row>
    <row r="2028">
      <c r="A2028" s="176"/>
      <c r="D2028" s="176"/>
    </row>
    <row r="2029">
      <c r="A2029" s="176"/>
      <c r="D2029" s="176"/>
    </row>
    <row r="2030">
      <c r="A2030" s="176"/>
      <c r="D2030" s="176"/>
    </row>
    <row r="2031">
      <c r="A2031" s="176"/>
      <c r="D2031" s="176"/>
    </row>
    <row r="2032">
      <c r="A2032" s="176"/>
      <c r="D2032" s="176"/>
    </row>
    <row r="2033">
      <c r="A2033" s="176"/>
      <c r="D2033" s="176"/>
    </row>
    <row r="2034">
      <c r="A2034" s="176"/>
      <c r="D2034" s="176"/>
    </row>
    <row r="2035">
      <c r="A2035" s="176"/>
      <c r="D2035" s="176"/>
    </row>
    <row r="2036">
      <c r="A2036" s="176"/>
      <c r="D2036" s="176"/>
    </row>
    <row r="2037">
      <c r="A2037" s="176"/>
      <c r="D2037" s="176"/>
    </row>
    <row r="2038">
      <c r="A2038" s="176"/>
      <c r="D2038" s="176"/>
    </row>
    <row r="2039">
      <c r="A2039" s="176"/>
      <c r="D2039" s="176"/>
    </row>
    <row r="2040">
      <c r="A2040" s="176"/>
      <c r="D2040" s="176"/>
    </row>
    <row r="2041">
      <c r="A2041" s="176"/>
      <c r="D2041" s="176"/>
    </row>
    <row r="2042">
      <c r="A2042" s="176"/>
      <c r="D2042" s="176"/>
    </row>
    <row r="2043">
      <c r="A2043" s="176"/>
      <c r="D2043" s="176"/>
    </row>
    <row r="2044">
      <c r="A2044" s="176"/>
      <c r="D2044" s="176"/>
    </row>
    <row r="2045">
      <c r="A2045" s="176"/>
      <c r="D2045" s="176"/>
    </row>
    <row r="2046">
      <c r="A2046" s="176"/>
      <c r="D2046" s="176"/>
    </row>
    <row r="2047">
      <c r="A2047" s="176"/>
      <c r="D2047" s="176"/>
    </row>
    <row r="2048">
      <c r="A2048" s="176"/>
      <c r="D2048" s="176"/>
    </row>
    <row r="2049">
      <c r="A2049" s="176"/>
      <c r="D2049" s="176"/>
    </row>
    <row r="2050">
      <c r="A2050" s="176"/>
      <c r="D2050" s="176"/>
    </row>
    <row r="2051">
      <c r="A2051" s="176"/>
      <c r="D2051" s="176"/>
    </row>
    <row r="2052">
      <c r="A2052" s="176"/>
      <c r="D2052" s="176"/>
    </row>
    <row r="2053">
      <c r="A2053" s="176"/>
      <c r="D2053" s="176"/>
    </row>
    <row r="2054">
      <c r="A2054" s="176"/>
      <c r="D2054" s="176"/>
    </row>
    <row r="2055">
      <c r="A2055" s="176"/>
      <c r="D2055" s="176"/>
    </row>
    <row r="2056">
      <c r="A2056" s="176"/>
      <c r="D2056" s="176"/>
    </row>
    <row r="2057">
      <c r="A2057" s="176"/>
      <c r="D2057" s="176"/>
    </row>
    <row r="2058">
      <c r="A2058" s="176"/>
      <c r="D2058" s="176"/>
    </row>
    <row r="2059">
      <c r="A2059" s="176"/>
      <c r="D2059" s="176"/>
    </row>
    <row r="2060">
      <c r="A2060" s="176"/>
      <c r="D2060" s="176"/>
    </row>
    <row r="2061">
      <c r="A2061" s="176"/>
      <c r="D2061" s="176"/>
    </row>
    <row r="2062">
      <c r="A2062" s="176"/>
      <c r="D2062" s="176"/>
    </row>
    <row r="2063">
      <c r="A2063" s="176"/>
      <c r="D2063" s="176"/>
    </row>
    <row r="2064">
      <c r="A2064" s="176"/>
      <c r="D2064" s="176"/>
    </row>
    <row r="2065">
      <c r="A2065" s="176"/>
      <c r="D2065" s="176"/>
    </row>
    <row r="2066">
      <c r="A2066" s="176"/>
      <c r="D2066" s="176"/>
    </row>
    <row r="2067">
      <c r="A2067" s="176"/>
      <c r="D2067" s="176"/>
    </row>
    <row r="2068">
      <c r="A2068" s="176"/>
      <c r="D2068" s="176"/>
    </row>
    <row r="2069">
      <c r="A2069" s="176"/>
      <c r="D2069" s="176"/>
    </row>
    <row r="2070">
      <c r="A2070" s="176"/>
      <c r="D2070" s="176"/>
    </row>
    <row r="2071">
      <c r="A2071" s="176"/>
      <c r="D2071" s="176"/>
    </row>
    <row r="2072">
      <c r="A2072" s="176"/>
      <c r="D2072" s="176"/>
    </row>
    <row r="2073">
      <c r="A2073" s="176"/>
      <c r="D2073" s="176"/>
    </row>
    <row r="2074">
      <c r="A2074" s="176"/>
      <c r="D2074" s="176"/>
    </row>
    <row r="2075">
      <c r="A2075" s="176"/>
      <c r="D2075" s="176"/>
    </row>
    <row r="2076">
      <c r="A2076" s="176"/>
      <c r="D2076" s="176"/>
    </row>
    <row r="2077">
      <c r="A2077" s="176"/>
      <c r="D2077" s="176"/>
    </row>
    <row r="2078">
      <c r="A2078" s="176"/>
      <c r="D2078" s="176"/>
    </row>
    <row r="2079">
      <c r="A2079" s="176"/>
      <c r="D2079" s="176"/>
    </row>
    <row r="2080">
      <c r="A2080" s="176"/>
      <c r="D2080" s="176"/>
    </row>
    <row r="2081">
      <c r="A2081" s="176"/>
      <c r="D2081" s="176"/>
    </row>
    <row r="2082">
      <c r="A2082" s="176"/>
      <c r="D2082" s="176"/>
    </row>
    <row r="2083">
      <c r="A2083" s="176"/>
      <c r="D2083" s="176"/>
    </row>
    <row r="2084">
      <c r="A2084" s="176"/>
      <c r="D2084" s="176"/>
    </row>
    <row r="2085">
      <c r="A2085" s="176"/>
      <c r="D2085" s="176"/>
    </row>
    <row r="2086">
      <c r="A2086" s="176"/>
      <c r="D2086" s="176"/>
    </row>
    <row r="2087">
      <c r="A2087" s="176"/>
      <c r="D2087" s="176"/>
    </row>
    <row r="2088">
      <c r="A2088" s="176"/>
      <c r="D2088" s="176"/>
    </row>
    <row r="2089">
      <c r="A2089" s="176"/>
      <c r="D2089" s="176"/>
    </row>
    <row r="2090">
      <c r="A2090" s="176"/>
      <c r="D2090" s="176"/>
    </row>
    <row r="2091">
      <c r="A2091" s="176"/>
      <c r="D2091" s="176"/>
    </row>
    <row r="2092">
      <c r="A2092" s="176"/>
      <c r="D2092" s="176"/>
    </row>
    <row r="2093">
      <c r="A2093" s="176"/>
      <c r="D2093" s="176"/>
    </row>
    <row r="2094">
      <c r="A2094" s="176"/>
      <c r="D2094" s="176"/>
    </row>
    <row r="2095">
      <c r="A2095" s="176"/>
      <c r="D2095" s="176"/>
    </row>
    <row r="2096">
      <c r="A2096" s="176"/>
      <c r="D2096" s="176"/>
    </row>
    <row r="2097">
      <c r="A2097" s="176"/>
      <c r="D2097" s="176"/>
    </row>
    <row r="2098">
      <c r="A2098" s="176"/>
      <c r="D2098" s="176"/>
    </row>
    <row r="2099">
      <c r="A2099" s="176"/>
      <c r="D2099" s="176"/>
    </row>
    <row r="2100">
      <c r="A2100" s="176"/>
      <c r="D2100" s="176"/>
    </row>
    <row r="2101">
      <c r="A2101" s="176"/>
      <c r="D2101" s="176"/>
    </row>
    <row r="2102">
      <c r="A2102" s="176"/>
      <c r="D2102" s="176"/>
    </row>
    <row r="2103">
      <c r="A2103" s="176"/>
      <c r="D2103" s="176"/>
    </row>
    <row r="2104">
      <c r="A2104" s="176"/>
      <c r="D2104" s="176"/>
    </row>
    <row r="2105">
      <c r="A2105" s="176"/>
      <c r="D2105" s="176"/>
    </row>
    <row r="2106">
      <c r="A2106" s="176"/>
      <c r="D2106" s="176"/>
    </row>
    <row r="2107">
      <c r="A2107" s="176"/>
      <c r="D2107" s="176"/>
    </row>
    <row r="2108">
      <c r="A2108" s="176"/>
      <c r="D2108" s="176"/>
    </row>
    <row r="2109">
      <c r="A2109" s="176"/>
      <c r="D2109" s="176"/>
    </row>
    <row r="2110">
      <c r="A2110" s="176"/>
      <c r="D2110" s="176"/>
    </row>
    <row r="2111">
      <c r="A2111" s="176"/>
      <c r="D2111" s="176"/>
    </row>
    <row r="2112">
      <c r="A2112" s="176"/>
      <c r="D2112" s="176"/>
    </row>
    <row r="2113">
      <c r="A2113" s="176"/>
      <c r="D2113" s="176"/>
    </row>
    <row r="2114">
      <c r="A2114" s="176"/>
      <c r="D2114" s="176"/>
    </row>
    <row r="2115">
      <c r="A2115" s="176"/>
      <c r="D2115" s="176"/>
    </row>
    <row r="2116">
      <c r="A2116" s="176"/>
      <c r="D2116" s="176"/>
    </row>
    <row r="2117">
      <c r="A2117" s="176"/>
      <c r="D2117" s="176"/>
    </row>
    <row r="2118">
      <c r="A2118" s="176"/>
      <c r="D2118" s="176"/>
    </row>
    <row r="2119">
      <c r="A2119" s="176"/>
      <c r="D2119" s="176"/>
    </row>
    <row r="2120">
      <c r="A2120" s="176"/>
      <c r="D2120" s="176"/>
    </row>
    <row r="2121">
      <c r="A2121" s="176"/>
      <c r="D2121" s="176"/>
    </row>
    <row r="2122">
      <c r="A2122" s="176"/>
      <c r="D2122" s="176"/>
    </row>
    <row r="2123">
      <c r="A2123" s="176"/>
      <c r="D2123" s="176"/>
    </row>
    <row r="2124">
      <c r="A2124" s="176"/>
      <c r="D2124" s="176"/>
    </row>
    <row r="2125">
      <c r="A2125" s="176"/>
      <c r="D2125" s="176"/>
    </row>
    <row r="2126">
      <c r="A2126" s="176"/>
      <c r="D2126" s="176"/>
    </row>
    <row r="2127">
      <c r="A2127" s="176"/>
      <c r="D2127" s="176"/>
    </row>
    <row r="2128">
      <c r="A2128" s="176"/>
      <c r="D2128" s="176"/>
    </row>
    <row r="2129">
      <c r="A2129" s="176"/>
      <c r="D2129" s="176"/>
    </row>
    <row r="2130">
      <c r="A2130" s="176"/>
      <c r="D2130" s="176"/>
    </row>
    <row r="2131">
      <c r="A2131" s="176"/>
      <c r="D2131" s="176"/>
    </row>
    <row r="2132">
      <c r="A2132" s="176"/>
      <c r="D2132" s="176"/>
    </row>
    <row r="2133">
      <c r="A2133" s="176"/>
      <c r="D2133" s="176"/>
    </row>
    <row r="2134">
      <c r="A2134" s="176"/>
      <c r="D2134" s="176"/>
    </row>
    <row r="2135">
      <c r="A2135" s="176"/>
      <c r="D2135" s="176"/>
    </row>
    <row r="2136">
      <c r="A2136" s="176"/>
      <c r="D2136" s="176"/>
    </row>
    <row r="2137">
      <c r="A2137" s="176"/>
      <c r="D2137" s="176"/>
    </row>
    <row r="2138">
      <c r="A2138" s="176"/>
      <c r="D2138" s="176"/>
    </row>
    <row r="2139">
      <c r="A2139" s="176"/>
      <c r="D2139" s="176"/>
    </row>
    <row r="2140">
      <c r="A2140" s="176"/>
      <c r="D2140" s="176"/>
    </row>
    <row r="2141">
      <c r="A2141" s="176"/>
      <c r="D2141" s="176"/>
    </row>
    <row r="2142">
      <c r="A2142" s="176"/>
      <c r="D2142" s="176"/>
    </row>
    <row r="2143">
      <c r="A2143" s="176"/>
      <c r="D2143" s="176"/>
    </row>
    <row r="2144">
      <c r="A2144" s="176"/>
      <c r="D2144" s="176"/>
    </row>
    <row r="2145">
      <c r="A2145" s="176"/>
      <c r="D2145" s="176"/>
    </row>
    <row r="2146">
      <c r="A2146" s="176"/>
      <c r="D2146" s="176"/>
    </row>
    <row r="2147">
      <c r="A2147" s="176"/>
      <c r="D2147" s="176"/>
    </row>
    <row r="2148">
      <c r="A2148" s="176"/>
      <c r="D2148" s="176"/>
    </row>
    <row r="2149">
      <c r="A2149" s="176"/>
      <c r="D2149" s="176"/>
    </row>
    <row r="2150">
      <c r="A2150" s="176"/>
      <c r="D2150" s="176"/>
    </row>
    <row r="2151">
      <c r="A2151" s="176"/>
      <c r="D2151" s="176"/>
    </row>
    <row r="2152">
      <c r="A2152" s="176"/>
      <c r="D2152" s="176"/>
    </row>
    <row r="2153">
      <c r="A2153" s="176"/>
      <c r="D2153" s="176"/>
    </row>
    <row r="2154">
      <c r="A2154" s="176"/>
      <c r="D2154" s="176"/>
    </row>
    <row r="2155">
      <c r="A2155" s="176"/>
      <c r="D2155" s="176"/>
    </row>
    <row r="2156">
      <c r="A2156" s="176"/>
      <c r="D2156" s="176"/>
    </row>
    <row r="2157">
      <c r="A2157" s="176"/>
      <c r="D2157" s="176"/>
    </row>
    <row r="2158">
      <c r="A2158" s="176"/>
      <c r="D2158" s="176"/>
    </row>
    <row r="2159">
      <c r="A2159" s="176"/>
      <c r="D2159" s="176"/>
    </row>
    <row r="2160">
      <c r="A2160" s="176"/>
      <c r="D2160" s="176"/>
    </row>
    <row r="2161">
      <c r="A2161" s="176"/>
      <c r="D2161" s="176"/>
    </row>
    <row r="2162">
      <c r="A2162" s="176"/>
      <c r="D2162" s="176"/>
    </row>
    <row r="2163">
      <c r="A2163" s="176"/>
      <c r="D2163" s="176"/>
    </row>
    <row r="2164">
      <c r="A2164" s="176"/>
      <c r="D2164" s="176"/>
    </row>
    <row r="2165">
      <c r="A2165" s="176"/>
      <c r="D2165" s="176"/>
    </row>
    <row r="2166">
      <c r="A2166" s="176"/>
      <c r="D2166" s="176"/>
    </row>
    <row r="2167">
      <c r="A2167" s="176"/>
      <c r="D2167" s="176"/>
    </row>
    <row r="2168">
      <c r="A2168" s="176"/>
      <c r="D2168" s="176"/>
    </row>
    <row r="2169">
      <c r="A2169" s="176"/>
      <c r="D2169" s="176"/>
    </row>
    <row r="2170">
      <c r="A2170" s="176"/>
      <c r="D2170" s="176"/>
    </row>
    <row r="2171">
      <c r="A2171" s="176"/>
      <c r="D2171" s="176"/>
    </row>
    <row r="2172">
      <c r="A2172" s="176"/>
      <c r="D2172" s="176"/>
    </row>
    <row r="2173">
      <c r="A2173" s="176"/>
      <c r="D2173" s="176"/>
    </row>
    <row r="2174">
      <c r="A2174" s="176"/>
      <c r="D2174" s="176"/>
    </row>
    <row r="2175">
      <c r="A2175" s="176"/>
      <c r="D2175" s="176"/>
    </row>
    <row r="2176">
      <c r="A2176" s="176"/>
      <c r="D2176" s="176"/>
    </row>
    <row r="2177">
      <c r="A2177" s="176"/>
      <c r="D2177" s="176"/>
    </row>
    <row r="2178">
      <c r="A2178" s="176"/>
      <c r="D2178" s="176"/>
    </row>
    <row r="2179">
      <c r="A2179" s="176"/>
      <c r="D2179" s="176"/>
    </row>
    <row r="2180">
      <c r="A2180" s="176"/>
      <c r="D2180" s="176"/>
    </row>
    <row r="2181">
      <c r="A2181" s="176"/>
      <c r="D2181" s="176"/>
    </row>
    <row r="2182">
      <c r="A2182" s="176"/>
      <c r="D2182" s="176"/>
    </row>
    <row r="2183">
      <c r="A2183" s="176"/>
      <c r="D2183" s="176"/>
    </row>
    <row r="2184">
      <c r="A2184" s="176"/>
      <c r="D2184" s="176"/>
    </row>
    <row r="2185">
      <c r="A2185" s="176"/>
      <c r="D2185" s="176"/>
    </row>
    <row r="2186">
      <c r="A2186" s="176"/>
      <c r="D2186" s="176"/>
    </row>
    <row r="2187">
      <c r="A2187" s="176"/>
      <c r="D2187" s="176"/>
    </row>
    <row r="2188">
      <c r="A2188" s="176"/>
      <c r="D2188" s="176"/>
    </row>
    <row r="2189">
      <c r="A2189" s="176"/>
      <c r="D2189" s="176"/>
    </row>
    <row r="2190">
      <c r="A2190" s="176"/>
      <c r="D2190" s="176"/>
    </row>
    <row r="2191">
      <c r="A2191" s="176"/>
      <c r="D2191" s="176"/>
    </row>
    <row r="2192">
      <c r="A2192" s="176"/>
      <c r="D2192" s="176"/>
    </row>
    <row r="2193">
      <c r="A2193" s="176"/>
      <c r="D2193" s="176"/>
    </row>
    <row r="2194">
      <c r="A2194" s="176"/>
      <c r="D2194" s="176"/>
    </row>
    <row r="2195">
      <c r="A2195" s="176"/>
      <c r="D2195" s="176"/>
    </row>
    <row r="2196">
      <c r="A2196" s="176"/>
      <c r="D2196" s="176"/>
    </row>
    <row r="2197">
      <c r="A2197" s="176"/>
      <c r="D2197" s="176"/>
    </row>
    <row r="2198">
      <c r="A2198" s="176"/>
      <c r="D2198" s="176"/>
    </row>
    <row r="2199">
      <c r="A2199" s="176"/>
      <c r="D2199" s="176"/>
    </row>
    <row r="2200">
      <c r="A2200" s="176"/>
      <c r="D2200" s="176"/>
    </row>
    <row r="2201">
      <c r="A2201" s="176"/>
      <c r="D2201" s="176"/>
    </row>
    <row r="2202">
      <c r="A2202" s="176"/>
      <c r="D2202" s="176"/>
    </row>
    <row r="2203">
      <c r="A2203" s="176"/>
      <c r="D2203" s="176"/>
    </row>
    <row r="2204">
      <c r="A2204" s="176"/>
      <c r="D2204" s="176"/>
    </row>
    <row r="2205">
      <c r="A2205" s="176"/>
      <c r="D2205" s="176"/>
    </row>
    <row r="2206">
      <c r="A2206" s="176"/>
      <c r="D2206" s="176"/>
    </row>
    <row r="2207">
      <c r="A2207" s="176"/>
      <c r="D2207" s="176"/>
    </row>
    <row r="2208">
      <c r="A2208" s="176"/>
      <c r="D2208" s="176"/>
    </row>
    <row r="2209">
      <c r="A2209" s="176"/>
      <c r="D2209" s="176"/>
    </row>
    <row r="2210">
      <c r="A2210" s="176"/>
      <c r="D2210" s="176"/>
    </row>
    <row r="2211">
      <c r="A2211" s="176"/>
      <c r="D2211" s="176"/>
    </row>
    <row r="2212">
      <c r="A2212" s="176"/>
      <c r="D2212" s="176"/>
    </row>
    <row r="2213">
      <c r="A2213" s="176"/>
      <c r="D2213" s="176"/>
    </row>
    <row r="2214">
      <c r="A2214" s="176"/>
      <c r="D2214" s="176"/>
    </row>
    <row r="2215">
      <c r="A2215" s="176"/>
      <c r="D2215" s="176"/>
    </row>
    <row r="2216">
      <c r="A2216" s="176"/>
      <c r="D2216" s="176"/>
    </row>
    <row r="2217">
      <c r="A2217" s="176"/>
      <c r="D2217" s="176"/>
    </row>
    <row r="2218">
      <c r="A2218" s="176"/>
      <c r="D2218" s="176"/>
    </row>
    <row r="2219">
      <c r="A2219" s="176"/>
      <c r="D2219" s="176"/>
    </row>
    <row r="2220">
      <c r="A2220" s="176"/>
      <c r="D2220" s="176"/>
    </row>
    <row r="2221">
      <c r="A2221" s="176"/>
      <c r="D2221" s="176"/>
    </row>
    <row r="2222">
      <c r="A2222" s="176"/>
      <c r="D2222" s="176"/>
    </row>
    <row r="2223">
      <c r="A2223" s="176"/>
      <c r="D2223" s="176"/>
    </row>
    <row r="2224">
      <c r="A2224" s="176"/>
      <c r="D2224" s="176"/>
    </row>
    <row r="2225">
      <c r="A2225" s="176"/>
      <c r="D2225" s="176"/>
    </row>
    <row r="2226">
      <c r="A2226" s="176"/>
      <c r="D2226" s="176"/>
    </row>
    <row r="2227">
      <c r="A2227" s="176"/>
      <c r="D2227" s="176"/>
    </row>
    <row r="2228">
      <c r="A2228" s="176"/>
      <c r="D2228" s="176"/>
    </row>
    <row r="2229">
      <c r="A2229" s="176"/>
      <c r="D2229" s="176"/>
    </row>
    <row r="2230">
      <c r="A2230" s="176"/>
      <c r="D2230" s="176"/>
    </row>
    <row r="2231">
      <c r="A2231" s="176"/>
      <c r="D2231" s="176"/>
    </row>
    <row r="2232">
      <c r="A2232" s="176"/>
      <c r="D2232" s="176"/>
    </row>
    <row r="2233">
      <c r="A2233" s="176"/>
      <c r="D2233" s="176"/>
    </row>
    <row r="2234">
      <c r="A2234" s="176"/>
      <c r="D2234" s="176"/>
    </row>
    <row r="2235">
      <c r="A2235" s="176"/>
      <c r="D2235" s="176"/>
    </row>
    <row r="2236">
      <c r="A2236" s="176"/>
      <c r="D2236" s="176"/>
    </row>
    <row r="2237">
      <c r="A2237" s="176"/>
      <c r="D2237" s="176"/>
    </row>
    <row r="2238">
      <c r="A2238" s="176"/>
      <c r="D2238" s="176"/>
    </row>
    <row r="2239">
      <c r="A2239" s="176"/>
      <c r="D2239" s="176"/>
    </row>
    <row r="2240">
      <c r="A2240" s="176"/>
      <c r="D2240" s="176"/>
    </row>
    <row r="2241">
      <c r="A2241" s="176"/>
      <c r="D2241" s="176"/>
    </row>
    <row r="2242">
      <c r="A2242" s="176"/>
      <c r="D2242" s="176"/>
    </row>
    <row r="2243">
      <c r="A2243" s="176"/>
      <c r="D2243" s="176"/>
    </row>
    <row r="2244">
      <c r="A2244" s="176"/>
      <c r="D2244" s="176"/>
    </row>
    <row r="2245">
      <c r="A2245" s="176"/>
      <c r="D2245" s="176"/>
    </row>
    <row r="2246">
      <c r="A2246" s="176"/>
      <c r="D2246" s="176"/>
    </row>
    <row r="2247">
      <c r="A2247" s="176"/>
      <c r="D2247" s="176"/>
    </row>
    <row r="2248">
      <c r="A2248" s="176"/>
      <c r="D2248" s="176"/>
    </row>
    <row r="2249">
      <c r="A2249" s="176"/>
      <c r="D2249" s="176"/>
    </row>
    <row r="2250">
      <c r="A2250" s="176"/>
      <c r="D2250" s="176"/>
    </row>
    <row r="2251">
      <c r="A2251" s="176"/>
      <c r="D2251" s="176"/>
    </row>
    <row r="2252">
      <c r="A2252" s="176"/>
      <c r="D2252" s="176"/>
    </row>
    <row r="2253">
      <c r="A2253" s="176"/>
      <c r="D2253" s="176"/>
    </row>
    <row r="2254">
      <c r="A2254" s="176"/>
      <c r="D2254" s="176"/>
    </row>
    <row r="2255">
      <c r="A2255" s="176"/>
      <c r="D2255" s="176"/>
    </row>
    <row r="2256">
      <c r="A2256" s="176"/>
      <c r="D2256" s="176"/>
    </row>
    <row r="2257">
      <c r="A2257" s="176"/>
      <c r="D2257" s="176"/>
    </row>
    <row r="2258">
      <c r="A2258" s="176"/>
      <c r="D2258" s="176"/>
    </row>
    <row r="2259">
      <c r="A2259" s="176"/>
      <c r="D2259" s="176"/>
    </row>
    <row r="2260">
      <c r="A2260" s="176"/>
      <c r="D2260" s="176"/>
    </row>
    <row r="2261">
      <c r="A2261" s="176"/>
      <c r="D2261" s="176"/>
    </row>
    <row r="2262">
      <c r="A2262" s="176"/>
      <c r="D2262" s="176"/>
    </row>
    <row r="2263">
      <c r="A2263" s="176"/>
      <c r="D2263" s="176"/>
    </row>
    <row r="2264">
      <c r="A2264" s="176"/>
      <c r="D2264" s="176"/>
    </row>
    <row r="2265">
      <c r="A2265" s="176"/>
      <c r="D2265" s="176"/>
    </row>
    <row r="2266">
      <c r="A2266" s="176"/>
      <c r="D2266" s="176"/>
    </row>
    <row r="2267">
      <c r="A2267" s="176"/>
      <c r="D2267" s="176"/>
    </row>
    <row r="2268">
      <c r="A2268" s="176"/>
      <c r="D2268" s="176"/>
    </row>
    <row r="2269">
      <c r="A2269" s="176"/>
      <c r="D2269" s="176"/>
    </row>
    <row r="2270">
      <c r="A2270" s="176"/>
      <c r="D2270" s="176"/>
    </row>
    <row r="2271">
      <c r="A2271" s="176"/>
      <c r="D2271" s="176"/>
    </row>
    <row r="2272">
      <c r="A2272" s="176"/>
      <c r="D2272" s="176"/>
    </row>
    <row r="2273">
      <c r="A2273" s="176"/>
      <c r="D2273" s="176"/>
    </row>
    <row r="2274">
      <c r="A2274" s="176"/>
      <c r="D2274" s="176"/>
    </row>
    <row r="2275">
      <c r="A2275" s="176"/>
      <c r="D2275" s="176"/>
    </row>
    <row r="2276">
      <c r="A2276" s="176"/>
      <c r="D2276" s="176"/>
    </row>
    <row r="2277">
      <c r="A2277" s="176"/>
      <c r="D2277" s="176"/>
    </row>
    <row r="2278">
      <c r="A2278" s="176"/>
      <c r="D2278" s="176"/>
    </row>
    <row r="2279">
      <c r="A2279" s="176"/>
      <c r="D2279" s="176"/>
    </row>
    <row r="2280">
      <c r="A2280" s="176"/>
      <c r="D2280" s="176"/>
    </row>
    <row r="2281">
      <c r="A2281" s="176"/>
      <c r="D2281" s="176"/>
    </row>
    <row r="2282">
      <c r="A2282" s="176"/>
      <c r="D2282" s="176"/>
    </row>
    <row r="2283">
      <c r="A2283" s="176"/>
      <c r="D2283" s="176"/>
    </row>
    <row r="2284">
      <c r="A2284" s="176"/>
      <c r="D2284" s="176"/>
    </row>
    <row r="2285">
      <c r="A2285" s="176"/>
      <c r="D2285" s="176"/>
    </row>
    <row r="2286">
      <c r="A2286" s="176"/>
      <c r="D2286" s="176"/>
    </row>
    <row r="2287">
      <c r="A2287" s="176"/>
      <c r="D2287" s="176"/>
    </row>
    <row r="2288">
      <c r="A2288" s="176"/>
      <c r="D2288" s="176"/>
    </row>
    <row r="2289">
      <c r="A2289" s="176"/>
      <c r="D2289" s="176"/>
    </row>
    <row r="2290">
      <c r="A2290" s="176"/>
      <c r="D2290" s="176"/>
    </row>
    <row r="2291">
      <c r="A2291" s="176"/>
      <c r="D2291" s="176"/>
    </row>
    <row r="2292">
      <c r="A2292" s="176"/>
      <c r="D2292" s="176"/>
    </row>
    <row r="2293">
      <c r="A2293" s="176"/>
      <c r="D2293" s="176"/>
    </row>
    <row r="2294">
      <c r="A2294" s="176"/>
      <c r="D2294" s="176"/>
    </row>
    <row r="2295">
      <c r="A2295" s="176"/>
      <c r="D2295" s="176"/>
    </row>
    <row r="2296">
      <c r="A2296" s="176"/>
      <c r="D2296" s="176"/>
    </row>
    <row r="2297">
      <c r="A2297" s="176"/>
      <c r="D2297" s="176"/>
    </row>
    <row r="2298">
      <c r="A2298" s="176"/>
      <c r="D2298" s="176"/>
    </row>
    <row r="2299">
      <c r="A2299" s="176"/>
      <c r="D2299" s="176"/>
    </row>
    <row r="2300">
      <c r="A2300" s="176"/>
      <c r="D2300" s="176"/>
    </row>
    <row r="2301">
      <c r="A2301" s="176"/>
      <c r="D2301" s="176"/>
    </row>
    <row r="2302">
      <c r="A2302" s="176"/>
      <c r="D2302" s="176"/>
    </row>
    <row r="2303">
      <c r="A2303" s="176"/>
      <c r="D2303" s="176"/>
    </row>
    <row r="2304">
      <c r="A2304" s="176"/>
      <c r="D2304" s="176"/>
    </row>
    <row r="2305">
      <c r="A2305" s="176"/>
      <c r="D2305" s="176"/>
    </row>
    <row r="2306">
      <c r="A2306" s="176"/>
      <c r="D2306" s="176"/>
    </row>
    <row r="2307">
      <c r="A2307" s="176"/>
      <c r="D2307" s="176"/>
    </row>
    <row r="2308">
      <c r="A2308" s="176"/>
      <c r="D2308" s="176"/>
    </row>
    <row r="2309">
      <c r="A2309" s="176"/>
      <c r="D2309" s="176"/>
    </row>
    <row r="2310">
      <c r="A2310" s="176"/>
      <c r="D2310" s="176"/>
    </row>
    <row r="2311">
      <c r="A2311" s="176"/>
      <c r="D2311" s="176"/>
    </row>
    <row r="2312">
      <c r="A2312" s="176"/>
      <c r="D2312" s="176"/>
    </row>
    <row r="2313">
      <c r="A2313" s="176"/>
      <c r="D2313" s="176"/>
    </row>
    <row r="2314">
      <c r="A2314" s="176"/>
      <c r="D2314" s="176"/>
    </row>
    <row r="2315">
      <c r="A2315" s="176"/>
      <c r="D2315" s="176"/>
    </row>
    <row r="2316">
      <c r="A2316" s="176"/>
      <c r="D2316" s="176"/>
    </row>
    <row r="2317">
      <c r="A2317" s="176"/>
      <c r="D2317" s="176"/>
    </row>
    <row r="2318">
      <c r="A2318" s="176"/>
      <c r="D2318" s="176"/>
    </row>
    <row r="2319">
      <c r="A2319" s="176"/>
      <c r="D2319" s="176"/>
    </row>
    <row r="2320">
      <c r="A2320" s="176"/>
      <c r="D2320" s="176"/>
    </row>
    <row r="2321">
      <c r="A2321" s="176"/>
      <c r="D2321" s="176"/>
    </row>
    <row r="2322">
      <c r="A2322" s="176"/>
      <c r="D2322" s="176"/>
    </row>
    <row r="2323">
      <c r="A2323" s="176"/>
      <c r="D2323" s="176"/>
    </row>
    <row r="2324">
      <c r="A2324" s="176"/>
      <c r="D2324" s="176"/>
    </row>
    <row r="2325">
      <c r="A2325" s="176"/>
      <c r="D2325" s="176"/>
    </row>
    <row r="2326">
      <c r="A2326" s="176"/>
      <c r="D2326" s="176"/>
    </row>
    <row r="2327">
      <c r="A2327" s="176"/>
      <c r="D2327" s="176"/>
    </row>
    <row r="2328">
      <c r="A2328" s="176"/>
      <c r="D2328" s="176"/>
    </row>
    <row r="2329">
      <c r="A2329" s="176"/>
      <c r="D2329" s="176"/>
    </row>
    <row r="2330">
      <c r="A2330" s="176"/>
      <c r="D2330" s="176"/>
    </row>
    <row r="2331">
      <c r="A2331" s="176"/>
      <c r="D2331" s="176"/>
    </row>
    <row r="2332">
      <c r="A2332" s="176"/>
      <c r="D2332" s="176"/>
    </row>
    <row r="2333">
      <c r="A2333" s="176"/>
      <c r="D2333" s="176"/>
    </row>
    <row r="2334">
      <c r="A2334" s="176"/>
      <c r="D2334" s="176"/>
    </row>
    <row r="2335">
      <c r="A2335" s="176"/>
      <c r="D2335" s="176"/>
    </row>
    <row r="2336">
      <c r="A2336" s="176"/>
      <c r="D2336" s="176"/>
    </row>
    <row r="2337">
      <c r="A2337" s="176"/>
      <c r="D2337" s="176"/>
    </row>
    <row r="2338">
      <c r="A2338" s="176"/>
      <c r="D2338" s="176"/>
    </row>
    <row r="2339">
      <c r="A2339" s="176"/>
      <c r="D2339" s="176"/>
    </row>
    <row r="2340">
      <c r="A2340" s="176"/>
      <c r="D2340" s="176"/>
    </row>
    <row r="2341">
      <c r="A2341" s="176"/>
      <c r="D2341" s="176"/>
    </row>
    <row r="2342">
      <c r="A2342" s="176"/>
      <c r="D2342" s="176"/>
    </row>
    <row r="2343">
      <c r="A2343" s="176"/>
      <c r="D2343" s="176"/>
    </row>
    <row r="2344">
      <c r="A2344" s="176"/>
      <c r="D2344" s="176"/>
    </row>
    <row r="2345">
      <c r="A2345" s="176"/>
      <c r="D2345" s="176"/>
    </row>
    <row r="2346">
      <c r="A2346" s="176"/>
      <c r="D2346" s="176"/>
    </row>
    <row r="2347">
      <c r="A2347" s="176"/>
      <c r="D2347" s="176"/>
    </row>
    <row r="2348">
      <c r="A2348" s="176"/>
      <c r="D2348" s="176"/>
    </row>
    <row r="2349">
      <c r="A2349" s="176"/>
      <c r="D2349" s="176"/>
    </row>
    <row r="2350">
      <c r="A2350" s="176"/>
      <c r="D2350" s="176"/>
    </row>
    <row r="2351">
      <c r="A2351" s="176"/>
      <c r="D2351" s="176"/>
    </row>
    <row r="2352">
      <c r="A2352" s="176"/>
      <c r="D2352" s="176"/>
    </row>
    <row r="2353">
      <c r="A2353" s="176"/>
      <c r="D2353" s="176"/>
    </row>
    <row r="2354">
      <c r="A2354" s="176"/>
      <c r="D2354" s="176"/>
    </row>
    <row r="2355">
      <c r="A2355" s="176"/>
      <c r="D2355" s="176"/>
    </row>
    <row r="2356">
      <c r="A2356" s="176"/>
      <c r="D2356" s="176"/>
    </row>
    <row r="2357">
      <c r="A2357" s="176"/>
      <c r="D2357" s="176"/>
    </row>
    <row r="2358">
      <c r="A2358" s="176"/>
      <c r="D2358" s="176"/>
    </row>
    <row r="2359">
      <c r="A2359" s="176"/>
      <c r="D2359" s="176"/>
    </row>
    <row r="2360">
      <c r="A2360" s="176"/>
      <c r="D2360" s="176"/>
    </row>
    <row r="2361">
      <c r="A2361" s="176"/>
      <c r="D2361" s="176"/>
    </row>
    <row r="2362">
      <c r="A2362" s="176"/>
      <c r="D2362" s="176"/>
    </row>
    <row r="2363">
      <c r="A2363" s="176"/>
      <c r="D2363" s="176"/>
    </row>
    <row r="2364">
      <c r="A2364" s="176"/>
      <c r="D2364" s="176"/>
    </row>
    <row r="2365">
      <c r="A2365" s="176"/>
      <c r="D2365" s="176"/>
    </row>
    <row r="2366">
      <c r="A2366" s="176"/>
      <c r="D2366" s="176"/>
    </row>
    <row r="2367">
      <c r="A2367" s="176"/>
      <c r="D2367" s="176"/>
    </row>
    <row r="2368">
      <c r="A2368" s="176"/>
      <c r="D2368" s="176"/>
    </row>
    <row r="2369">
      <c r="A2369" s="176"/>
      <c r="D2369" s="176"/>
    </row>
    <row r="2370">
      <c r="A2370" s="176"/>
      <c r="D2370" s="176"/>
    </row>
    <row r="2371">
      <c r="A2371" s="176"/>
      <c r="D2371" s="176"/>
    </row>
    <row r="2372">
      <c r="A2372" s="176"/>
      <c r="D2372" s="176"/>
    </row>
    <row r="2373">
      <c r="A2373" s="176"/>
      <c r="D2373" s="176"/>
    </row>
    <row r="2374">
      <c r="A2374" s="176"/>
      <c r="D2374" s="176"/>
    </row>
    <row r="2375">
      <c r="A2375" s="176"/>
      <c r="D2375" s="176"/>
    </row>
    <row r="2376">
      <c r="A2376" s="176"/>
      <c r="D2376" s="176"/>
    </row>
    <row r="2377">
      <c r="A2377" s="176"/>
      <c r="D2377" s="176"/>
    </row>
    <row r="2378">
      <c r="A2378" s="176"/>
      <c r="D2378" s="176"/>
    </row>
    <row r="2379">
      <c r="A2379" s="176"/>
      <c r="D2379" s="176"/>
    </row>
    <row r="2380">
      <c r="A2380" s="176"/>
      <c r="D2380" s="176"/>
    </row>
    <row r="2381">
      <c r="A2381" s="176"/>
      <c r="D2381" s="176"/>
    </row>
    <row r="2382">
      <c r="A2382" s="176"/>
      <c r="D2382" s="176"/>
    </row>
    <row r="2383">
      <c r="A2383" s="176"/>
      <c r="D2383" s="176"/>
    </row>
    <row r="2384">
      <c r="A2384" s="176"/>
      <c r="D2384" s="176"/>
    </row>
    <row r="2385">
      <c r="A2385" s="176"/>
      <c r="D2385" s="176"/>
    </row>
    <row r="2386">
      <c r="A2386" s="176"/>
      <c r="D2386" s="176"/>
    </row>
    <row r="2387">
      <c r="A2387" s="176"/>
      <c r="D2387" s="176"/>
    </row>
    <row r="2388">
      <c r="A2388" s="176"/>
      <c r="D2388" s="176"/>
    </row>
    <row r="2389">
      <c r="A2389" s="176"/>
      <c r="D2389" s="176"/>
    </row>
    <row r="2390">
      <c r="A2390" s="176"/>
      <c r="D2390" s="176"/>
    </row>
    <row r="2391">
      <c r="A2391" s="176"/>
      <c r="D2391" s="176"/>
    </row>
    <row r="2392">
      <c r="A2392" s="176"/>
      <c r="D2392" s="176"/>
    </row>
    <row r="2393">
      <c r="A2393" s="176"/>
      <c r="D2393" s="176"/>
    </row>
    <row r="2394">
      <c r="A2394" s="176"/>
      <c r="D2394" s="176"/>
    </row>
    <row r="2395">
      <c r="A2395" s="176"/>
      <c r="D2395" s="176"/>
    </row>
    <row r="2396">
      <c r="A2396" s="176"/>
      <c r="D2396" s="176"/>
    </row>
    <row r="2397">
      <c r="A2397" s="176"/>
      <c r="D2397" s="176"/>
    </row>
    <row r="2398">
      <c r="A2398" s="176"/>
      <c r="D2398" s="176"/>
    </row>
    <row r="2399">
      <c r="A2399" s="176"/>
      <c r="D2399" s="176"/>
    </row>
    <row r="2400">
      <c r="A2400" s="176"/>
      <c r="D2400" s="176"/>
    </row>
    <row r="2401">
      <c r="A2401" s="176"/>
      <c r="D2401" s="176"/>
    </row>
    <row r="2402">
      <c r="A2402" s="176"/>
      <c r="D2402" s="176"/>
    </row>
    <row r="2403">
      <c r="A2403" s="176"/>
      <c r="D2403" s="176"/>
    </row>
    <row r="2404">
      <c r="A2404" s="176"/>
      <c r="D2404" s="176"/>
    </row>
    <row r="2405">
      <c r="A2405" s="176"/>
      <c r="D2405" s="176"/>
    </row>
    <row r="2406">
      <c r="A2406" s="176"/>
      <c r="D2406" s="176"/>
    </row>
    <row r="2407">
      <c r="A2407" s="176"/>
      <c r="D2407" s="176"/>
    </row>
    <row r="2408">
      <c r="A2408" s="176"/>
      <c r="D2408" s="176"/>
    </row>
    <row r="2409">
      <c r="A2409" s="176"/>
      <c r="D2409" s="176"/>
    </row>
    <row r="2410">
      <c r="A2410" s="176"/>
      <c r="D2410" s="176"/>
    </row>
    <row r="2411">
      <c r="A2411" s="176"/>
      <c r="D2411" s="176"/>
    </row>
    <row r="2412">
      <c r="A2412" s="176"/>
      <c r="D2412" s="176"/>
    </row>
    <row r="2413">
      <c r="A2413" s="176"/>
      <c r="D2413" s="176"/>
    </row>
    <row r="2414">
      <c r="A2414" s="176"/>
      <c r="D2414" s="176"/>
    </row>
    <row r="2415">
      <c r="A2415" s="176"/>
      <c r="D2415" s="176"/>
    </row>
    <row r="2416">
      <c r="A2416" s="176"/>
      <c r="D2416" s="176"/>
    </row>
    <row r="2417">
      <c r="A2417" s="176"/>
      <c r="D2417" s="176"/>
    </row>
    <row r="2418">
      <c r="A2418" s="176"/>
      <c r="D2418" s="176"/>
    </row>
    <row r="2419">
      <c r="A2419" s="176"/>
      <c r="D2419" s="176"/>
    </row>
    <row r="2420">
      <c r="A2420" s="176"/>
      <c r="D2420" s="176"/>
    </row>
    <row r="2421">
      <c r="A2421" s="176"/>
      <c r="D2421" s="176"/>
    </row>
    <row r="2422">
      <c r="A2422" s="176"/>
      <c r="D2422" s="176"/>
    </row>
    <row r="2423">
      <c r="A2423" s="176"/>
      <c r="D2423" s="176"/>
    </row>
    <row r="2424">
      <c r="A2424" s="176"/>
      <c r="D2424" s="176"/>
    </row>
    <row r="2425">
      <c r="A2425" s="176"/>
      <c r="D2425" s="176"/>
    </row>
    <row r="2426">
      <c r="A2426" s="176"/>
      <c r="D2426" s="176"/>
    </row>
    <row r="2427">
      <c r="A2427" s="176"/>
      <c r="D2427" s="176"/>
    </row>
    <row r="2428">
      <c r="A2428" s="176"/>
      <c r="D2428" s="176"/>
    </row>
    <row r="2429">
      <c r="A2429" s="176"/>
      <c r="D2429" s="176"/>
    </row>
    <row r="2430">
      <c r="A2430" s="176"/>
      <c r="D2430" s="176"/>
    </row>
    <row r="2431">
      <c r="A2431" s="176"/>
      <c r="D2431" s="176"/>
    </row>
    <row r="2432">
      <c r="A2432" s="176"/>
      <c r="D2432" s="176"/>
    </row>
    <row r="2433">
      <c r="A2433" s="176"/>
      <c r="D2433" s="176"/>
    </row>
    <row r="2434">
      <c r="A2434" s="176"/>
      <c r="D2434" s="176"/>
    </row>
    <row r="2435">
      <c r="A2435" s="176"/>
      <c r="D2435" s="176"/>
    </row>
    <row r="2436">
      <c r="A2436" s="176"/>
      <c r="D2436" s="176"/>
    </row>
    <row r="2437">
      <c r="A2437" s="176"/>
      <c r="D2437" s="176"/>
    </row>
    <row r="2438">
      <c r="A2438" s="176"/>
      <c r="D2438" s="176"/>
    </row>
    <row r="2439">
      <c r="A2439" s="176"/>
      <c r="D2439" s="176"/>
    </row>
    <row r="2440">
      <c r="A2440" s="176"/>
      <c r="D2440" s="176"/>
    </row>
    <row r="2441">
      <c r="A2441" s="176"/>
      <c r="D2441" s="176"/>
    </row>
    <row r="2442">
      <c r="A2442" s="176"/>
      <c r="D2442" s="176"/>
    </row>
    <row r="2443">
      <c r="A2443" s="176"/>
      <c r="D2443" s="176"/>
    </row>
    <row r="2444">
      <c r="A2444" s="176"/>
      <c r="D2444" s="176"/>
    </row>
    <row r="2445">
      <c r="A2445" s="176"/>
      <c r="D2445" s="176"/>
    </row>
    <row r="2446">
      <c r="A2446" s="176"/>
      <c r="D2446" s="176"/>
    </row>
    <row r="2447">
      <c r="A2447" s="176"/>
      <c r="D2447" s="176"/>
    </row>
    <row r="2448">
      <c r="A2448" s="176"/>
      <c r="D2448" s="176"/>
    </row>
    <row r="2449">
      <c r="A2449" s="176"/>
      <c r="D2449" s="176"/>
    </row>
    <row r="2450">
      <c r="A2450" s="176"/>
      <c r="D2450" s="176"/>
    </row>
    <row r="2451">
      <c r="A2451" s="176"/>
      <c r="D2451" s="176"/>
    </row>
    <row r="2452">
      <c r="A2452" s="176"/>
      <c r="D2452" s="176"/>
    </row>
    <row r="2453">
      <c r="A2453" s="176"/>
      <c r="D2453" s="176"/>
    </row>
    <row r="2454">
      <c r="A2454" s="176"/>
      <c r="D2454" s="176"/>
    </row>
    <row r="2455">
      <c r="A2455" s="176"/>
      <c r="D2455" s="176"/>
    </row>
    <row r="2456">
      <c r="A2456" s="176"/>
      <c r="D2456" s="176"/>
    </row>
    <row r="2457">
      <c r="A2457" s="176"/>
      <c r="D2457" s="176"/>
    </row>
    <row r="2458">
      <c r="A2458" s="176"/>
      <c r="D2458" s="176"/>
    </row>
    <row r="2459">
      <c r="A2459" s="176"/>
      <c r="D2459" s="176"/>
    </row>
    <row r="2460">
      <c r="A2460" s="176"/>
      <c r="D2460" s="176"/>
    </row>
    <row r="2461">
      <c r="A2461" s="176"/>
      <c r="D2461" s="176"/>
    </row>
    <row r="2462">
      <c r="A2462" s="176"/>
      <c r="D2462" s="176"/>
    </row>
    <row r="2463">
      <c r="A2463" s="176"/>
      <c r="D2463" s="176"/>
    </row>
    <row r="2464">
      <c r="A2464" s="176"/>
      <c r="D2464" s="176"/>
    </row>
    <row r="2465">
      <c r="A2465" s="176"/>
      <c r="D2465" s="176"/>
    </row>
    <row r="2466">
      <c r="A2466" s="176"/>
      <c r="D2466" s="176"/>
    </row>
    <row r="2467">
      <c r="A2467" s="176"/>
      <c r="D2467" s="176"/>
    </row>
    <row r="2468">
      <c r="A2468" s="176"/>
      <c r="D2468" s="176"/>
    </row>
    <row r="2469">
      <c r="A2469" s="176"/>
      <c r="D2469" s="176"/>
    </row>
    <row r="2470">
      <c r="A2470" s="176"/>
      <c r="D2470" s="176"/>
    </row>
    <row r="2471">
      <c r="A2471" s="176"/>
      <c r="D2471" s="176"/>
    </row>
    <row r="2472">
      <c r="A2472" s="176"/>
      <c r="D2472" s="176"/>
    </row>
    <row r="2473">
      <c r="A2473" s="176"/>
      <c r="D2473" s="176"/>
    </row>
    <row r="2474">
      <c r="A2474" s="176"/>
      <c r="D2474" s="176"/>
    </row>
    <row r="2475">
      <c r="A2475" s="176"/>
      <c r="D2475" s="176"/>
    </row>
    <row r="2476">
      <c r="A2476" s="176"/>
      <c r="D2476" s="176"/>
    </row>
    <row r="2477">
      <c r="A2477" s="176"/>
      <c r="D2477" s="176"/>
    </row>
    <row r="2478">
      <c r="A2478" s="176"/>
      <c r="D2478" s="176"/>
    </row>
    <row r="2479">
      <c r="A2479" s="176"/>
      <c r="D2479" s="176"/>
    </row>
    <row r="2480">
      <c r="A2480" s="176"/>
      <c r="D2480" s="176"/>
    </row>
    <row r="2481">
      <c r="A2481" s="176"/>
      <c r="D2481" s="176"/>
    </row>
    <row r="2482">
      <c r="A2482" s="176"/>
      <c r="D2482" s="176"/>
    </row>
    <row r="2483">
      <c r="A2483" s="176"/>
      <c r="D2483" s="176"/>
    </row>
    <row r="2484">
      <c r="A2484" s="176"/>
      <c r="D2484" s="176"/>
    </row>
    <row r="2485">
      <c r="A2485" s="176"/>
      <c r="D2485" s="176"/>
    </row>
    <row r="2486">
      <c r="A2486" s="176"/>
      <c r="D2486" s="176"/>
    </row>
    <row r="2487">
      <c r="A2487" s="176"/>
      <c r="D2487" s="176"/>
    </row>
    <row r="2488">
      <c r="A2488" s="176"/>
      <c r="D2488" s="176"/>
    </row>
    <row r="2489">
      <c r="A2489" s="176"/>
      <c r="D2489" s="176"/>
    </row>
    <row r="2490">
      <c r="A2490" s="176"/>
      <c r="D2490" s="176"/>
    </row>
    <row r="2491">
      <c r="A2491" s="176"/>
      <c r="D2491" s="176"/>
    </row>
    <row r="2492">
      <c r="A2492" s="176"/>
      <c r="D2492" s="176"/>
    </row>
    <row r="2493">
      <c r="A2493" s="176"/>
      <c r="D2493" s="176"/>
    </row>
    <row r="2494">
      <c r="A2494" s="176"/>
      <c r="D2494" s="176"/>
    </row>
    <row r="2495">
      <c r="A2495" s="176"/>
      <c r="D2495" s="176"/>
    </row>
    <row r="2496">
      <c r="A2496" s="176"/>
      <c r="D2496" s="176"/>
    </row>
    <row r="2497">
      <c r="A2497" s="176"/>
      <c r="D2497" s="176"/>
    </row>
    <row r="2498">
      <c r="A2498" s="176"/>
      <c r="D2498" s="176"/>
    </row>
    <row r="2499">
      <c r="A2499" s="176"/>
      <c r="D2499" s="176"/>
    </row>
    <row r="2500">
      <c r="A2500" s="176"/>
      <c r="D2500" s="176"/>
    </row>
    <row r="2501">
      <c r="A2501" s="176"/>
      <c r="D2501" s="176"/>
    </row>
    <row r="2502">
      <c r="A2502" s="176"/>
      <c r="D2502" s="176"/>
    </row>
    <row r="2503">
      <c r="A2503" s="176"/>
      <c r="D2503" s="176"/>
    </row>
    <row r="2504">
      <c r="A2504" s="176"/>
      <c r="D2504" s="176"/>
    </row>
    <row r="2505">
      <c r="A2505" s="176"/>
      <c r="D2505" s="176"/>
    </row>
    <row r="2506">
      <c r="A2506" s="176"/>
      <c r="D2506" s="176"/>
    </row>
    <row r="2507">
      <c r="A2507" s="176"/>
      <c r="D2507" s="176"/>
    </row>
    <row r="2508">
      <c r="A2508" s="176"/>
      <c r="D2508" s="176"/>
    </row>
    <row r="2509">
      <c r="A2509" s="176"/>
      <c r="D2509" s="176"/>
    </row>
    <row r="2510">
      <c r="A2510" s="176"/>
      <c r="D2510" s="176"/>
    </row>
    <row r="2511">
      <c r="A2511" s="176"/>
      <c r="D2511" s="176"/>
    </row>
    <row r="2512">
      <c r="A2512" s="176"/>
      <c r="D2512" s="176"/>
    </row>
    <row r="2513">
      <c r="A2513" s="176"/>
      <c r="D2513" s="176"/>
    </row>
    <row r="2514">
      <c r="A2514" s="176"/>
      <c r="D2514" s="176"/>
    </row>
    <row r="2515">
      <c r="A2515" s="176"/>
      <c r="D2515" s="176"/>
    </row>
    <row r="2516">
      <c r="A2516" s="176"/>
      <c r="D2516" s="176"/>
    </row>
    <row r="2517">
      <c r="A2517" s="176"/>
      <c r="D2517" s="176"/>
    </row>
    <row r="2518">
      <c r="A2518" s="176"/>
      <c r="D2518" s="176"/>
    </row>
    <row r="2519">
      <c r="A2519" s="176"/>
      <c r="D2519" s="176"/>
    </row>
    <row r="2520">
      <c r="A2520" s="176"/>
      <c r="D2520" s="176"/>
    </row>
    <row r="2521">
      <c r="A2521" s="176"/>
      <c r="D2521" s="176"/>
    </row>
    <row r="2522">
      <c r="A2522" s="176"/>
      <c r="D2522" s="176"/>
    </row>
    <row r="2523">
      <c r="A2523" s="176"/>
      <c r="D2523" s="176"/>
    </row>
    <row r="2524">
      <c r="A2524" s="176"/>
      <c r="D2524" s="176"/>
    </row>
    <row r="2525">
      <c r="A2525" s="176"/>
      <c r="D2525" s="176"/>
    </row>
    <row r="2526">
      <c r="A2526" s="176"/>
      <c r="D2526" s="176"/>
    </row>
    <row r="2527">
      <c r="A2527" s="176"/>
      <c r="D2527" s="176"/>
    </row>
    <row r="2528">
      <c r="A2528" s="176"/>
      <c r="D2528" s="176"/>
    </row>
    <row r="2529">
      <c r="A2529" s="176"/>
      <c r="D2529" s="176"/>
    </row>
    <row r="2530">
      <c r="A2530" s="176"/>
      <c r="D2530" s="176"/>
    </row>
    <row r="2531">
      <c r="A2531" s="176"/>
      <c r="D2531" s="176"/>
    </row>
    <row r="2532">
      <c r="A2532" s="176"/>
      <c r="D2532" s="176"/>
    </row>
    <row r="2533">
      <c r="A2533" s="176"/>
      <c r="D2533" s="176"/>
    </row>
    <row r="2534">
      <c r="A2534" s="176"/>
      <c r="D2534" s="176"/>
    </row>
    <row r="2535">
      <c r="A2535" s="176"/>
      <c r="D2535" s="176"/>
    </row>
    <row r="2536">
      <c r="A2536" s="176"/>
      <c r="D2536" s="176"/>
    </row>
    <row r="2537">
      <c r="A2537" s="176"/>
      <c r="D2537" s="176"/>
    </row>
    <row r="2538">
      <c r="A2538" s="176"/>
      <c r="D2538" s="176"/>
    </row>
    <row r="2539">
      <c r="A2539" s="176"/>
      <c r="D2539" s="176"/>
    </row>
    <row r="2540">
      <c r="A2540" s="176"/>
      <c r="D2540" s="176"/>
    </row>
    <row r="2541">
      <c r="A2541" s="176"/>
      <c r="D2541" s="176"/>
    </row>
    <row r="2542">
      <c r="A2542" s="176"/>
      <c r="D2542" s="176"/>
    </row>
    <row r="2543">
      <c r="A2543" s="176"/>
      <c r="D2543" s="176"/>
    </row>
    <row r="2544">
      <c r="A2544" s="176"/>
      <c r="D2544" s="176"/>
    </row>
    <row r="2545">
      <c r="A2545" s="176"/>
      <c r="D2545" s="176"/>
    </row>
    <row r="2546">
      <c r="A2546" s="176"/>
      <c r="D2546" s="176"/>
    </row>
    <row r="2547">
      <c r="A2547" s="176"/>
      <c r="D2547" s="176"/>
    </row>
    <row r="2548">
      <c r="A2548" s="176"/>
      <c r="D2548" s="176"/>
    </row>
    <row r="2549">
      <c r="A2549" s="176"/>
      <c r="D2549" s="176"/>
    </row>
    <row r="2550">
      <c r="A2550" s="176"/>
      <c r="D2550" s="176"/>
    </row>
    <row r="2551">
      <c r="A2551" s="176"/>
      <c r="D2551" s="176"/>
    </row>
    <row r="2552">
      <c r="A2552" s="176"/>
      <c r="D2552" s="176"/>
    </row>
    <row r="2553">
      <c r="A2553" s="176"/>
      <c r="D2553" s="176"/>
    </row>
    <row r="2554">
      <c r="A2554" s="176"/>
      <c r="D2554" s="176"/>
    </row>
    <row r="2555">
      <c r="A2555" s="176"/>
      <c r="D2555" s="176"/>
    </row>
    <row r="2556">
      <c r="A2556" s="176"/>
      <c r="D2556" s="176"/>
    </row>
    <row r="2557">
      <c r="A2557" s="176"/>
      <c r="D2557" s="176"/>
    </row>
    <row r="2558">
      <c r="A2558" s="176"/>
      <c r="D2558" s="176"/>
    </row>
    <row r="2559">
      <c r="A2559" s="176"/>
      <c r="D2559" s="176"/>
    </row>
    <row r="2560">
      <c r="A2560" s="176"/>
      <c r="D2560" s="176"/>
    </row>
    <row r="2561">
      <c r="A2561" s="176"/>
      <c r="D2561" s="176"/>
    </row>
    <row r="2562">
      <c r="A2562" s="176"/>
      <c r="D2562" s="176"/>
    </row>
    <row r="2563">
      <c r="A2563" s="176"/>
      <c r="D2563" s="176"/>
    </row>
    <row r="2564">
      <c r="A2564" s="176"/>
      <c r="D2564" s="176"/>
    </row>
    <row r="2565">
      <c r="A2565" s="176"/>
      <c r="D2565" s="176"/>
    </row>
    <row r="2566">
      <c r="A2566" s="176"/>
      <c r="D2566" s="176"/>
    </row>
    <row r="2567">
      <c r="A2567" s="176"/>
      <c r="D2567" s="176"/>
    </row>
    <row r="2568">
      <c r="A2568" s="176"/>
      <c r="D2568" s="176"/>
    </row>
    <row r="2569">
      <c r="A2569" s="176"/>
      <c r="D2569" s="176"/>
    </row>
    <row r="2570">
      <c r="A2570" s="176"/>
      <c r="D2570" s="176"/>
    </row>
    <row r="2571">
      <c r="A2571" s="176"/>
      <c r="D2571" s="176"/>
    </row>
    <row r="2572">
      <c r="A2572" s="176"/>
      <c r="D2572" s="176"/>
    </row>
    <row r="2573">
      <c r="A2573" s="176"/>
      <c r="D2573" s="176"/>
    </row>
    <row r="2574">
      <c r="A2574" s="176"/>
      <c r="D2574" s="176"/>
    </row>
    <row r="2575">
      <c r="A2575" s="176"/>
      <c r="D2575" s="176"/>
    </row>
    <row r="2576">
      <c r="A2576" s="176"/>
      <c r="D2576" s="176"/>
    </row>
    <row r="2577">
      <c r="A2577" s="176"/>
      <c r="D2577" s="176"/>
    </row>
    <row r="2578">
      <c r="A2578" s="176"/>
      <c r="D2578" s="176"/>
    </row>
    <row r="2579">
      <c r="A2579" s="176"/>
      <c r="D2579" s="176"/>
    </row>
    <row r="2580">
      <c r="A2580" s="176"/>
      <c r="D2580" s="176"/>
    </row>
    <row r="2581">
      <c r="A2581" s="176"/>
      <c r="D2581" s="176"/>
    </row>
    <row r="2582">
      <c r="A2582" s="176"/>
      <c r="D2582" s="176"/>
    </row>
    <row r="2583">
      <c r="A2583" s="176"/>
      <c r="D2583" s="176"/>
    </row>
    <row r="2584">
      <c r="A2584" s="176"/>
      <c r="D2584" s="176"/>
    </row>
    <row r="2585">
      <c r="A2585" s="176"/>
      <c r="D2585" s="176"/>
    </row>
    <row r="2586">
      <c r="A2586" s="176"/>
      <c r="D2586" s="176"/>
    </row>
    <row r="2587">
      <c r="A2587" s="176"/>
      <c r="D2587" s="176"/>
    </row>
    <row r="2588">
      <c r="A2588" s="176"/>
      <c r="D2588" s="176"/>
    </row>
    <row r="2589">
      <c r="A2589" s="176"/>
      <c r="D2589" s="176"/>
    </row>
    <row r="2590">
      <c r="A2590" s="176"/>
      <c r="D2590" s="176"/>
    </row>
    <row r="2591">
      <c r="A2591" s="176"/>
      <c r="D2591" s="176"/>
    </row>
    <row r="2592">
      <c r="A2592" s="176"/>
      <c r="D2592" s="176"/>
    </row>
    <row r="2593">
      <c r="A2593" s="176"/>
      <c r="D2593" s="176"/>
    </row>
    <row r="2594">
      <c r="A2594" s="176"/>
      <c r="D2594" s="176"/>
    </row>
    <row r="2595">
      <c r="A2595" s="176"/>
      <c r="D2595" s="176"/>
    </row>
    <row r="2596">
      <c r="A2596" s="176"/>
      <c r="D2596" s="176"/>
    </row>
    <row r="2597">
      <c r="A2597" s="176"/>
      <c r="D2597" s="176"/>
    </row>
    <row r="2598">
      <c r="A2598" s="176"/>
      <c r="D2598" s="176"/>
    </row>
    <row r="2599">
      <c r="A2599" s="176"/>
      <c r="D2599" s="176"/>
    </row>
    <row r="2600">
      <c r="A2600" s="176"/>
      <c r="D2600" s="176"/>
    </row>
    <row r="2601">
      <c r="A2601" s="176"/>
      <c r="D2601" s="176"/>
    </row>
    <row r="2602">
      <c r="A2602" s="176"/>
      <c r="D2602" s="176"/>
    </row>
    <row r="2603">
      <c r="A2603" s="176"/>
      <c r="D2603" s="176"/>
    </row>
    <row r="2604">
      <c r="A2604" s="176"/>
      <c r="D2604" s="176"/>
    </row>
    <row r="2605">
      <c r="A2605" s="176"/>
      <c r="D2605" s="176"/>
    </row>
    <row r="2606">
      <c r="A2606" s="176"/>
      <c r="D2606" s="176"/>
    </row>
    <row r="2607">
      <c r="A2607" s="176"/>
      <c r="D2607" s="176"/>
    </row>
    <row r="2608">
      <c r="A2608" s="176"/>
      <c r="D2608" s="176"/>
    </row>
    <row r="2609">
      <c r="A2609" s="176"/>
      <c r="D2609" s="176"/>
    </row>
    <row r="2610">
      <c r="A2610" s="176"/>
      <c r="D2610" s="176"/>
    </row>
    <row r="2611">
      <c r="A2611" s="176"/>
      <c r="D2611" s="176"/>
    </row>
    <row r="2612">
      <c r="A2612" s="176"/>
      <c r="D2612" s="176"/>
    </row>
    <row r="2613">
      <c r="A2613" s="176"/>
      <c r="D2613" s="176"/>
    </row>
    <row r="2614">
      <c r="A2614" s="176"/>
      <c r="D2614" s="176"/>
    </row>
    <row r="2615">
      <c r="A2615" s="176"/>
      <c r="D2615" s="176"/>
    </row>
    <row r="2616">
      <c r="A2616" s="176"/>
      <c r="D2616" s="176"/>
    </row>
    <row r="2617">
      <c r="A2617" s="176"/>
      <c r="D2617" s="176"/>
    </row>
    <row r="2618">
      <c r="A2618" s="176"/>
      <c r="D2618" s="176"/>
    </row>
    <row r="2619">
      <c r="A2619" s="176"/>
      <c r="D2619" s="176"/>
    </row>
    <row r="2620">
      <c r="A2620" s="176"/>
      <c r="D2620" s="176"/>
    </row>
    <row r="2621">
      <c r="A2621" s="176"/>
      <c r="D2621" s="176"/>
    </row>
    <row r="2622">
      <c r="A2622" s="176"/>
      <c r="D2622" s="176"/>
    </row>
    <row r="2623">
      <c r="A2623" s="176"/>
      <c r="D2623" s="176"/>
    </row>
    <row r="2624">
      <c r="A2624" s="176"/>
      <c r="D2624" s="176"/>
    </row>
    <row r="2625">
      <c r="A2625" s="176"/>
      <c r="D2625" s="176"/>
    </row>
    <row r="2626">
      <c r="A2626" s="176"/>
      <c r="D2626" s="176"/>
    </row>
    <row r="2627">
      <c r="A2627" s="176"/>
      <c r="D2627" s="176"/>
    </row>
    <row r="2628">
      <c r="A2628" s="176"/>
      <c r="D2628" s="176"/>
    </row>
    <row r="2629">
      <c r="A2629" s="176"/>
      <c r="D2629" s="176"/>
    </row>
    <row r="2630">
      <c r="A2630" s="176"/>
      <c r="D2630" s="176"/>
    </row>
    <row r="2631">
      <c r="A2631" s="176"/>
      <c r="D2631" s="176"/>
    </row>
    <row r="2632">
      <c r="A2632" s="176"/>
      <c r="D2632" s="176"/>
    </row>
    <row r="2633">
      <c r="A2633" s="176"/>
      <c r="D2633" s="176"/>
    </row>
    <row r="2634">
      <c r="A2634" s="176"/>
      <c r="D2634" s="176"/>
    </row>
    <row r="2635">
      <c r="A2635" s="176"/>
      <c r="D2635" s="176"/>
    </row>
    <row r="2636">
      <c r="A2636" s="176"/>
      <c r="D2636" s="176"/>
    </row>
    <row r="2637">
      <c r="A2637" s="176"/>
      <c r="D2637" s="176"/>
    </row>
    <row r="2638">
      <c r="A2638" s="176"/>
      <c r="D2638" s="176"/>
    </row>
    <row r="2639">
      <c r="A2639" s="176"/>
      <c r="D2639" s="176"/>
    </row>
    <row r="2640">
      <c r="A2640" s="176"/>
      <c r="D2640" s="176"/>
    </row>
    <row r="2641">
      <c r="A2641" s="176"/>
      <c r="D2641" s="176"/>
    </row>
    <row r="2642">
      <c r="A2642" s="176"/>
      <c r="D2642" s="176"/>
    </row>
    <row r="2643">
      <c r="A2643" s="176"/>
      <c r="D2643" s="176"/>
    </row>
    <row r="2644">
      <c r="A2644" s="176"/>
      <c r="D2644" s="176"/>
    </row>
    <row r="2645">
      <c r="A2645" s="176"/>
      <c r="D2645" s="176"/>
    </row>
    <row r="2646">
      <c r="A2646" s="176"/>
      <c r="D2646" s="176"/>
    </row>
    <row r="2647">
      <c r="A2647" s="176"/>
      <c r="D2647" s="176"/>
    </row>
    <row r="2648">
      <c r="A2648" s="176"/>
      <c r="D2648" s="176"/>
    </row>
    <row r="2649">
      <c r="A2649" s="176"/>
      <c r="D2649" s="176"/>
    </row>
    <row r="2650">
      <c r="A2650" s="176"/>
      <c r="D2650" s="176"/>
    </row>
    <row r="2651">
      <c r="A2651" s="176"/>
      <c r="D2651" s="176"/>
    </row>
    <row r="2652">
      <c r="A2652" s="176"/>
      <c r="D2652" s="176"/>
    </row>
    <row r="2653">
      <c r="A2653" s="176"/>
      <c r="D2653" s="176"/>
    </row>
    <row r="2654">
      <c r="A2654" s="176"/>
      <c r="D2654" s="176"/>
    </row>
    <row r="2655">
      <c r="A2655" s="176"/>
      <c r="D2655" s="176"/>
    </row>
    <row r="2656">
      <c r="A2656" s="176"/>
      <c r="D2656" s="176"/>
    </row>
    <row r="2657">
      <c r="A2657" s="176"/>
      <c r="D2657" s="176"/>
    </row>
    <row r="2658">
      <c r="A2658" s="176"/>
      <c r="D2658" s="176"/>
    </row>
    <row r="2659">
      <c r="A2659" s="176"/>
      <c r="D2659" s="176"/>
    </row>
    <row r="2660">
      <c r="A2660" s="176"/>
      <c r="D2660" s="176"/>
    </row>
    <row r="2661">
      <c r="A2661" s="176"/>
      <c r="D2661" s="176"/>
    </row>
    <row r="2662">
      <c r="A2662" s="176"/>
      <c r="D2662" s="176"/>
    </row>
    <row r="2663">
      <c r="A2663" s="176"/>
      <c r="D2663" s="176"/>
    </row>
    <row r="2664">
      <c r="A2664" s="176"/>
      <c r="D2664" s="176"/>
    </row>
    <row r="2665">
      <c r="A2665" s="176"/>
      <c r="D2665" s="176"/>
    </row>
    <row r="2666">
      <c r="A2666" s="176"/>
      <c r="D2666" s="176"/>
    </row>
    <row r="2667">
      <c r="A2667" s="176"/>
      <c r="D2667" s="176"/>
    </row>
    <row r="2668">
      <c r="A2668" s="176"/>
      <c r="D2668" s="176"/>
    </row>
    <row r="2669">
      <c r="A2669" s="176"/>
      <c r="D2669" s="176"/>
    </row>
    <row r="2670">
      <c r="A2670" s="176"/>
      <c r="D2670" s="176"/>
    </row>
    <row r="2671">
      <c r="A2671" s="176"/>
      <c r="D2671" s="176"/>
    </row>
    <row r="2672">
      <c r="A2672" s="176"/>
      <c r="D2672" s="176"/>
    </row>
    <row r="2673">
      <c r="A2673" s="176"/>
      <c r="D2673" s="176"/>
    </row>
    <row r="2674">
      <c r="A2674" s="176"/>
      <c r="D2674" s="176"/>
    </row>
    <row r="2675">
      <c r="A2675" s="176"/>
      <c r="D2675" s="176"/>
    </row>
    <row r="2676">
      <c r="A2676" s="176"/>
      <c r="D2676" s="176"/>
    </row>
    <row r="2677">
      <c r="A2677" s="176"/>
      <c r="D2677" s="176"/>
    </row>
    <row r="2678">
      <c r="A2678" s="176"/>
      <c r="D2678" s="176"/>
    </row>
    <row r="2679">
      <c r="A2679" s="176"/>
      <c r="D2679" s="176"/>
    </row>
    <row r="2680">
      <c r="A2680" s="176"/>
      <c r="D2680" s="176"/>
    </row>
    <row r="2681">
      <c r="A2681" s="176"/>
      <c r="D2681" s="176"/>
    </row>
    <row r="2682">
      <c r="A2682" s="176"/>
      <c r="D2682" s="176"/>
    </row>
    <row r="2683">
      <c r="A2683" s="176"/>
      <c r="D2683" s="176"/>
    </row>
    <row r="2684">
      <c r="A2684" s="176"/>
      <c r="D2684" s="176"/>
    </row>
    <row r="2685">
      <c r="A2685" s="176"/>
      <c r="D2685" s="176"/>
    </row>
    <row r="2686">
      <c r="A2686" s="176"/>
      <c r="D2686" s="176"/>
    </row>
    <row r="2687">
      <c r="A2687" s="176"/>
      <c r="D2687" s="176"/>
    </row>
    <row r="2688">
      <c r="A2688" s="176"/>
      <c r="D2688" s="176"/>
    </row>
    <row r="2689">
      <c r="A2689" s="176"/>
      <c r="D2689" s="176"/>
    </row>
    <row r="2690">
      <c r="A2690" s="176"/>
      <c r="D2690" s="176"/>
    </row>
    <row r="2691">
      <c r="A2691" s="176"/>
      <c r="D2691" s="176"/>
    </row>
    <row r="2692">
      <c r="A2692" s="176"/>
      <c r="D2692" s="176"/>
    </row>
    <row r="2693">
      <c r="A2693" s="176"/>
      <c r="D2693" s="176"/>
    </row>
    <row r="2694">
      <c r="A2694" s="176"/>
      <c r="D2694" s="176"/>
    </row>
    <row r="2695">
      <c r="A2695" s="176"/>
      <c r="D2695" s="176"/>
    </row>
    <row r="2696">
      <c r="A2696" s="176"/>
      <c r="D2696" s="176"/>
    </row>
    <row r="2697">
      <c r="A2697" s="176"/>
      <c r="D2697" s="176"/>
    </row>
    <row r="2698">
      <c r="A2698" s="176"/>
      <c r="D2698" s="176"/>
    </row>
    <row r="2699">
      <c r="A2699" s="176"/>
      <c r="D2699" s="176"/>
    </row>
    <row r="2700">
      <c r="A2700" s="176"/>
      <c r="D2700" s="176"/>
    </row>
    <row r="2701">
      <c r="A2701" s="176"/>
      <c r="D2701" s="176"/>
    </row>
    <row r="2702">
      <c r="A2702" s="176"/>
      <c r="D2702" s="176"/>
    </row>
    <row r="2703">
      <c r="A2703" s="176"/>
      <c r="D2703" s="176"/>
    </row>
    <row r="2704">
      <c r="A2704" s="176"/>
      <c r="D2704" s="176"/>
    </row>
    <row r="2705">
      <c r="A2705" s="176"/>
      <c r="D2705" s="176"/>
    </row>
    <row r="2706">
      <c r="A2706" s="176"/>
      <c r="D2706" s="176"/>
    </row>
    <row r="2707">
      <c r="A2707" s="176"/>
      <c r="D2707" s="176"/>
    </row>
    <row r="2708">
      <c r="A2708" s="176"/>
      <c r="D2708" s="176"/>
    </row>
    <row r="2709">
      <c r="A2709" s="176"/>
      <c r="D2709" s="176"/>
    </row>
    <row r="2710">
      <c r="A2710" s="176"/>
      <c r="D2710" s="176"/>
    </row>
    <row r="2711">
      <c r="A2711" s="176"/>
      <c r="D2711" s="176"/>
    </row>
    <row r="2712">
      <c r="A2712" s="176"/>
      <c r="D2712" s="176"/>
    </row>
    <row r="2713">
      <c r="A2713" s="176"/>
      <c r="D2713" s="176"/>
    </row>
    <row r="2714">
      <c r="A2714" s="176"/>
      <c r="D2714" s="176"/>
    </row>
    <row r="2715">
      <c r="A2715" s="176"/>
      <c r="D2715" s="176"/>
    </row>
    <row r="2716">
      <c r="A2716" s="176"/>
      <c r="D2716" s="176"/>
    </row>
    <row r="2717">
      <c r="A2717" s="176"/>
      <c r="D2717" s="176"/>
    </row>
    <row r="2718">
      <c r="A2718" s="176"/>
      <c r="D2718" s="176"/>
    </row>
    <row r="2719">
      <c r="A2719" s="176"/>
      <c r="D2719" s="176"/>
    </row>
    <row r="2720">
      <c r="A2720" s="176"/>
      <c r="D2720" s="176"/>
    </row>
    <row r="2721">
      <c r="A2721" s="176"/>
      <c r="D2721" s="176"/>
    </row>
    <row r="2722">
      <c r="A2722" s="176"/>
      <c r="D2722" s="176"/>
    </row>
    <row r="2723">
      <c r="A2723" s="176"/>
      <c r="D2723" s="176"/>
    </row>
    <row r="2724">
      <c r="A2724" s="176"/>
      <c r="D2724" s="176"/>
    </row>
    <row r="2725">
      <c r="A2725" s="176"/>
      <c r="D2725" s="176"/>
    </row>
    <row r="2726">
      <c r="A2726" s="176"/>
      <c r="D2726" s="176"/>
    </row>
    <row r="2727">
      <c r="A2727" s="176"/>
      <c r="D2727" s="176"/>
    </row>
    <row r="2728">
      <c r="A2728" s="176"/>
      <c r="D2728" s="176"/>
    </row>
    <row r="2729">
      <c r="A2729" s="176"/>
      <c r="D2729" s="176"/>
    </row>
    <row r="2730">
      <c r="A2730" s="176"/>
      <c r="D2730" s="176"/>
    </row>
    <row r="2731">
      <c r="A2731" s="176"/>
      <c r="D2731" s="176"/>
    </row>
    <row r="2732">
      <c r="A2732" s="176"/>
      <c r="D2732" s="176"/>
    </row>
    <row r="2733">
      <c r="A2733" s="176"/>
      <c r="D2733" s="176"/>
    </row>
    <row r="2734">
      <c r="A2734" s="176"/>
      <c r="D2734" s="176"/>
    </row>
    <row r="2735">
      <c r="A2735" s="176"/>
      <c r="D2735" s="176"/>
    </row>
    <row r="2736">
      <c r="A2736" s="176"/>
      <c r="D2736" s="176"/>
    </row>
    <row r="2737">
      <c r="A2737" s="176"/>
      <c r="D2737" s="176"/>
    </row>
    <row r="2738">
      <c r="A2738" s="176"/>
      <c r="D2738" s="176"/>
    </row>
    <row r="2739">
      <c r="A2739" s="176"/>
      <c r="D2739" s="176"/>
    </row>
    <row r="2740">
      <c r="A2740" s="176"/>
      <c r="D2740" s="176"/>
    </row>
    <row r="2741">
      <c r="A2741" s="176"/>
      <c r="D2741" s="176"/>
    </row>
    <row r="2742">
      <c r="A2742" s="176"/>
      <c r="D2742" s="176"/>
    </row>
    <row r="2743">
      <c r="A2743" s="176"/>
      <c r="D2743" s="176"/>
    </row>
    <row r="2744">
      <c r="A2744" s="176"/>
      <c r="D2744" s="176"/>
    </row>
    <row r="2745">
      <c r="A2745" s="176"/>
      <c r="D2745" s="176"/>
    </row>
    <row r="2746">
      <c r="A2746" s="176"/>
      <c r="D2746" s="176"/>
    </row>
    <row r="2747">
      <c r="A2747" s="176"/>
      <c r="D2747" s="176"/>
    </row>
    <row r="2748">
      <c r="A2748" s="176"/>
      <c r="D2748" s="176"/>
    </row>
    <row r="2749">
      <c r="A2749" s="176"/>
      <c r="D2749" s="176"/>
    </row>
    <row r="2750">
      <c r="A2750" s="176"/>
      <c r="D2750" s="176"/>
    </row>
    <row r="2751">
      <c r="A2751" s="176"/>
      <c r="D2751" s="176"/>
    </row>
    <row r="2752">
      <c r="A2752" s="176"/>
      <c r="D2752" s="176"/>
    </row>
    <row r="2753">
      <c r="A2753" s="176"/>
      <c r="D2753" s="176"/>
    </row>
    <row r="2754">
      <c r="A2754" s="176"/>
      <c r="D2754" s="176"/>
    </row>
    <row r="2755">
      <c r="A2755" s="176"/>
      <c r="D2755" s="176"/>
    </row>
    <row r="2756">
      <c r="A2756" s="176"/>
      <c r="D2756" s="176"/>
    </row>
    <row r="2757">
      <c r="A2757" s="176"/>
      <c r="D2757" s="176"/>
    </row>
    <row r="2758">
      <c r="A2758" s="176"/>
      <c r="D2758" s="176"/>
    </row>
    <row r="2759">
      <c r="A2759" s="176"/>
      <c r="D2759" s="176"/>
    </row>
    <row r="2760">
      <c r="A2760" s="176"/>
      <c r="D2760" s="176"/>
    </row>
    <row r="2761">
      <c r="A2761" s="176"/>
      <c r="D2761" s="176"/>
    </row>
    <row r="2762">
      <c r="A2762" s="176"/>
      <c r="D2762" s="176"/>
    </row>
    <row r="2763">
      <c r="A2763" s="176"/>
      <c r="D2763" s="176"/>
    </row>
    <row r="2764">
      <c r="A2764" s="176"/>
      <c r="D2764" s="176"/>
    </row>
    <row r="2765">
      <c r="A2765" s="176"/>
      <c r="D2765" s="176"/>
    </row>
    <row r="2766">
      <c r="A2766" s="176"/>
      <c r="D2766" s="176"/>
    </row>
    <row r="2767">
      <c r="A2767" s="176"/>
      <c r="D2767" s="176"/>
    </row>
    <row r="2768">
      <c r="A2768" s="176"/>
      <c r="D2768" s="176"/>
    </row>
    <row r="2769">
      <c r="A2769" s="176"/>
      <c r="D2769" s="176"/>
    </row>
    <row r="2770">
      <c r="A2770" s="176"/>
      <c r="D2770" s="176"/>
    </row>
    <row r="2771">
      <c r="A2771" s="176"/>
      <c r="D2771" s="176"/>
    </row>
    <row r="2772">
      <c r="A2772" s="176"/>
      <c r="D2772" s="176"/>
    </row>
    <row r="2773">
      <c r="A2773" s="176"/>
      <c r="D2773" s="176"/>
    </row>
    <row r="2774">
      <c r="A2774" s="176"/>
      <c r="D2774" s="176"/>
    </row>
    <row r="2775">
      <c r="A2775" s="176"/>
      <c r="D2775" s="176"/>
    </row>
    <row r="2776">
      <c r="A2776" s="176"/>
      <c r="D2776" s="176"/>
    </row>
    <row r="2777">
      <c r="A2777" s="176"/>
      <c r="D2777" s="176"/>
    </row>
    <row r="2778">
      <c r="A2778" s="176"/>
      <c r="D2778" s="176"/>
    </row>
    <row r="2779">
      <c r="A2779" s="176"/>
      <c r="D2779" s="176"/>
    </row>
    <row r="2780">
      <c r="A2780" s="176"/>
      <c r="D2780" s="176"/>
    </row>
    <row r="2781">
      <c r="A2781" s="176"/>
      <c r="D2781" s="176"/>
    </row>
    <row r="2782">
      <c r="A2782" s="176"/>
      <c r="D2782" s="176"/>
    </row>
    <row r="2783">
      <c r="A2783" s="176"/>
      <c r="D2783" s="176"/>
    </row>
    <row r="2784">
      <c r="A2784" s="176"/>
      <c r="D2784" s="176"/>
    </row>
    <row r="2785">
      <c r="A2785" s="176"/>
      <c r="D2785" s="176"/>
    </row>
    <row r="2786">
      <c r="A2786" s="176"/>
      <c r="D2786" s="176"/>
    </row>
    <row r="2787">
      <c r="A2787" s="176"/>
      <c r="D2787" s="176"/>
    </row>
    <row r="2788">
      <c r="A2788" s="176"/>
      <c r="D2788" s="176"/>
    </row>
    <row r="2789">
      <c r="A2789" s="176"/>
      <c r="D2789" s="176"/>
    </row>
    <row r="2790">
      <c r="A2790" s="176"/>
      <c r="D2790" s="176"/>
    </row>
    <row r="2791">
      <c r="A2791" s="176"/>
      <c r="D2791" s="176"/>
    </row>
    <row r="2792">
      <c r="A2792" s="176"/>
      <c r="D2792" s="176"/>
    </row>
    <row r="2793">
      <c r="A2793" s="176"/>
      <c r="D2793" s="176"/>
    </row>
    <row r="2794">
      <c r="A2794" s="176"/>
      <c r="D2794" s="176"/>
    </row>
    <row r="2795">
      <c r="A2795" s="176"/>
      <c r="D2795" s="176"/>
    </row>
    <row r="2796">
      <c r="A2796" s="176"/>
      <c r="D2796" s="176"/>
    </row>
    <row r="2797">
      <c r="A2797" s="176"/>
      <c r="D2797" s="176"/>
    </row>
    <row r="2798">
      <c r="A2798" s="176"/>
      <c r="D2798" s="176"/>
    </row>
    <row r="2799">
      <c r="A2799" s="176"/>
      <c r="D2799" s="176"/>
    </row>
    <row r="2800">
      <c r="A2800" s="176"/>
      <c r="D2800" s="176"/>
    </row>
    <row r="2801">
      <c r="A2801" s="176"/>
      <c r="D2801" s="176"/>
    </row>
    <row r="2802">
      <c r="A2802" s="176"/>
      <c r="D2802" s="176"/>
    </row>
    <row r="2803">
      <c r="A2803" s="176"/>
      <c r="D2803" s="176"/>
    </row>
    <row r="2804">
      <c r="A2804" s="176"/>
      <c r="D2804" s="176"/>
    </row>
    <row r="2805">
      <c r="A2805" s="176"/>
      <c r="D2805" s="176"/>
    </row>
    <row r="2806">
      <c r="A2806" s="176"/>
      <c r="D2806" s="176"/>
    </row>
    <row r="2807">
      <c r="A2807" s="176"/>
      <c r="D2807" s="176"/>
    </row>
    <row r="2808">
      <c r="A2808" s="176"/>
      <c r="D2808" s="176"/>
    </row>
    <row r="2809">
      <c r="A2809" s="176"/>
      <c r="D2809" s="176"/>
    </row>
    <row r="2810">
      <c r="A2810" s="176"/>
      <c r="D2810" s="176"/>
    </row>
    <row r="2811">
      <c r="A2811" s="176"/>
      <c r="D2811" s="176"/>
    </row>
    <row r="2812">
      <c r="A2812" s="176"/>
      <c r="D2812" s="176"/>
    </row>
    <row r="2813">
      <c r="A2813" s="176"/>
      <c r="D2813" s="176"/>
    </row>
    <row r="2814">
      <c r="A2814" s="176"/>
      <c r="D2814" s="176"/>
    </row>
    <row r="2815">
      <c r="A2815" s="176"/>
      <c r="D2815" s="176"/>
    </row>
    <row r="2816">
      <c r="A2816" s="176"/>
      <c r="D2816" s="176"/>
    </row>
    <row r="2817">
      <c r="A2817" s="176"/>
      <c r="D2817" s="176"/>
    </row>
    <row r="2818">
      <c r="A2818" s="176"/>
      <c r="D2818" s="176"/>
    </row>
    <row r="2819">
      <c r="A2819" s="176"/>
      <c r="D2819" s="176"/>
    </row>
    <row r="2820">
      <c r="A2820" s="176"/>
      <c r="D2820" s="176"/>
    </row>
    <row r="2821">
      <c r="A2821" s="176"/>
      <c r="D2821" s="176"/>
    </row>
    <row r="2822">
      <c r="A2822" s="176"/>
      <c r="D2822" s="176"/>
    </row>
    <row r="2823">
      <c r="A2823" s="176"/>
      <c r="D2823" s="176"/>
    </row>
    <row r="2824">
      <c r="A2824" s="176"/>
      <c r="D2824" s="176"/>
    </row>
    <row r="2825">
      <c r="A2825" s="176"/>
      <c r="D2825" s="176"/>
    </row>
    <row r="2826">
      <c r="A2826" s="176"/>
      <c r="D2826" s="176"/>
    </row>
    <row r="2827">
      <c r="A2827" s="176"/>
      <c r="D2827" s="176"/>
    </row>
    <row r="2828">
      <c r="A2828" s="176"/>
      <c r="D2828" s="176"/>
    </row>
    <row r="2829">
      <c r="A2829" s="176"/>
      <c r="D2829" s="176"/>
    </row>
    <row r="2830">
      <c r="A2830" s="176"/>
      <c r="D2830" s="176"/>
    </row>
    <row r="2831">
      <c r="A2831" s="176"/>
      <c r="D2831" s="176"/>
    </row>
    <row r="2832">
      <c r="A2832" s="176"/>
      <c r="D2832" s="176"/>
    </row>
    <row r="2833">
      <c r="A2833" s="176"/>
      <c r="D2833" s="176"/>
    </row>
    <row r="2834">
      <c r="A2834" s="176"/>
      <c r="D2834" s="176"/>
    </row>
    <row r="2835">
      <c r="A2835" s="176"/>
      <c r="D2835" s="176"/>
    </row>
    <row r="2836">
      <c r="A2836" s="176"/>
      <c r="D2836" s="176"/>
    </row>
    <row r="2837">
      <c r="A2837" s="176"/>
      <c r="D2837" s="176"/>
    </row>
    <row r="2838">
      <c r="A2838" s="176"/>
      <c r="D2838" s="176"/>
    </row>
    <row r="2839">
      <c r="A2839" s="176"/>
      <c r="D2839" s="176"/>
    </row>
    <row r="2840">
      <c r="A2840" s="176"/>
      <c r="D2840" s="176"/>
    </row>
    <row r="2841">
      <c r="A2841" s="176"/>
      <c r="D2841" s="176"/>
    </row>
    <row r="2842">
      <c r="A2842" s="176"/>
      <c r="D2842" s="176"/>
    </row>
    <row r="2843">
      <c r="A2843" s="176"/>
      <c r="D2843" s="176"/>
    </row>
    <row r="2844">
      <c r="A2844" s="176"/>
      <c r="D2844" s="176"/>
    </row>
    <row r="2845">
      <c r="A2845" s="176"/>
      <c r="D2845" s="176"/>
    </row>
    <row r="2846">
      <c r="A2846" s="176"/>
      <c r="D2846" s="176"/>
    </row>
    <row r="2847">
      <c r="A2847" s="176"/>
      <c r="D2847" s="176"/>
    </row>
    <row r="2848">
      <c r="A2848" s="176"/>
      <c r="D2848" s="176"/>
    </row>
    <row r="2849">
      <c r="A2849" s="176"/>
      <c r="D2849" s="176"/>
    </row>
    <row r="2850">
      <c r="A2850" s="176"/>
      <c r="D2850" s="176"/>
    </row>
    <row r="2851">
      <c r="A2851" s="176"/>
      <c r="D2851" s="176"/>
    </row>
    <row r="2852">
      <c r="A2852" s="176"/>
      <c r="D2852" s="176"/>
    </row>
    <row r="2853">
      <c r="A2853" s="176"/>
      <c r="D2853" s="176"/>
    </row>
    <row r="2854">
      <c r="A2854" s="176"/>
      <c r="D2854" s="176"/>
    </row>
    <row r="2855">
      <c r="A2855" s="176"/>
      <c r="D2855" s="176"/>
    </row>
    <row r="2856">
      <c r="A2856" s="176"/>
      <c r="D2856" s="176"/>
    </row>
    <row r="2857">
      <c r="A2857" s="176"/>
      <c r="D2857" s="176"/>
    </row>
    <row r="2858">
      <c r="A2858" s="176"/>
      <c r="D2858" s="176"/>
    </row>
    <row r="2859">
      <c r="A2859" s="176"/>
      <c r="D2859" s="176"/>
    </row>
    <row r="2860">
      <c r="A2860" s="176"/>
      <c r="D2860" s="176"/>
    </row>
    <row r="2861">
      <c r="A2861" s="176"/>
      <c r="D2861" s="176"/>
    </row>
    <row r="2862">
      <c r="A2862" s="176"/>
      <c r="D2862" s="176"/>
    </row>
    <row r="2863">
      <c r="A2863" s="176"/>
      <c r="D2863" s="176"/>
    </row>
    <row r="2864">
      <c r="A2864" s="176"/>
      <c r="D2864" s="176"/>
    </row>
    <row r="2865">
      <c r="A2865" s="176"/>
      <c r="D2865" s="176"/>
    </row>
    <row r="2866">
      <c r="A2866" s="176"/>
      <c r="D2866" s="176"/>
    </row>
    <row r="2867">
      <c r="A2867" s="176"/>
      <c r="D2867" s="176"/>
    </row>
    <row r="2868">
      <c r="A2868" s="176"/>
      <c r="D2868" s="176"/>
    </row>
    <row r="2869">
      <c r="A2869" s="176"/>
      <c r="D2869" s="176"/>
    </row>
    <row r="2870">
      <c r="A2870" s="176"/>
      <c r="D2870" s="176"/>
    </row>
    <row r="2871">
      <c r="A2871" s="176"/>
      <c r="D2871" s="176"/>
    </row>
    <row r="2872">
      <c r="A2872" s="176"/>
      <c r="D2872" s="176"/>
    </row>
    <row r="2873">
      <c r="A2873" s="176"/>
      <c r="D2873" s="176"/>
    </row>
    <row r="2874">
      <c r="A2874" s="176"/>
      <c r="D2874" s="176"/>
    </row>
    <row r="2875">
      <c r="A2875" s="176"/>
      <c r="D2875" s="176"/>
    </row>
    <row r="2876">
      <c r="A2876" s="176"/>
      <c r="D2876" s="176"/>
    </row>
    <row r="2877">
      <c r="A2877" s="176"/>
      <c r="D2877" s="176"/>
    </row>
    <row r="2878">
      <c r="A2878" s="176"/>
      <c r="D2878" s="176"/>
    </row>
    <row r="2879">
      <c r="A2879" s="176"/>
      <c r="D2879" s="176"/>
    </row>
    <row r="2880">
      <c r="A2880" s="176"/>
      <c r="D2880" s="176"/>
    </row>
    <row r="2881">
      <c r="A2881" s="176"/>
      <c r="D2881" s="176"/>
    </row>
    <row r="2882">
      <c r="A2882" s="176"/>
      <c r="D2882" s="176"/>
    </row>
    <row r="2883">
      <c r="A2883" s="176"/>
      <c r="D2883" s="176"/>
    </row>
    <row r="2884">
      <c r="A2884" s="176"/>
      <c r="D2884" s="176"/>
    </row>
    <row r="2885">
      <c r="A2885" s="176"/>
      <c r="D2885" s="176"/>
    </row>
    <row r="2886">
      <c r="A2886" s="176"/>
      <c r="D2886" s="176"/>
    </row>
    <row r="2887">
      <c r="A2887" s="176"/>
      <c r="D2887" s="176"/>
    </row>
    <row r="2888">
      <c r="A2888" s="176"/>
      <c r="D2888" s="176"/>
    </row>
    <row r="2889">
      <c r="A2889" s="176"/>
      <c r="D2889" s="176"/>
    </row>
    <row r="2890">
      <c r="A2890" s="176"/>
      <c r="D2890" s="176"/>
    </row>
    <row r="2891">
      <c r="A2891" s="176"/>
      <c r="D2891" s="176"/>
    </row>
    <row r="2892">
      <c r="A2892" s="176"/>
      <c r="D2892" s="176"/>
    </row>
    <row r="2893">
      <c r="A2893" s="176"/>
      <c r="D2893" s="176"/>
    </row>
    <row r="2894">
      <c r="A2894" s="176"/>
      <c r="D2894" s="176"/>
    </row>
    <row r="2895">
      <c r="A2895" s="176"/>
      <c r="D2895" s="176"/>
    </row>
    <row r="2896">
      <c r="A2896" s="176"/>
      <c r="D2896" s="176"/>
    </row>
    <row r="2897">
      <c r="A2897" s="176"/>
      <c r="D2897" s="176"/>
    </row>
    <row r="2898">
      <c r="A2898" s="176"/>
      <c r="D2898" s="176"/>
    </row>
    <row r="2899">
      <c r="A2899" s="176"/>
      <c r="D2899" s="176"/>
    </row>
    <row r="2900">
      <c r="A2900" s="176"/>
      <c r="D2900" s="176"/>
    </row>
    <row r="2901">
      <c r="A2901" s="176"/>
      <c r="D2901" s="176"/>
    </row>
    <row r="2902">
      <c r="A2902" s="176"/>
      <c r="D2902" s="176"/>
    </row>
    <row r="2903">
      <c r="A2903" s="176"/>
      <c r="D2903" s="176"/>
    </row>
    <row r="2904">
      <c r="A2904" s="176"/>
      <c r="D2904" s="176"/>
    </row>
    <row r="2905">
      <c r="A2905" s="176"/>
      <c r="D2905" s="176"/>
    </row>
    <row r="2906">
      <c r="A2906" s="176"/>
      <c r="D2906" s="176"/>
    </row>
    <row r="2907">
      <c r="A2907" s="176"/>
      <c r="D2907" s="176"/>
    </row>
    <row r="2908">
      <c r="A2908" s="176"/>
      <c r="D2908" s="176"/>
    </row>
    <row r="2909">
      <c r="A2909" s="176"/>
      <c r="D2909" s="176"/>
    </row>
    <row r="2910">
      <c r="A2910" s="176"/>
      <c r="D2910" s="176"/>
    </row>
    <row r="2911">
      <c r="A2911" s="176"/>
      <c r="D2911" s="176"/>
    </row>
    <row r="2912">
      <c r="A2912" s="176"/>
      <c r="D2912" s="176"/>
    </row>
    <row r="2913">
      <c r="A2913" s="176"/>
      <c r="D2913" s="176"/>
    </row>
    <row r="2914">
      <c r="A2914" s="176"/>
      <c r="D2914" s="176"/>
    </row>
    <row r="2915">
      <c r="A2915" s="176"/>
      <c r="D2915" s="176"/>
    </row>
    <row r="2916">
      <c r="A2916" s="176"/>
      <c r="D2916" s="176"/>
    </row>
    <row r="2917">
      <c r="A2917" s="176"/>
      <c r="D2917" s="176"/>
    </row>
    <row r="2918">
      <c r="A2918" s="176"/>
      <c r="D2918" s="176"/>
    </row>
    <row r="2919">
      <c r="A2919" s="176"/>
      <c r="D2919" s="176"/>
    </row>
    <row r="2920">
      <c r="A2920" s="176"/>
      <c r="D2920" s="176"/>
    </row>
    <row r="2921">
      <c r="A2921" s="176"/>
      <c r="D2921" s="176"/>
    </row>
    <row r="2922">
      <c r="A2922" s="176"/>
      <c r="D2922" s="176"/>
    </row>
    <row r="2923">
      <c r="A2923" s="176"/>
      <c r="D2923" s="176"/>
    </row>
    <row r="2924">
      <c r="A2924" s="176"/>
      <c r="D2924" s="176"/>
    </row>
    <row r="2925">
      <c r="A2925" s="176"/>
      <c r="D2925" s="176"/>
    </row>
    <row r="2926">
      <c r="A2926" s="176"/>
      <c r="D2926" s="176"/>
    </row>
    <row r="2927">
      <c r="A2927" s="176"/>
      <c r="D2927" s="176"/>
    </row>
    <row r="2928">
      <c r="A2928" s="176"/>
      <c r="D2928" s="176"/>
    </row>
    <row r="2929">
      <c r="A2929" s="176"/>
      <c r="D2929" s="176"/>
    </row>
    <row r="2930">
      <c r="A2930" s="176"/>
      <c r="D2930" s="176"/>
    </row>
    <row r="2931">
      <c r="A2931" s="176"/>
      <c r="D2931" s="176"/>
    </row>
    <row r="2932">
      <c r="A2932" s="176"/>
      <c r="D2932" s="176"/>
    </row>
    <row r="2933">
      <c r="A2933" s="176"/>
      <c r="D2933" s="176"/>
    </row>
    <row r="2934">
      <c r="A2934" s="176"/>
      <c r="D2934" s="176"/>
    </row>
    <row r="2935">
      <c r="A2935" s="176"/>
      <c r="D2935" s="176"/>
    </row>
    <row r="2936">
      <c r="A2936" s="176"/>
      <c r="D2936" s="176"/>
    </row>
    <row r="2937">
      <c r="A2937" s="176"/>
      <c r="D2937" s="176"/>
    </row>
    <row r="2938">
      <c r="A2938" s="176"/>
      <c r="D2938" s="176"/>
    </row>
    <row r="2939">
      <c r="A2939" s="176"/>
      <c r="D2939" s="176"/>
    </row>
    <row r="2940">
      <c r="A2940" s="176"/>
      <c r="D2940" s="176"/>
    </row>
    <row r="2941">
      <c r="A2941" s="176"/>
      <c r="D2941" s="176"/>
    </row>
    <row r="2942">
      <c r="A2942" s="176"/>
      <c r="D2942" s="176"/>
    </row>
    <row r="2943">
      <c r="A2943" s="176"/>
      <c r="D2943" s="176"/>
    </row>
    <row r="2944">
      <c r="A2944" s="176"/>
      <c r="D2944" s="176"/>
    </row>
    <row r="2945">
      <c r="A2945" s="176"/>
      <c r="D2945" s="176"/>
    </row>
    <row r="2946">
      <c r="A2946" s="176"/>
      <c r="D2946" s="176"/>
    </row>
    <row r="2947">
      <c r="A2947" s="176"/>
      <c r="D2947" s="176"/>
    </row>
    <row r="2948">
      <c r="A2948" s="176"/>
      <c r="D2948" s="176"/>
    </row>
    <row r="2949">
      <c r="A2949" s="176"/>
      <c r="D2949" s="176"/>
    </row>
    <row r="2950">
      <c r="A2950" s="176"/>
      <c r="D2950" s="176"/>
    </row>
    <row r="2951">
      <c r="A2951" s="176"/>
      <c r="D2951" s="176"/>
    </row>
    <row r="2952">
      <c r="A2952" s="176"/>
      <c r="D2952" s="176"/>
    </row>
    <row r="2953">
      <c r="A2953" s="176"/>
      <c r="D2953" s="176"/>
    </row>
    <row r="2954">
      <c r="A2954" s="176"/>
      <c r="D2954" s="176"/>
    </row>
    <row r="2955">
      <c r="A2955" s="176"/>
      <c r="D2955" s="176"/>
    </row>
    <row r="2956">
      <c r="A2956" s="176"/>
      <c r="D2956" s="176"/>
    </row>
    <row r="2957">
      <c r="A2957" s="176"/>
      <c r="D2957" s="176"/>
    </row>
    <row r="2958">
      <c r="A2958" s="176"/>
      <c r="D2958" s="176"/>
    </row>
    <row r="2959">
      <c r="A2959" s="176"/>
      <c r="D2959" s="176"/>
    </row>
    <row r="2960">
      <c r="A2960" s="176"/>
      <c r="D2960" s="176"/>
    </row>
    <row r="2961">
      <c r="A2961" s="176"/>
      <c r="D2961" s="176"/>
    </row>
    <row r="2962">
      <c r="A2962" s="176"/>
      <c r="D2962" s="176"/>
    </row>
    <row r="2963">
      <c r="A2963" s="176"/>
      <c r="D2963" s="176"/>
    </row>
    <row r="2964">
      <c r="A2964" s="176"/>
      <c r="D2964" s="176"/>
    </row>
    <row r="2965">
      <c r="A2965" s="176"/>
      <c r="D2965" s="176"/>
    </row>
    <row r="2966">
      <c r="A2966" s="176"/>
      <c r="D2966" s="176"/>
    </row>
    <row r="2967">
      <c r="A2967" s="176"/>
      <c r="D2967" s="176"/>
    </row>
    <row r="2968">
      <c r="A2968" s="176"/>
      <c r="D2968" s="176"/>
    </row>
    <row r="2969">
      <c r="A2969" s="176"/>
      <c r="D2969" s="176"/>
    </row>
    <row r="2970">
      <c r="A2970" s="176"/>
      <c r="D2970" s="176"/>
    </row>
    <row r="2971">
      <c r="A2971" s="176"/>
      <c r="D2971" s="176"/>
    </row>
    <row r="2972">
      <c r="A2972" s="176"/>
      <c r="D2972" s="176"/>
    </row>
    <row r="2973">
      <c r="A2973" s="176"/>
      <c r="D2973" s="176"/>
    </row>
    <row r="2974">
      <c r="A2974" s="176"/>
      <c r="D2974" s="176"/>
    </row>
    <row r="2975">
      <c r="A2975" s="176"/>
      <c r="D2975" s="176"/>
    </row>
    <row r="2976">
      <c r="A2976" s="176"/>
      <c r="D2976" s="176"/>
    </row>
    <row r="2977">
      <c r="A2977" s="176"/>
      <c r="D2977" s="176"/>
    </row>
    <row r="2978">
      <c r="A2978" s="176"/>
      <c r="D2978" s="176"/>
    </row>
    <row r="2979">
      <c r="A2979" s="176"/>
      <c r="D2979" s="176"/>
    </row>
    <row r="2980">
      <c r="A2980" s="176"/>
      <c r="D2980" s="176"/>
    </row>
    <row r="2981">
      <c r="A2981" s="176"/>
      <c r="D2981" s="176"/>
    </row>
    <row r="2982">
      <c r="A2982" s="176"/>
      <c r="D2982" s="176"/>
    </row>
    <row r="2983">
      <c r="A2983" s="176"/>
      <c r="D2983" s="176"/>
    </row>
    <row r="2984">
      <c r="A2984" s="176"/>
      <c r="D2984" s="176"/>
    </row>
    <row r="2985">
      <c r="A2985" s="176"/>
      <c r="D2985" s="176"/>
    </row>
    <row r="2986">
      <c r="A2986" s="176"/>
      <c r="D2986" s="176"/>
    </row>
    <row r="2987">
      <c r="A2987" s="176"/>
      <c r="D2987" s="176"/>
    </row>
    <row r="2988">
      <c r="A2988" s="176"/>
      <c r="D2988" s="176"/>
    </row>
    <row r="2989">
      <c r="A2989" s="176"/>
      <c r="D2989" s="176"/>
    </row>
    <row r="2990">
      <c r="A2990" s="176"/>
      <c r="D2990" s="176"/>
    </row>
    <row r="2991">
      <c r="A2991" s="176"/>
      <c r="D2991" s="176"/>
    </row>
    <row r="2992">
      <c r="A2992" s="176"/>
      <c r="D2992" s="176"/>
    </row>
    <row r="2993">
      <c r="A2993" s="176"/>
      <c r="D2993" s="176"/>
    </row>
    <row r="2994">
      <c r="A2994" s="176"/>
      <c r="D2994" s="176"/>
    </row>
    <row r="2995">
      <c r="A2995" s="176"/>
      <c r="D2995" s="176"/>
    </row>
    <row r="2996">
      <c r="A2996" s="176"/>
      <c r="D2996" s="176"/>
    </row>
    <row r="2997">
      <c r="A2997" s="176"/>
      <c r="D2997" s="176"/>
    </row>
    <row r="2998">
      <c r="A2998" s="176"/>
      <c r="D2998" s="176"/>
    </row>
    <row r="2999">
      <c r="A2999" s="176"/>
      <c r="D2999" s="176"/>
    </row>
    <row r="3000">
      <c r="A3000" s="176"/>
      <c r="D3000" s="176"/>
    </row>
    <row r="3001">
      <c r="A3001" s="176"/>
      <c r="D3001" s="176"/>
    </row>
    <row r="3002">
      <c r="A3002" s="176"/>
      <c r="D3002" s="176"/>
    </row>
    <row r="3003">
      <c r="A3003" s="176"/>
      <c r="D3003" s="176"/>
    </row>
    <row r="3004">
      <c r="A3004" s="176"/>
      <c r="D3004" s="176"/>
    </row>
    <row r="3005">
      <c r="A3005" s="176"/>
      <c r="D3005" s="176"/>
    </row>
    <row r="3006">
      <c r="A3006" s="176"/>
      <c r="D3006" s="176"/>
    </row>
    <row r="3007">
      <c r="A3007" s="176"/>
      <c r="D3007" s="176"/>
    </row>
    <row r="3008">
      <c r="A3008" s="176"/>
      <c r="D3008" s="176"/>
    </row>
    <row r="3009">
      <c r="A3009" s="176"/>
      <c r="D3009" s="176"/>
    </row>
    <row r="3010">
      <c r="A3010" s="176"/>
      <c r="D3010" s="176"/>
    </row>
    <row r="3011">
      <c r="A3011" s="176"/>
      <c r="D3011" s="176"/>
    </row>
    <row r="3012">
      <c r="A3012" s="176"/>
      <c r="D3012" s="176"/>
    </row>
    <row r="3013">
      <c r="A3013" s="176"/>
      <c r="D3013" s="176"/>
    </row>
    <row r="3014">
      <c r="A3014" s="176"/>
      <c r="D3014" s="176"/>
    </row>
    <row r="3015">
      <c r="A3015" s="176"/>
      <c r="D3015" s="176"/>
    </row>
    <row r="3016">
      <c r="A3016" s="176"/>
      <c r="D3016" s="176"/>
    </row>
    <row r="3017">
      <c r="A3017" s="176"/>
      <c r="D3017" s="176"/>
    </row>
    <row r="3018">
      <c r="A3018" s="176"/>
      <c r="D3018" s="176"/>
    </row>
    <row r="3019">
      <c r="A3019" s="176"/>
      <c r="D3019" s="176"/>
    </row>
    <row r="3020">
      <c r="A3020" s="176"/>
      <c r="D3020" s="176"/>
    </row>
    <row r="3021">
      <c r="A3021" s="176"/>
      <c r="D3021" s="176"/>
    </row>
    <row r="3022">
      <c r="A3022" s="176"/>
      <c r="D3022" s="176"/>
    </row>
    <row r="3023">
      <c r="A3023" s="176"/>
      <c r="D3023" s="176"/>
    </row>
    <row r="3024">
      <c r="A3024" s="176"/>
      <c r="D3024" s="176"/>
    </row>
    <row r="3025">
      <c r="A3025" s="176"/>
      <c r="D3025" s="176"/>
    </row>
    <row r="3026">
      <c r="A3026" s="176"/>
      <c r="D3026" s="176"/>
    </row>
    <row r="3027">
      <c r="A3027" s="176"/>
      <c r="D3027" s="176"/>
    </row>
    <row r="3028">
      <c r="A3028" s="176"/>
      <c r="D3028" s="176"/>
    </row>
    <row r="3029">
      <c r="A3029" s="176"/>
      <c r="D3029" s="176"/>
    </row>
    <row r="3030">
      <c r="A3030" s="176"/>
      <c r="D3030" s="176"/>
    </row>
    <row r="3031">
      <c r="A3031" s="176"/>
      <c r="D3031" s="176"/>
    </row>
    <row r="3032">
      <c r="A3032" s="176"/>
      <c r="D3032" s="176"/>
    </row>
    <row r="3033">
      <c r="A3033" s="176"/>
      <c r="D3033" s="176"/>
    </row>
    <row r="3034">
      <c r="A3034" s="176"/>
      <c r="D3034" s="176"/>
    </row>
    <row r="3035">
      <c r="A3035" s="176"/>
      <c r="D3035" s="176"/>
    </row>
    <row r="3036">
      <c r="A3036" s="176"/>
      <c r="D3036" s="176"/>
    </row>
    <row r="3037">
      <c r="A3037" s="176"/>
      <c r="D3037" s="176"/>
    </row>
    <row r="3038">
      <c r="A3038" s="176"/>
      <c r="D3038" s="176"/>
    </row>
    <row r="3039">
      <c r="A3039" s="176"/>
      <c r="D3039" s="176"/>
    </row>
    <row r="3040">
      <c r="A3040" s="176"/>
      <c r="D3040" s="176"/>
    </row>
    <row r="3041">
      <c r="A3041" s="176"/>
      <c r="D3041" s="176"/>
    </row>
    <row r="3042">
      <c r="A3042" s="176"/>
      <c r="D3042" s="176"/>
    </row>
    <row r="3043">
      <c r="A3043" s="176"/>
      <c r="D3043" s="176"/>
    </row>
    <row r="3044">
      <c r="A3044" s="176"/>
      <c r="D3044" s="176"/>
    </row>
    <row r="3045">
      <c r="A3045" s="176"/>
      <c r="D3045" s="176"/>
    </row>
    <row r="3046">
      <c r="A3046" s="176"/>
      <c r="D3046" s="176"/>
    </row>
    <row r="3047">
      <c r="A3047" s="176"/>
      <c r="D3047" s="176"/>
    </row>
    <row r="3048">
      <c r="A3048" s="176"/>
      <c r="D3048" s="176"/>
    </row>
    <row r="3049">
      <c r="A3049" s="176"/>
      <c r="D3049" s="176"/>
    </row>
    <row r="3050">
      <c r="A3050" s="176"/>
      <c r="D3050" s="176"/>
    </row>
    <row r="3051">
      <c r="A3051" s="176"/>
      <c r="D3051" s="176"/>
    </row>
    <row r="3052">
      <c r="A3052" s="176"/>
      <c r="D3052" s="176"/>
    </row>
    <row r="3053">
      <c r="A3053" s="176"/>
      <c r="D3053" s="176"/>
    </row>
    <row r="3054">
      <c r="A3054" s="176"/>
      <c r="D3054" s="176"/>
    </row>
    <row r="3055">
      <c r="A3055" s="176"/>
      <c r="D3055" s="176"/>
    </row>
    <row r="3056">
      <c r="A3056" s="176"/>
      <c r="D3056" s="176"/>
    </row>
    <row r="3057">
      <c r="A3057" s="176"/>
      <c r="D3057" s="176"/>
    </row>
    <row r="3058">
      <c r="A3058" s="176"/>
      <c r="D3058" s="176"/>
    </row>
    <row r="3059">
      <c r="A3059" s="176"/>
      <c r="D3059" s="176"/>
    </row>
    <row r="3060">
      <c r="A3060" s="176"/>
      <c r="D3060" s="176"/>
    </row>
    <row r="3061">
      <c r="A3061" s="176"/>
      <c r="D3061" s="176"/>
    </row>
    <row r="3062">
      <c r="A3062" s="176"/>
      <c r="D3062" s="176"/>
    </row>
    <row r="3063">
      <c r="A3063" s="176"/>
      <c r="D3063" s="176"/>
    </row>
    <row r="3064">
      <c r="A3064" s="176"/>
      <c r="D3064" s="176"/>
    </row>
    <row r="3065">
      <c r="A3065" s="176"/>
      <c r="D3065" s="176"/>
    </row>
    <row r="3066">
      <c r="A3066" s="176"/>
      <c r="D3066" s="176"/>
    </row>
    <row r="3067">
      <c r="A3067" s="176"/>
      <c r="D3067" s="176"/>
    </row>
    <row r="3068">
      <c r="A3068" s="176"/>
      <c r="D3068" s="176"/>
    </row>
    <row r="3069">
      <c r="A3069" s="176"/>
      <c r="D3069" s="176"/>
    </row>
    <row r="3070">
      <c r="A3070" s="176"/>
      <c r="D3070" s="176"/>
    </row>
    <row r="3071">
      <c r="A3071" s="176"/>
      <c r="D3071" s="176"/>
    </row>
    <row r="3072">
      <c r="A3072" s="176"/>
      <c r="D3072" s="176"/>
    </row>
    <row r="3073">
      <c r="A3073" s="176"/>
      <c r="D3073" s="176"/>
    </row>
    <row r="3074">
      <c r="A3074" s="176"/>
      <c r="D3074" s="176"/>
    </row>
    <row r="3075">
      <c r="A3075" s="176"/>
      <c r="D3075" s="176"/>
    </row>
    <row r="3076">
      <c r="A3076" s="176"/>
      <c r="D3076" s="176"/>
    </row>
    <row r="3077">
      <c r="A3077" s="176"/>
      <c r="D3077" s="176"/>
    </row>
    <row r="3078">
      <c r="A3078" s="176"/>
      <c r="D3078" s="176"/>
    </row>
    <row r="3079">
      <c r="A3079" s="176"/>
      <c r="D3079" s="176"/>
    </row>
    <row r="3080">
      <c r="A3080" s="176"/>
      <c r="D3080" s="176"/>
    </row>
    <row r="3081">
      <c r="A3081" s="176"/>
      <c r="D3081" s="176"/>
    </row>
    <row r="3082">
      <c r="A3082" s="176"/>
      <c r="D3082" s="176"/>
    </row>
    <row r="3083">
      <c r="A3083" s="176"/>
      <c r="D3083" s="176"/>
    </row>
    <row r="3084">
      <c r="A3084" s="176"/>
      <c r="D3084" s="176"/>
    </row>
    <row r="3085">
      <c r="A3085" s="176"/>
      <c r="D3085" s="176"/>
    </row>
    <row r="3086">
      <c r="A3086" s="176"/>
      <c r="D3086" s="176"/>
    </row>
    <row r="3087">
      <c r="A3087" s="176"/>
      <c r="D3087" s="176"/>
    </row>
    <row r="3088">
      <c r="A3088" s="176"/>
      <c r="D3088" s="176"/>
    </row>
    <row r="3089">
      <c r="A3089" s="176"/>
      <c r="D3089" s="176"/>
    </row>
    <row r="3090">
      <c r="A3090" s="176"/>
      <c r="D3090" s="176"/>
    </row>
    <row r="3091">
      <c r="A3091" s="176"/>
      <c r="D3091" s="176"/>
    </row>
    <row r="3092">
      <c r="A3092" s="176"/>
      <c r="D3092" s="176"/>
    </row>
    <row r="3093">
      <c r="A3093" s="176"/>
      <c r="D3093" s="176"/>
    </row>
    <row r="3094">
      <c r="A3094" s="176"/>
      <c r="D3094" s="176"/>
    </row>
    <row r="3095">
      <c r="A3095" s="176"/>
      <c r="D3095" s="176"/>
    </row>
    <row r="3096">
      <c r="A3096" s="176"/>
      <c r="D3096" s="176"/>
    </row>
    <row r="3097">
      <c r="A3097" s="176"/>
      <c r="D3097" s="176"/>
    </row>
    <row r="3098">
      <c r="A3098" s="176"/>
      <c r="D3098" s="176"/>
    </row>
    <row r="3099">
      <c r="A3099" s="176"/>
      <c r="D3099" s="176"/>
    </row>
    <row r="3100">
      <c r="A3100" s="176"/>
      <c r="D3100" s="176"/>
    </row>
    <row r="3101">
      <c r="A3101" s="176"/>
      <c r="D3101" s="176"/>
    </row>
    <row r="3102">
      <c r="A3102" s="176"/>
      <c r="D3102" s="176"/>
    </row>
    <row r="3103">
      <c r="A3103" s="176"/>
      <c r="D3103" s="176"/>
    </row>
    <row r="3104">
      <c r="A3104" s="176"/>
      <c r="D3104" s="176"/>
    </row>
    <row r="3105">
      <c r="A3105" s="176"/>
      <c r="D3105" s="176"/>
    </row>
    <row r="3106">
      <c r="A3106" s="176"/>
      <c r="D3106" s="176"/>
    </row>
    <row r="3107">
      <c r="A3107" s="176"/>
      <c r="D3107" s="176"/>
    </row>
    <row r="3108">
      <c r="A3108" s="176"/>
      <c r="D3108" s="176"/>
    </row>
    <row r="3109">
      <c r="A3109" s="176"/>
      <c r="D3109" s="176"/>
    </row>
    <row r="3110">
      <c r="A3110" s="176"/>
      <c r="D3110" s="176"/>
    </row>
    <row r="3111">
      <c r="A3111" s="176"/>
      <c r="D3111" s="176"/>
    </row>
    <row r="3112">
      <c r="A3112" s="176"/>
      <c r="D3112" s="176"/>
    </row>
    <row r="3113">
      <c r="A3113" s="176"/>
      <c r="D3113" s="176"/>
    </row>
    <row r="3114">
      <c r="A3114" s="176"/>
      <c r="D3114" s="176"/>
    </row>
    <row r="3115">
      <c r="A3115" s="176"/>
      <c r="D3115" s="176"/>
    </row>
    <row r="3116">
      <c r="A3116" s="176"/>
      <c r="D3116" s="176"/>
    </row>
    <row r="3117">
      <c r="A3117" s="176"/>
      <c r="D3117" s="176"/>
    </row>
    <row r="3118">
      <c r="A3118" s="176"/>
      <c r="D3118" s="176"/>
    </row>
    <row r="3119">
      <c r="A3119" s="176"/>
      <c r="D3119" s="176"/>
    </row>
    <row r="3120">
      <c r="A3120" s="176"/>
      <c r="D3120" s="176"/>
    </row>
    <row r="3121">
      <c r="A3121" s="176"/>
      <c r="D3121" s="176"/>
    </row>
    <row r="3122">
      <c r="A3122" s="176"/>
      <c r="D3122" s="176"/>
    </row>
    <row r="3123">
      <c r="A3123" s="176"/>
      <c r="D3123" s="176"/>
    </row>
    <row r="3124">
      <c r="A3124" s="176"/>
      <c r="D3124" s="176"/>
    </row>
    <row r="3125">
      <c r="A3125" s="176"/>
      <c r="D3125" s="176"/>
    </row>
    <row r="3126">
      <c r="A3126" s="176"/>
      <c r="D3126" s="176"/>
    </row>
    <row r="3127">
      <c r="A3127" s="176"/>
      <c r="D3127" s="176"/>
    </row>
    <row r="3128">
      <c r="A3128" s="176"/>
      <c r="D3128" s="176"/>
    </row>
    <row r="3129">
      <c r="A3129" s="176"/>
      <c r="D3129" s="176"/>
    </row>
    <row r="3130">
      <c r="A3130" s="176"/>
      <c r="D3130" s="176"/>
    </row>
    <row r="3131">
      <c r="A3131" s="176"/>
      <c r="D3131" s="176"/>
    </row>
    <row r="3132">
      <c r="A3132" s="176"/>
      <c r="D3132" s="176"/>
    </row>
    <row r="3133">
      <c r="A3133" s="176"/>
      <c r="D3133" s="176"/>
    </row>
    <row r="3134">
      <c r="A3134" s="176"/>
      <c r="D3134" s="176"/>
    </row>
    <row r="3135">
      <c r="A3135" s="176"/>
      <c r="D3135" s="176"/>
    </row>
    <row r="3136">
      <c r="A3136" s="176"/>
      <c r="D3136" s="176"/>
    </row>
    <row r="3137">
      <c r="A3137" s="176"/>
      <c r="D3137" s="176"/>
    </row>
    <row r="3138">
      <c r="A3138" s="176"/>
      <c r="D3138" s="176"/>
    </row>
    <row r="3139">
      <c r="A3139" s="176"/>
      <c r="D3139" s="176"/>
    </row>
    <row r="3140">
      <c r="A3140" s="176"/>
      <c r="D3140" s="176"/>
    </row>
    <row r="3141">
      <c r="A3141" s="176"/>
      <c r="D3141" s="176"/>
    </row>
    <row r="3142">
      <c r="A3142" s="176"/>
      <c r="D3142" s="176"/>
    </row>
    <row r="3143">
      <c r="A3143" s="176"/>
      <c r="D3143" s="176"/>
    </row>
    <row r="3144">
      <c r="A3144" s="176"/>
      <c r="D3144" s="176"/>
    </row>
    <row r="3145">
      <c r="A3145" s="176"/>
      <c r="D3145" s="176"/>
    </row>
    <row r="3146">
      <c r="A3146" s="176"/>
      <c r="D3146" s="176"/>
    </row>
    <row r="3147">
      <c r="A3147" s="176"/>
      <c r="D3147" s="176"/>
    </row>
    <row r="3148">
      <c r="A3148" s="176"/>
      <c r="D3148" s="176"/>
    </row>
    <row r="3149">
      <c r="A3149" s="176"/>
      <c r="D3149" s="176"/>
    </row>
    <row r="3150">
      <c r="A3150" s="176"/>
      <c r="D3150" s="176"/>
    </row>
    <row r="3151">
      <c r="A3151" s="176"/>
      <c r="D3151" s="176"/>
    </row>
    <row r="3152">
      <c r="A3152" s="176"/>
      <c r="D3152" s="176"/>
    </row>
    <row r="3153">
      <c r="A3153" s="176"/>
      <c r="D3153" s="176"/>
    </row>
    <row r="3154">
      <c r="A3154" s="176"/>
      <c r="D3154" s="176"/>
    </row>
    <row r="3155">
      <c r="A3155" s="176"/>
      <c r="D3155" s="176"/>
    </row>
    <row r="3156">
      <c r="A3156" s="176"/>
      <c r="D3156" s="176"/>
    </row>
    <row r="3157">
      <c r="A3157" s="176"/>
      <c r="D3157" s="176"/>
    </row>
    <row r="3158">
      <c r="A3158" s="176"/>
      <c r="D3158" s="176"/>
    </row>
    <row r="3159">
      <c r="A3159" s="176"/>
      <c r="D3159" s="176"/>
    </row>
    <row r="3160">
      <c r="A3160" s="176"/>
      <c r="D3160" s="176"/>
    </row>
    <row r="3161">
      <c r="A3161" s="176"/>
      <c r="D3161" s="176"/>
    </row>
    <row r="3162">
      <c r="A3162" s="176"/>
      <c r="D3162" s="176"/>
    </row>
    <row r="3163">
      <c r="A3163" s="176"/>
      <c r="D3163" s="176"/>
    </row>
    <row r="3164">
      <c r="A3164" s="176"/>
      <c r="D3164" s="176"/>
    </row>
    <row r="3165">
      <c r="A3165" s="176"/>
      <c r="D3165" s="176"/>
    </row>
    <row r="3166">
      <c r="A3166" s="176"/>
      <c r="D3166" s="176"/>
    </row>
    <row r="3167">
      <c r="A3167" s="176"/>
      <c r="D3167" s="176"/>
    </row>
    <row r="3168">
      <c r="A3168" s="176"/>
      <c r="D3168" s="176"/>
    </row>
    <row r="3169">
      <c r="A3169" s="176"/>
      <c r="D3169" s="176"/>
    </row>
    <row r="3170">
      <c r="A3170" s="176"/>
      <c r="D3170" s="176"/>
    </row>
    <row r="3171">
      <c r="A3171" s="176"/>
      <c r="D3171" s="176"/>
    </row>
    <row r="3172">
      <c r="A3172" s="176"/>
      <c r="D3172" s="176"/>
    </row>
    <row r="3173">
      <c r="A3173" s="176"/>
      <c r="D3173" s="176"/>
    </row>
    <row r="3174">
      <c r="A3174" s="176"/>
      <c r="D3174" s="176"/>
    </row>
    <row r="3175">
      <c r="A3175" s="176"/>
      <c r="D3175" s="176"/>
    </row>
    <row r="3176">
      <c r="A3176" s="176"/>
      <c r="D3176" s="176"/>
    </row>
    <row r="3177">
      <c r="A3177" s="176"/>
      <c r="D3177" s="176"/>
    </row>
    <row r="3178">
      <c r="A3178" s="176"/>
      <c r="D3178" s="176"/>
    </row>
    <row r="3179">
      <c r="A3179" s="176"/>
      <c r="D3179" s="176"/>
    </row>
    <row r="3180">
      <c r="A3180" s="176"/>
      <c r="D3180" s="176"/>
    </row>
    <row r="3181">
      <c r="A3181" s="176"/>
      <c r="D3181" s="176"/>
    </row>
    <row r="3182">
      <c r="A3182" s="176"/>
      <c r="D3182" s="176"/>
    </row>
    <row r="3183">
      <c r="A3183" s="176"/>
      <c r="D3183" s="176"/>
    </row>
    <row r="3184">
      <c r="A3184" s="176"/>
      <c r="D3184" s="176"/>
    </row>
    <row r="3185">
      <c r="A3185" s="176"/>
      <c r="D3185" s="176"/>
    </row>
    <row r="3186">
      <c r="A3186" s="176"/>
      <c r="D3186" s="176"/>
    </row>
    <row r="3187">
      <c r="A3187" s="176"/>
      <c r="D3187" s="176"/>
    </row>
    <row r="3188">
      <c r="A3188" s="176"/>
      <c r="D3188" s="176"/>
    </row>
    <row r="3189">
      <c r="A3189" s="176"/>
      <c r="D3189" s="176"/>
    </row>
    <row r="3190">
      <c r="A3190" s="176"/>
      <c r="D3190" s="176"/>
    </row>
    <row r="3191">
      <c r="A3191" s="176"/>
      <c r="D3191" s="176"/>
    </row>
    <row r="3192">
      <c r="A3192" s="176"/>
      <c r="D3192" s="176"/>
    </row>
    <row r="3193">
      <c r="A3193" s="176"/>
      <c r="D3193" s="176"/>
    </row>
    <row r="3194">
      <c r="A3194" s="176"/>
      <c r="D3194" s="176"/>
    </row>
    <row r="3195">
      <c r="A3195" s="176"/>
      <c r="D3195" s="176"/>
    </row>
    <row r="3196">
      <c r="A3196" s="176"/>
      <c r="D3196" s="176"/>
    </row>
    <row r="3197">
      <c r="A3197" s="176"/>
      <c r="D3197" s="176"/>
    </row>
    <row r="3198">
      <c r="A3198" s="176"/>
      <c r="D3198" s="176"/>
    </row>
    <row r="3199">
      <c r="A3199" s="176"/>
      <c r="D3199" s="176"/>
    </row>
    <row r="3200">
      <c r="A3200" s="176"/>
      <c r="D3200" s="176"/>
    </row>
    <row r="3201">
      <c r="A3201" s="176"/>
      <c r="D3201" s="176"/>
    </row>
    <row r="3202">
      <c r="A3202" s="176"/>
      <c r="D3202" s="176"/>
    </row>
    <row r="3203">
      <c r="A3203" s="176"/>
      <c r="D3203" s="176"/>
    </row>
    <row r="3204">
      <c r="A3204" s="176"/>
      <c r="D3204" s="176"/>
    </row>
    <row r="3205">
      <c r="A3205" s="176"/>
      <c r="D3205" s="176"/>
    </row>
    <row r="3206">
      <c r="A3206" s="176"/>
      <c r="D3206" s="176"/>
    </row>
    <row r="3207">
      <c r="A3207" s="176"/>
      <c r="D3207" s="176"/>
    </row>
    <row r="3208">
      <c r="A3208" s="176"/>
      <c r="D3208" s="176"/>
    </row>
    <row r="3209">
      <c r="A3209" s="176"/>
      <c r="D3209" s="176"/>
    </row>
    <row r="3210">
      <c r="A3210" s="176"/>
      <c r="D3210" s="176"/>
    </row>
    <row r="3211">
      <c r="A3211" s="176"/>
      <c r="D3211" s="176"/>
    </row>
    <row r="3212">
      <c r="A3212" s="176"/>
      <c r="D3212" s="176"/>
    </row>
    <row r="3213">
      <c r="A3213" s="176"/>
      <c r="D3213" s="176"/>
    </row>
    <row r="3214">
      <c r="A3214" s="176"/>
      <c r="D3214" s="176"/>
    </row>
    <row r="3215">
      <c r="A3215" s="176"/>
      <c r="D3215" s="176"/>
    </row>
    <row r="3216">
      <c r="A3216" s="176"/>
      <c r="D3216" s="176"/>
    </row>
    <row r="3217">
      <c r="A3217" s="176"/>
      <c r="D3217" s="176"/>
    </row>
    <row r="3218">
      <c r="A3218" s="176"/>
      <c r="D3218" s="176"/>
    </row>
    <row r="3219">
      <c r="A3219" s="176"/>
      <c r="D3219" s="176"/>
    </row>
    <row r="3220">
      <c r="A3220" s="176"/>
      <c r="D3220" s="176"/>
    </row>
    <row r="3221">
      <c r="A3221" s="176"/>
      <c r="D3221" s="176"/>
    </row>
    <row r="3222">
      <c r="A3222" s="176"/>
      <c r="D3222" s="176"/>
    </row>
    <row r="3223">
      <c r="A3223" s="176"/>
      <c r="D3223" s="176"/>
    </row>
    <row r="3224">
      <c r="A3224" s="176"/>
      <c r="D3224" s="176"/>
    </row>
    <row r="3225">
      <c r="A3225" s="176"/>
      <c r="D3225" s="176"/>
    </row>
    <row r="3226">
      <c r="A3226" s="176"/>
      <c r="D3226" s="176"/>
    </row>
    <row r="3227">
      <c r="A3227" s="176"/>
      <c r="D3227" s="176"/>
    </row>
    <row r="3228">
      <c r="A3228" s="176"/>
      <c r="D3228" s="176"/>
    </row>
    <row r="3229">
      <c r="A3229" s="176"/>
      <c r="D3229" s="176"/>
    </row>
    <row r="3230">
      <c r="A3230" s="176"/>
      <c r="D3230" s="176"/>
    </row>
    <row r="3231">
      <c r="A3231" s="176"/>
      <c r="D3231" s="176"/>
    </row>
    <row r="3232">
      <c r="A3232" s="176"/>
      <c r="D3232" s="176"/>
    </row>
    <row r="3233">
      <c r="A3233" s="176"/>
      <c r="D3233" s="176"/>
    </row>
    <row r="3234">
      <c r="A3234" s="176"/>
      <c r="D3234" s="176"/>
    </row>
    <row r="3235">
      <c r="A3235" s="176"/>
      <c r="D3235" s="176"/>
    </row>
    <row r="3236">
      <c r="A3236" s="176"/>
      <c r="D3236" s="176"/>
    </row>
    <row r="3237">
      <c r="A3237" s="176"/>
      <c r="D3237" s="176"/>
    </row>
    <row r="3238">
      <c r="A3238" s="176"/>
      <c r="D3238" s="176"/>
    </row>
    <row r="3239">
      <c r="A3239" s="176"/>
      <c r="D3239" s="176"/>
    </row>
    <row r="3240">
      <c r="A3240" s="176"/>
      <c r="D3240" s="176"/>
    </row>
    <row r="3241">
      <c r="A3241" s="176"/>
      <c r="D3241" s="176"/>
    </row>
    <row r="3242">
      <c r="A3242" s="176"/>
      <c r="D3242" s="176"/>
    </row>
    <row r="3243">
      <c r="A3243" s="176"/>
      <c r="D3243" s="176"/>
    </row>
    <row r="3244">
      <c r="A3244" s="176"/>
      <c r="D3244" s="176"/>
    </row>
    <row r="3245">
      <c r="A3245" s="176"/>
      <c r="D3245" s="176"/>
    </row>
    <row r="3246">
      <c r="A3246" s="176"/>
      <c r="D3246" s="176"/>
    </row>
    <row r="3247">
      <c r="A3247" s="176"/>
      <c r="D3247" s="176"/>
    </row>
    <row r="3248">
      <c r="A3248" s="176"/>
      <c r="D3248" s="176"/>
    </row>
    <row r="3249">
      <c r="A3249" s="176"/>
      <c r="D3249" s="176"/>
    </row>
    <row r="3250">
      <c r="A3250" s="176"/>
      <c r="D3250" s="176"/>
    </row>
    <row r="3251">
      <c r="A3251" s="176"/>
      <c r="D3251" s="176"/>
    </row>
    <row r="3252">
      <c r="A3252" s="176"/>
      <c r="D3252" s="176"/>
    </row>
    <row r="3253">
      <c r="A3253" s="176"/>
      <c r="D3253" s="176"/>
    </row>
    <row r="3254">
      <c r="A3254" s="176"/>
      <c r="D3254" s="176"/>
    </row>
    <row r="3255">
      <c r="A3255" s="176"/>
      <c r="D3255" s="176"/>
    </row>
    <row r="3256">
      <c r="A3256" s="176"/>
      <c r="D3256" s="176"/>
    </row>
    <row r="3257">
      <c r="A3257" s="176"/>
      <c r="D3257" s="176"/>
    </row>
    <row r="3258">
      <c r="A3258" s="176"/>
      <c r="D3258" s="176"/>
    </row>
    <row r="3259">
      <c r="A3259" s="176"/>
      <c r="D3259" s="176"/>
    </row>
    <row r="3260">
      <c r="A3260" s="176"/>
      <c r="D3260" s="176"/>
    </row>
    <row r="3261">
      <c r="A3261" s="176"/>
      <c r="D3261" s="176"/>
    </row>
    <row r="3262">
      <c r="A3262" s="176"/>
      <c r="D3262" s="176"/>
    </row>
    <row r="3263">
      <c r="A3263" s="176"/>
      <c r="D3263" s="176"/>
    </row>
    <row r="3264">
      <c r="A3264" s="176"/>
      <c r="D3264" s="176"/>
    </row>
    <row r="3265">
      <c r="A3265" s="176"/>
      <c r="D3265" s="176"/>
    </row>
    <row r="3266">
      <c r="A3266" s="176"/>
      <c r="D3266" s="176"/>
    </row>
    <row r="3267">
      <c r="A3267" s="176"/>
      <c r="D3267" s="176"/>
    </row>
    <row r="3268">
      <c r="A3268" s="176"/>
      <c r="D3268" s="176"/>
    </row>
    <row r="3269">
      <c r="A3269" s="176"/>
      <c r="D3269" s="176"/>
    </row>
    <row r="3270">
      <c r="A3270" s="176"/>
      <c r="D3270" s="176"/>
    </row>
    <row r="3271">
      <c r="A3271" s="176"/>
      <c r="D3271" s="176"/>
    </row>
    <row r="3272">
      <c r="A3272" s="176"/>
      <c r="D3272" s="176"/>
    </row>
    <row r="3273">
      <c r="A3273" s="176"/>
      <c r="D3273" s="176"/>
    </row>
    <row r="3274">
      <c r="A3274" s="176"/>
      <c r="D3274" s="176"/>
    </row>
    <row r="3275">
      <c r="A3275" s="176"/>
      <c r="D3275" s="176"/>
    </row>
    <row r="3276">
      <c r="A3276" s="176"/>
      <c r="D3276" s="176"/>
    </row>
    <row r="3277">
      <c r="A3277" s="176"/>
      <c r="D3277" s="176"/>
    </row>
    <row r="3278">
      <c r="A3278" s="176"/>
      <c r="D3278" s="176"/>
    </row>
    <row r="3279">
      <c r="A3279" s="176"/>
      <c r="D3279" s="176"/>
    </row>
    <row r="3280">
      <c r="A3280" s="176"/>
      <c r="D3280" s="176"/>
    </row>
    <row r="3281">
      <c r="A3281" s="176"/>
      <c r="D3281" s="176"/>
    </row>
    <row r="3282">
      <c r="A3282" s="176"/>
      <c r="D3282" s="176"/>
    </row>
    <row r="3283">
      <c r="A3283" s="176"/>
      <c r="D3283" s="176"/>
    </row>
    <row r="3284">
      <c r="A3284" s="176"/>
      <c r="D3284" s="176"/>
    </row>
    <row r="3285">
      <c r="A3285" s="176"/>
      <c r="D3285" s="176"/>
    </row>
    <row r="3286">
      <c r="A3286" s="176"/>
      <c r="D3286" s="176"/>
    </row>
    <row r="3287">
      <c r="A3287" s="176"/>
      <c r="D3287" s="176"/>
    </row>
    <row r="3288">
      <c r="A3288" s="176"/>
      <c r="D3288" s="176"/>
    </row>
    <row r="3289">
      <c r="A3289" s="176"/>
      <c r="D3289" s="176"/>
    </row>
    <row r="3290">
      <c r="A3290" s="176"/>
      <c r="D3290" s="176"/>
    </row>
    <row r="3291">
      <c r="A3291" s="176"/>
      <c r="D3291" s="176"/>
    </row>
    <row r="3292">
      <c r="A3292" s="176"/>
      <c r="D3292" s="176"/>
    </row>
    <row r="3293">
      <c r="A3293" s="176"/>
      <c r="D3293" s="176"/>
    </row>
    <row r="3294">
      <c r="A3294" s="176"/>
      <c r="D3294" s="176"/>
    </row>
    <row r="3295">
      <c r="A3295" s="176"/>
      <c r="D3295" s="176"/>
    </row>
    <row r="3296">
      <c r="A3296" s="176"/>
      <c r="D3296" s="176"/>
    </row>
    <row r="3297">
      <c r="A3297" s="176"/>
      <c r="D3297" s="176"/>
    </row>
    <row r="3298">
      <c r="A3298" s="176"/>
      <c r="D3298" s="176"/>
    </row>
    <row r="3299">
      <c r="A3299" s="176"/>
      <c r="D3299" s="176"/>
    </row>
    <row r="3300">
      <c r="A3300" s="176"/>
      <c r="D3300" s="176"/>
    </row>
    <row r="3301">
      <c r="A3301" s="176"/>
      <c r="D3301" s="176"/>
    </row>
    <row r="3302">
      <c r="A3302" s="176"/>
      <c r="D3302" s="176"/>
    </row>
    <row r="3303">
      <c r="A3303" s="176"/>
      <c r="D3303" s="176"/>
    </row>
    <row r="3304">
      <c r="A3304" s="176"/>
      <c r="D3304" s="176"/>
    </row>
    <row r="3305">
      <c r="A3305" s="176"/>
      <c r="D3305" s="176"/>
    </row>
    <row r="3306">
      <c r="A3306" s="176"/>
      <c r="D3306" s="176"/>
    </row>
    <row r="3307">
      <c r="A3307" s="176"/>
      <c r="D3307" s="176"/>
    </row>
    <row r="3308">
      <c r="A3308" s="176"/>
      <c r="D3308" s="176"/>
    </row>
    <row r="3309">
      <c r="A3309" s="176"/>
      <c r="D3309" s="176"/>
    </row>
    <row r="3310">
      <c r="A3310" s="176"/>
      <c r="D3310" s="176"/>
    </row>
    <row r="3311">
      <c r="A3311" s="176"/>
      <c r="D3311" s="176"/>
    </row>
    <row r="3312">
      <c r="A3312" s="176"/>
      <c r="D3312" s="176"/>
    </row>
    <row r="3313">
      <c r="A3313" s="176"/>
      <c r="D3313" s="176"/>
    </row>
    <row r="3314">
      <c r="A3314" s="176"/>
      <c r="D3314" s="176"/>
    </row>
    <row r="3315">
      <c r="A3315" s="176"/>
      <c r="D3315" s="176"/>
    </row>
    <row r="3316">
      <c r="A3316" s="176"/>
      <c r="D3316" s="176"/>
    </row>
    <row r="3317">
      <c r="A3317" s="176"/>
      <c r="D3317" s="176"/>
    </row>
    <row r="3318">
      <c r="A3318" s="176"/>
      <c r="D3318" s="176"/>
    </row>
    <row r="3319">
      <c r="A3319" s="176"/>
      <c r="D3319" s="176"/>
    </row>
    <row r="3320">
      <c r="A3320" s="176"/>
      <c r="D3320" s="176"/>
    </row>
    <row r="3321">
      <c r="A3321" s="176"/>
      <c r="D3321" s="176"/>
    </row>
    <row r="3322">
      <c r="A3322" s="176"/>
      <c r="D3322" s="176"/>
    </row>
    <row r="3323">
      <c r="A3323" s="176"/>
      <c r="D3323" s="176"/>
    </row>
    <row r="3324">
      <c r="A3324" s="176"/>
      <c r="D3324" s="176"/>
    </row>
    <row r="3325">
      <c r="A3325" s="176"/>
      <c r="D3325" s="176"/>
    </row>
    <row r="3326">
      <c r="A3326" s="176"/>
      <c r="D3326" s="176"/>
    </row>
    <row r="3327">
      <c r="A3327" s="176"/>
      <c r="D3327" s="176"/>
    </row>
    <row r="3328">
      <c r="A3328" s="176"/>
      <c r="D3328" s="176"/>
    </row>
    <row r="3329">
      <c r="A3329" s="176"/>
      <c r="D3329" s="176"/>
    </row>
    <row r="3330">
      <c r="A3330" s="176"/>
      <c r="D3330" s="176"/>
    </row>
    <row r="3331">
      <c r="A3331" s="176"/>
      <c r="D3331" s="176"/>
    </row>
    <row r="3332">
      <c r="A3332" s="176"/>
      <c r="D3332" s="176"/>
    </row>
    <row r="3333">
      <c r="A3333" s="176"/>
      <c r="D3333" s="176"/>
    </row>
    <row r="3334">
      <c r="A3334" s="176"/>
      <c r="D3334" s="176"/>
    </row>
    <row r="3335">
      <c r="A3335" s="176"/>
      <c r="D3335" s="176"/>
    </row>
    <row r="3336">
      <c r="A3336" s="176"/>
      <c r="D3336" s="176"/>
    </row>
    <row r="3337">
      <c r="A3337" s="176"/>
      <c r="D3337" s="176"/>
    </row>
    <row r="3338">
      <c r="A3338" s="176"/>
      <c r="D3338" s="176"/>
    </row>
    <row r="3339">
      <c r="A3339" s="176"/>
      <c r="D3339" s="176"/>
    </row>
    <row r="3340">
      <c r="A3340" s="176"/>
      <c r="D3340" s="176"/>
    </row>
    <row r="3341">
      <c r="A3341" s="176"/>
      <c r="D3341" s="176"/>
    </row>
    <row r="3342">
      <c r="A3342" s="176"/>
      <c r="D3342" s="176"/>
    </row>
    <row r="3343">
      <c r="A3343" s="176"/>
      <c r="D3343" s="176"/>
    </row>
    <row r="3344">
      <c r="A3344" s="176"/>
      <c r="D3344" s="176"/>
    </row>
    <row r="3345">
      <c r="A3345" s="176"/>
      <c r="D3345" s="176"/>
    </row>
    <row r="3346">
      <c r="A3346" s="176"/>
      <c r="D3346" s="176"/>
    </row>
    <row r="3347">
      <c r="A3347" s="176"/>
      <c r="D3347" s="176"/>
    </row>
    <row r="3348">
      <c r="A3348" s="176"/>
      <c r="D3348" s="176"/>
    </row>
    <row r="3349">
      <c r="A3349" s="176"/>
      <c r="D3349" s="176"/>
    </row>
    <row r="3350">
      <c r="A3350" s="176"/>
      <c r="D3350" s="176"/>
    </row>
    <row r="3351">
      <c r="A3351" s="176"/>
      <c r="D3351" s="176"/>
    </row>
    <row r="3352">
      <c r="A3352" s="176"/>
      <c r="D3352" s="176"/>
    </row>
    <row r="3353">
      <c r="A3353" s="176"/>
      <c r="D3353" s="176"/>
    </row>
    <row r="3354">
      <c r="A3354" s="176"/>
      <c r="D3354" s="176"/>
    </row>
    <row r="3355">
      <c r="A3355" s="176"/>
      <c r="D3355" s="176"/>
    </row>
    <row r="3356">
      <c r="A3356" s="176"/>
      <c r="D3356" s="176"/>
    </row>
    <row r="3357">
      <c r="A3357" s="176"/>
      <c r="D3357" s="176"/>
    </row>
    <row r="3358">
      <c r="A3358" s="176"/>
      <c r="D3358" s="176"/>
    </row>
    <row r="3359">
      <c r="A3359" s="176"/>
      <c r="D3359" s="176"/>
    </row>
    <row r="3360">
      <c r="A3360" s="176"/>
      <c r="D3360" s="176"/>
    </row>
    <row r="3361">
      <c r="A3361" s="176"/>
      <c r="D3361" s="176"/>
    </row>
    <row r="3362">
      <c r="A3362" s="176"/>
      <c r="D3362" s="176"/>
    </row>
    <row r="3363">
      <c r="A3363" s="176"/>
      <c r="D3363" s="176"/>
    </row>
    <row r="3364">
      <c r="A3364" s="176"/>
      <c r="D3364" s="176"/>
    </row>
    <row r="3365">
      <c r="A3365" s="176"/>
      <c r="D3365" s="176"/>
    </row>
    <row r="3366">
      <c r="A3366" s="176"/>
      <c r="D3366" s="176"/>
    </row>
    <row r="3367">
      <c r="A3367" s="176"/>
      <c r="D3367" s="176"/>
    </row>
    <row r="3368">
      <c r="A3368" s="176"/>
      <c r="D3368" s="176"/>
    </row>
    <row r="3369">
      <c r="A3369" s="176"/>
      <c r="D3369" s="176"/>
    </row>
    <row r="3370">
      <c r="A3370" s="176"/>
      <c r="D3370" s="176"/>
    </row>
    <row r="3371">
      <c r="A3371" s="176"/>
      <c r="D3371" s="176"/>
    </row>
    <row r="3372">
      <c r="A3372" s="176"/>
      <c r="D3372" s="176"/>
    </row>
    <row r="3373">
      <c r="A3373" s="176"/>
      <c r="D3373" s="176"/>
    </row>
    <row r="3374">
      <c r="A3374" s="176"/>
      <c r="D3374" s="176"/>
    </row>
    <row r="3375">
      <c r="A3375" s="176"/>
      <c r="D3375" s="176"/>
    </row>
    <row r="3376">
      <c r="A3376" s="176"/>
      <c r="D3376" s="176"/>
    </row>
    <row r="3377">
      <c r="A3377" s="176"/>
      <c r="D3377" s="176"/>
    </row>
    <row r="3378">
      <c r="A3378" s="176"/>
      <c r="D3378" s="176"/>
    </row>
    <row r="3379">
      <c r="A3379" s="176"/>
      <c r="D3379" s="176"/>
    </row>
    <row r="3380">
      <c r="A3380" s="176"/>
      <c r="D3380" s="176"/>
    </row>
    <row r="3381">
      <c r="A3381" s="176"/>
      <c r="D3381" s="176"/>
    </row>
    <row r="3382">
      <c r="A3382" s="176"/>
      <c r="D3382" s="176"/>
    </row>
    <row r="3383">
      <c r="A3383" s="176"/>
      <c r="D3383" s="176"/>
    </row>
    <row r="3384">
      <c r="A3384" s="176"/>
      <c r="D3384" s="176"/>
    </row>
    <row r="3385">
      <c r="A3385" s="176"/>
      <c r="D3385" s="176"/>
    </row>
    <row r="3386">
      <c r="A3386" s="176"/>
      <c r="D3386" s="176"/>
    </row>
    <row r="3387">
      <c r="A3387" s="176"/>
      <c r="D3387" s="176"/>
    </row>
    <row r="3388">
      <c r="A3388" s="176"/>
      <c r="D3388" s="176"/>
    </row>
    <row r="3389">
      <c r="A3389" s="176"/>
      <c r="D3389" s="176"/>
    </row>
    <row r="3390">
      <c r="A3390" s="176"/>
      <c r="D3390" s="176"/>
    </row>
    <row r="3391">
      <c r="A3391" s="176"/>
      <c r="D3391" s="176"/>
    </row>
    <row r="3392">
      <c r="A3392" s="176"/>
      <c r="D3392" s="176"/>
    </row>
    <row r="3393">
      <c r="A3393" s="176"/>
      <c r="D3393" s="176"/>
    </row>
    <row r="3394">
      <c r="A3394" s="176"/>
      <c r="D3394" s="176"/>
    </row>
    <row r="3395">
      <c r="A3395" s="176"/>
      <c r="D3395" s="176"/>
    </row>
    <row r="3396">
      <c r="A3396" s="176"/>
      <c r="D3396" s="176"/>
    </row>
    <row r="3397">
      <c r="A3397" s="176"/>
      <c r="D3397" s="176"/>
    </row>
    <row r="3398">
      <c r="A3398" s="176"/>
      <c r="D3398" s="176"/>
    </row>
    <row r="3399">
      <c r="A3399" s="176"/>
      <c r="D3399" s="176"/>
    </row>
    <row r="3400">
      <c r="A3400" s="176"/>
      <c r="D3400" s="176"/>
    </row>
    <row r="3401">
      <c r="A3401" s="176"/>
      <c r="D3401" s="176"/>
    </row>
    <row r="3402">
      <c r="A3402" s="176"/>
      <c r="D3402" s="176"/>
    </row>
    <row r="3403">
      <c r="A3403" s="176"/>
      <c r="D3403" s="176"/>
    </row>
    <row r="3404">
      <c r="A3404" s="176"/>
      <c r="D3404" s="176"/>
    </row>
    <row r="3405">
      <c r="A3405" s="176"/>
      <c r="D3405" s="176"/>
    </row>
    <row r="3406">
      <c r="A3406" s="176"/>
      <c r="D3406" s="176"/>
    </row>
    <row r="3407">
      <c r="A3407" s="176"/>
      <c r="D3407" s="176"/>
    </row>
    <row r="3408">
      <c r="A3408" s="176"/>
      <c r="D3408" s="176"/>
    </row>
    <row r="3409">
      <c r="A3409" s="176"/>
      <c r="D3409" s="176"/>
    </row>
    <row r="3410">
      <c r="A3410" s="176"/>
      <c r="D3410" s="176"/>
    </row>
    <row r="3411">
      <c r="A3411" s="176"/>
      <c r="D3411" s="176"/>
    </row>
    <row r="3412">
      <c r="A3412" s="176"/>
      <c r="D3412" s="176"/>
    </row>
    <row r="3413">
      <c r="A3413" s="176"/>
      <c r="D3413" s="176"/>
    </row>
    <row r="3414">
      <c r="A3414" s="176"/>
      <c r="D3414" s="176"/>
    </row>
    <row r="3415">
      <c r="A3415" s="176"/>
      <c r="D3415" s="176"/>
    </row>
    <row r="3416">
      <c r="A3416" s="176"/>
      <c r="D3416" s="176"/>
    </row>
    <row r="3417">
      <c r="A3417" s="176"/>
      <c r="D3417" s="176"/>
    </row>
    <row r="3418">
      <c r="A3418" s="176"/>
      <c r="D3418" s="176"/>
    </row>
    <row r="3419">
      <c r="A3419" s="176"/>
      <c r="D3419" s="176"/>
    </row>
    <row r="3420">
      <c r="A3420" s="176"/>
      <c r="D3420" s="176"/>
    </row>
    <row r="3421">
      <c r="A3421" s="176"/>
      <c r="D3421" s="176"/>
    </row>
    <row r="3422">
      <c r="A3422" s="176"/>
      <c r="D3422" s="176"/>
    </row>
    <row r="3423">
      <c r="A3423" s="176"/>
      <c r="D3423" s="176"/>
    </row>
    <row r="3424">
      <c r="A3424" s="176"/>
      <c r="D3424" s="176"/>
    </row>
    <row r="3425">
      <c r="A3425" s="176"/>
      <c r="D3425" s="176"/>
    </row>
    <row r="3426">
      <c r="A3426" s="176"/>
      <c r="D3426" s="176"/>
    </row>
    <row r="3427">
      <c r="A3427" s="176"/>
      <c r="D3427" s="176"/>
    </row>
    <row r="3428">
      <c r="A3428" s="176"/>
      <c r="D3428" s="176"/>
    </row>
    <row r="3429">
      <c r="A3429" s="176"/>
      <c r="D3429" s="176"/>
    </row>
    <row r="3430">
      <c r="A3430" s="176"/>
      <c r="D3430" s="176"/>
    </row>
    <row r="3431">
      <c r="A3431" s="176"/>
      <c r="D3431" s="176"/>
    </row>
    <row r="3432">
      <c r="A3432" s="176"/>
      <c r="D3432" s="176"/>
    </row>
    <row r="3433">
      <c r="A3433" s="176"/>
      <c r="D3433" s="176"/>
    </row>
    <row r="3434">
      <c r="A3434" s="176"/>
      <c r="D3434" s="176"/>
    </row>
    <row r="3435">
      <c r="A3435" s="176"/>
      <c r="D3435" s="176"/>
    </row>
    <row r="3436">
      <c r="A3436" s="176"/>
      <c r="D3436" s="176"/>
    </row>
    <row r="3437">
      <c r="A3437" s="176"/>
      <c r="D3437" s="176"/>
    </row>
    <row r="3438">
      <c r="A3438" s="176"/>
      <c r="D3438" s="176"/>
    </row>
    <row r="3439">
      <c r="A3439" s="176"/>
      <c r="D3439" s="176"/>
    </row>
    <row r="3440">
      <c r="A3440" s="176"/>
      <c r="D3440" s="176"/>
    </row>
    <row r="3441">
      <c r="A3441" s="176"/>
      <c r="D3441" s="176"/>
    </row>
    <row r="3442">
      <c r="A3442" s="176"/>
      <c r="D3442" s="176"/>
    </row>
    <row r="3443">
      <c r="A3443" s="176"/>
      <c r="D3443" s="176"/>
    </row>
    <row r="3444">
      <c r="A3444" s="176"/>
      <c r="D3444" s="176"/>
    </row>
    <row r="3445">
      <c r="A3445" s="176"/>
      <c r="D3445" s="176"/>
    </row>
    <row r="3446">
      <c r="A3446" s="176"/>
      <c r="D3446" s="176"/>
    </row>
    <row r="3447">
      <c r="A3447" s="176"/>
      <c r="D3447" s="176"/>
    </row>
    <row r="3448">
      <c r="A3448" s="176"/>
      <c r="D3448" s="176"/>
    </row>
    <row r="3449">
      <c r="A3449" s="176"/>
      <c r="D3449" s="176"/>
    </row>
    <row r="3450">
      <c r="A3450" s="176"/>
      <c r="D3450" s="176"/>
    </row>
    <row r="3451">
      <c r="A3451" s="176"/>
      <c r="D3451" s="176"/>
    </row>
    <row r="3452">
      <c r="A3452" s="176"/>
      <c r="D3452" s="176"/>
    </row>
    <row r="3453">
      <c r="A3453" s="176"/>
      <c r="D3453" s="176"/>
    </row>
    <row r="3454">
      <c r="A3454" s="176"/>
      <c r="D3454" s="176"/>
    </row>
    <row r="3455">
      <c r="A3455" s="176"/>
      <c r="D3455" s="176"/>
    </row>
    <row r="3456">
      <c r="A3456" s="176"/>
      <c r="D3456" s="176"/>
    </row>
    <row r="3457">
      <c r="A3457" s="176"/>
      <c r="D3457" s="176"/>
    </row>
    <row r="3458">
      <c r="A3458" s="176"/>
      <c r="D3458" s="176"/>
    </row>
    <row r="3459">
      <c r="A3459" s="176"/>
      <c r="D3459" s="176"/>
    </row>
    <row r="3460">
      <c r="A3460" s="176"/>
      <c r="D3460" s="176"/>
    </row>
    <row r="3461">
      <c r="A3461" s="176"/>
      <c r="D3461" s="176"/>
    </row>
    <row r="3462">
      <c r="A3462" s="176"/>
      <c r="D3462" s="176"/>
    </row>
    <row r="3463">
      <c r="A3463" s="176"/>
      <c r="D3463" s="176"/>
    </row>
    <row r="3464">
      <c r="A3464" s="176"/>
      <c r="D3464" s="176"/>
    </row>
    <row r="3465">
      <c r="A3465" s="176"/>
      <c r="D3465" s="176"/>
    </row>
    <row r="3466">
      <c r="A3466" s="176"/>
      <c r="D3466" s="176"/>
    </row>
    <row r="3467">
      <c r="A3467" s="176"/>
      <c r="D3467" s="176"/>
    </row>
    <row r="3468">
      <c r="A3468" s="176"/>
      <c r="D3468" s="176"/>
    </row>
    <row r="3469">
      <c r="A3469" s="176"/>
      <c r="D3469" s="176"/>
    </row>
    <row r="3470">
      <c r="A3470" s="176"/>
      <c r="D3470" s="176"/>
    </row>
    <row r="3471">
      <c r="A3471" s="176"/>
      <c r="D3471" s="176"/>
    </row>
    <row r="3472">
      <c r="A3472" s="176"/>
      <c r="D3472" s="176"/>
    </row>
    <row r="3473">
      <c r="A3473" s="176"/>
      <c r="D3473" s="176"/>
    </row>
    <row r="3474">
      <c r="A3474" s="176"/>
      <c r="D3474" s="176"/>
    </row>
    <row r="3475">
      <c r="A3475" s="176"/>
      <c r="D3475" s="176"/>
    </row>
    <row r="3476">
      <c r="A3476" s="176"/>
      <c r="D3476" s="176"/>
    </row>
    <row r="3477">
      <c r="A3477" s="176"/>
      <c r="D3477" s="176"/>
    </row>
    <row r="3478">
      <c r="A3478" s="176"/>
      <c r="D3478" s="176"/>
    </row>
    <row r="3479">
      <c r="A3479" s="176"/>
      <c r="D3479" s="176"/>
    </row>
    <row r="3480">
      <c r="A3480" s="176"/>
      <c r="D3480" s="176"/>
    </row>
    <row r="3481">
      <c r="A3481" s="176"/>
      <c r="D3481" s="176"/>
    </row>
    <row r="3482">
      <c r="A3482" s="176"/>
      <c r="D3482" s="176"/>
    </row>
    <row r="3483">
      <c r="A3483" s="176"/>
      <c r="D3483" s="176"/>
    </row>
    <row r="3484">
      <c r="A3484" s="176"/>
      <c r="D3484" s="176"/>
    </row>
    <row r="3485">
      <c r="A3485" s="176"/>
      <c r="D3485" s="176"/>
    </row>
    <row r="3486">
      <c r="A3486" s="176"/>
      <c r="D3486" s="176"/>
    </row>
    <row r="3487">
      <c r="A3487" s="176"/>
      <c r="D3487" s="176"/>
    </row>
    <row r="3488">
      <c r="A3488" s="176"/>
      <c r="D3488" s="176"/>
    </row>
    <row r="3489">
      <c r="A3489" s="176"/>
      <c r="D3489" s="176"/>
    </row>
    <row r="3490">
      <c r="A3490" s="176"/>
      <c r="D3490" s="176"/>
    </row>
    <row r="3491">
      <c r="A3491" s="176"/>
      <c r="D3491" s="176"/>
    </row>
    <row r="3492">
      <c r="A3492" s="176"/>
      <c r="D3492" s="176"/>
    </row>
    <row r="3493">
      <c r="A3493" s="176"/>
      <c r="D3493" s="176"/>
    </row>
    <row r="3494">
      <c r="A3494" s="176"/>
      <c r="D3494" s="176"/>
    </row>
    <row r="3495">
      <c r="A3495" s="176"/>
      <c r="D3495" s="176"/>
    </row>
    <row r="3496">
      <c r="A3496" s="176"/>
      <c r="D3496" s="176"/>
    </row>
    <row r="3497">
      <c r="A3497" s="176"/>
      <c r="D3497" s="176"/>
    </row>
    <row r="3498">
      <c r="A3498" s="176"/>
      <c r="D3498" s="176"/>
    </row>
    <row r="3499">
      <c r="A3499" s="176"/>
      <c r="D3499" s="176"/>
    </row>
    <row r="3500">
      <c r="A3500" s="176"/>
      <c r="D3500" s="176"/>
    </row>
    <row r="3501">
      <c r="A3501" s="176"/>
      <c r="D3501" s="176"/>
    </row>
    <row r="3502">
      <c r="A3502" s="176"/>
      <c r="D3502" s="176"/>
    </row>
    <row r="3503">
      <c r="A3503" s="176"/>
      <c r="D3503" s="176"/>
    </row>
    <row r="3504">
      <c r="A3504" s="176"/>
      <c r="D3504" s="176"/>
    </row>
    <row r="3505">
      <c r="A3505" s="176"/>
      <c r="D3505" s="176"/>
    </row>
    <row r="3506">
      <c r="A3506" s="176"/>
      <c r="D3506" s="176"/>
    </row>
    <row r="3507">
      <c r="A3507" s="176"/>
      <c r="D3507" s="176"/>
    </row>
    <row r="3508">
      <c r="A3508" s="176"/>
      <c r="D3508" s="176"/>
    </row>
    <row r="3509">
      <c r="A3509" s="176"/>
      <c r="D3509" s="176"/>
    </row>
    <row r="3510">
      <c r="A3510" s="176"/>
      <c r="D3510" s="176"/>
    </row>
    <row r="3511">
      <c r="A3511" s="176"/>
      <c r="D3511" s="176"/>
    </row>
    <row r="3512">
      <c r="A3512" s="176"/>
      <c r="D3512" s="176"/>
    </row>
    <row r="3513">
      <c r="A3513" s="176"/>
      <c r="D3513" s="176"/>
    </row>
    <row r="3514">
      <c r="A3514" s="176"/>
      <c r="D3514" s="176"/>
    </row>
    <row r="3515">
      <c r="A3515" s="176"/>
      <c r="D3515" s="176"/>
    </row>
    <row r="3516">
      <c r="A3516" s="176"/>
      <c r="D3516" s="176"/>
    </row>
    <row r="3517">
      <c r="A3517" s="176"/>
      <c r="D3517" s="176"/>
    </row>
    <row r="3518">
      <c r="A3518" s="176"/>
      <c r="D3518" s="176"/>
    </row>
    <row r="3519">
      <c r="A3519" s="176"/>
      <c r="D3519" s="176"/>
    </row>
    <row r="3520">
      <c r="A3520" s="176"/>
      <c r="D3520" s="176"/>
    </row>
    <row r="3521">
      <c r="A3521" s="176"/>
      <c r="D3521" s="176"/>
    </row>
    <row r="3522">
      <c r="A3522" s="176"/>
      <c r="D3522" s="176"/>
    </row>
    <row r="3523">
      <c r="A3523" s="176"/>
      <c r="D3523" s="176"/>
    </row>
    <row r="3524">
      <c r="A3524" s="176"/>
      <c r="D3524" s="176"/>
    </row>
    <row r="3525">
      <c r="A3525" s="176"/>
      <c r="D3525" s="176"/>
    </row>
    <row r="3526">
      <c r="A3526" s="176"/>
      <c r="D3526" s="176"/>
    </row>
    <row r="3527">
      <c r="A3527" s="176"/>
      <c r="D3527" s="176"/>
    </row>
    <row r="3528">
      <c r="A3528" s="176"/>
      <c r="D3528" s="176"/>
    </row>
    <row r="3529">
      <c r="A3529" s="176"/>
      <c r="D3529" s="176"/>
    </row>
    <row r="3530">
      <c r="A3530" s="176"/>
      <c r="D3530" s="176"/>
    </row>
    <row r="3531">
      <c r="A3531" s="176"/>
      <c r="D3531" s="176"/>
    </row>
    <row r="3532">
      <c r="A3532" s="176"/>
      <c r="D3532" s="176"/>
    </row>
    <row r="3533">
      <c r="A3533" s="176"/>
      <c r="D3533" s="176"/>
    </row>
    <row r="3534">
      <c r="A3534" s="176"/>
      <c r="D3534" s="176"/>
    </row>
    <row r="3535">
      <c r="A3535" s="176"/>
      <c r="D3535" s="176"/>
    </row>
    <row r="3536">
      <c r="A3536" s="176"/>
      <c r="D3536" s="176"/>
    </row>
    <row r="3537">
      <c r="A3537" s="176"/>
      <c r="D3537" s="176"/>
    </row>
    <row r="3538">
      <c r="A3538" s="176"/>
      <c r="D3538" s="176"/>
    </row>
    <row r="3539">
      <c r="A3539" s="176"/>
      <c r="D3539" s="176"/>
    </row>
    <row r="3540">
      <c r="A3540" s="176"/>
      <c r="D3540" s="176"/>
    </row>
    <row r="3541">
      <c r="A3541" s="176"/>
      <c r="D3541" s="176"/>
    </row>
    <row r="3542">
      <c r="A3542" s="176"/>
      <c r="D3542" s="176"/>
    </row>
    <row r="3543">
      <c r="A3543" s="176"/>
      <c r="D3543" s="176"/>
    </row>
    <row r="3544">
      <c r="A3544" s="176"/>
      <c r="D3544" s="176"/>
    </row>
    <row r="3545">
      <c r="A3545" s="176"/>
      <c r="D3545" s="176"/>
    </row>
    <row r="3546">
      <c r="A3546" s="176"/>
      <c r="D3546" s="176"/>
    </row>
    <row r="3547">
      <c r="A3547" s="176"/>
      <c r="D3547" s="176"/>
    </row>
    <row r="3548">
      <c r="A3548" s="176"/>
      <c r="D3548" s="176"/>
    </row>
    <row r="3549">
      <c r="A3549" s="176"/>
      <c r="D3549" s="176"/>
    </row>
    <row r="3550">
      <c r="A3550" s="176"/>
      <c r="D3550" s="176"/>
    </row>
    <row r="3551">
      <c r="A3551" s="176"/>
      <c r="D3551" s="176"/>
    </row>
    <row r="3552">
      <c r="A3552" s="176"/>
      <c r="D3552" s="176"/>
    </row>
    <row r="3553">
      <c r="A3553" s="176"/>
      <c r="D3553" s="176"/>
    </row>
    <row r="3554">
      <c r="A3554" s="176"/>
      <c r="D3554" s="176"/>
    </row>
    <row r="3555">
      <c r="A3555" s="176"/>
      <c r="D3555" s="176"/>
    </row>
    <row r="3556">
      <c r="A3556" s="176"/>
      <c r="D3556" s="176"/>
    </row>
    <row r="3557">
      <c r="A3557" s="176"/>
      <c r="D3557" s="176"/>
    </row>
    <row r="3558">
      <c r="A3558" s="176"/>
      <c r="D3558" s="176"/>
    </row>
    <row r="3559">
      <c r="A3559" s="176"/>
      <c r="D3559" s="176"/>
    </row>
    <row r="3560">
      <c r="A3560" s="176"/>
      <c r="D3560" s="176"/>
    </row>
    <row r="3561">
      <c r="A3561" s="176"/>
      <c r="D3561" s="176"/>
    </row>
    <row r="3562">
      <c r="A3562" s="176"/>
      <c r="D3562" s="176"/>
    </row>
    <row r="3563">
      <c r="A3563" s="176"/>
      <c r="D3563" s="176"/>
    </row>
    <row r="3564">
      <c r="A3564" s="176"/>
      <c r="D3564" s="176"/>
    </row>
    <row r="3565">
      <c r="A3565" s="176"/>
      <c r="D3565" s="176"/>
    </row>
    <row r="3566">
      <c r="A3566" s="176"/>
      <c r="D3566" s="176"/>
    </row>
    <row r="3567">
      <c r="A3567" s="176"/>
      <c r="D3567" s="176"/>
    </row>
    <row r="3568">
      <c r="A3568" s="176"/>
      <c r="D3568" s="176"/>
    </row>
    <row r="3569">
      <c r="A3569" s="176"/>
      <c r="D3569" s="176"/>
    </row>
    <row r="3570">
      <c r="A3570" s="176"/>
      <c r="D3570" s="176"/>
    </row>
    <row r="3571">
      <c r="A3571" s="176"/>
      <c r="D3571" s="176"/>
    </row>
    <row r="3572">
      <c r="A3572" s="176"/>
      <c r="D3572" s="176"/>
    </row>
    <row r="3573">
      <c r="A3573" s="176"/>
      <c r="D3573" s="176"/>
    </row>
    <row r="3574">
      <c r="A3574" s="176"/>
      <c r="D3574" s="176"/>
    </row>
    <row r="3575">
      <c r="A3575" s="176"/>
      <c r="D3575" s="176"/>
    </row>
    <row r="3576">
      <c r="A3576" s="176"/>
      <c r="D3576" s="176"/>
    </row>
    <row r="3577">
      <c r="A3577" s="176"/>
      <c r="D3577" s="176"/>
    </row>
    <row r="3578">
      <c r="A3578" s="176"/>
      <c r="D3578" s="176"/>
    </row>
    <row r="3579">
      <c r="A3579" s="176"/>
      <c r="D3579" s="176"/>
    </row>
    <row r="3580">
      <c r="A3580" s="176"/>
      <c r="D3580" s="176"/>
    </row>
    <row r="3581">
      <c r="A3581" s="176"/>
      <c r="D3581" s="176"/>
    </row>
    <row r="3582">
      <c r="A3582" s="176"/>
      <c r="D3582" s="176"/>
    </row>
    <row r="3583">
      <c r="A3583" s="176"/>
      <c r="D3583" s="176"/>
    </row>
    <row r="3584">
      <c r="A3584" s="176"/>
      <c r="D3584" s="176"/>
    </row>
    <row r="3585">
      <c r="A3585" s="176"/>
      <c r="D3585" s="176"/>
    </row>
    <row r="3586">
      <c r="A3586" s="176"/>
      <c r="D3586" s="176"/>
    </row>
    <row r="3587">
      <c r="A3587" s="176"/>
      <c r="D3587" s="176"/>
    </row>
    <row r="3588">
      <c r="A3588" s="176"/>
      <c r="D3588" s="176"/>
    </row>
    <row r="3589">
      <c r="A3589" s="176"/>
      <c r="D3589" s="176"/>
    </row>
    <row r="3590">
      <c r="A3590" s="176"/>
      <c r="D3590" s="176"/>
    </row>
    <row r="3591">
      <c r="A3591" s="176"/>
      <c r="D3591" s="176"/>
    </row>
    <row r="3592">
      <c r="A3592" s="176"/>
      <c r="D3592" s="176"/>
    </row>
    <row r="3593">
      <c r="A3593" s="176"/>
      <c r="D3593" s="176"/>
    </row>
    <row r="3594">
      <c r="A3594" s="176"/>
      <c r="D3594" s="176"/>
    </row>
    <row r="3595">
      <c r="A3595" s="176"/>
      <c r="D3595" s="176"/>
    </row>
    <row r="3596">
      <c r="A3596" s="176"/>
      <c r="D3596" s="176"/>
    </row>
    <row r="3597">
      <c r="A3597" s="176"/>
      <c r="D3597" s="176"/>
    </row>
    <row r="3598">
      <c r="A3598" s="176"/>
      <c r="D3598" s="176"/>
    </row>
    <row r="3599">
      <c r="A3599" s="176"/>
      <c r="D3599" s="176"/>
    </row>
    <row r="3600">
      <c r="A3600" s="176"/>
      <c r="D3600" s="176"/>
    </row>
    <row r="3601">
      <c r="A3601" s="176"/>
      <c r="D3601" s="176"/>
    </row>
    <row r="3602">
      <c r="A3602" s="176"/>
      <c r="D3602" s="176"/>
    </row>
    <row r="3603">
      <c r="A3603" s="176"/>
      <c r="D3603" s="176"/>
    </row>
    <row r="3604">
      <c r="A3604" s="176"/>
      <c r="D3604" s="176"/>
    </row>
    <row r="3605">
      <c r="A3605" s="176"/>
      <c r="D3605" s="176"/>
    </row>
    <row r="3606">
      <c r="A3606" s="176"/>
      <c r="D3606" s="176"/>
    </row>
    <row r="3607">
      <c r="A3607" s="176"/>
      <c r="D3607" s="176"/>
    </row>
    <row r="3608">
      <c r="A3608" s="176"/>
      <c r="D3608" s="176"/>
    </row>
    <row r="3609">
      <c r="A3609" s="176"/>
      <c r="D3609" s="176"/>
    </row>
    <row r="3610">
      <c r="A3610" s="176"/>
      <c r="D3610" s="176"/>
    </row>
    <row r="3611">
      <c r="A3611" s="176"/>
      <c r="D3611" s="176"/>
    </row>
    <row r="3612">
      <c r="A3612" s="176"/>
      <c r="D3612" s="176"/>
    </row>
    <row r="3613">
      <c r="A3613" s="176"/>
      <c r="D3613" s="176"/>
    </row>
    <row r="3614">
      <c r="A3614" s="176"/>
      <c r="D3614" s="176"/>
    </row>
    <row r="3615">
      <c r="A3615" s="176"/>
      <c r="D3615" s="176"/>
    </row>
    <row r="3616">
      <c r="A3616" s="176"/>
      <c r="D3616" s="176"/>
    </row>
    <row r="3617">
      <c r="A3617" s="176"/>
      <c r="D3617" s="176"/>
    </row>
    <row r="3618">
      <c r="A3618" s="176"/>
      <c r="D3618" s="176"/>
    </row>
    <row r="3619">
      <c r="A3619" s="176"/>
      <c r="D3619" s="176"/>
    </row>
    <row r="3620">
      <c r="A3620" s="176"/>
      <c r="D3620" s="176"/>
    </row>
    <row r="3621">
      <c r="A3621" s="176"/>
      <c r="D3621" s="176"/>
    </row>
    <row r="3622">
      <c r="A3622" s="176"/>
      <c r="D3622" s="176"/>
    </row>
    <row r="3623">
      <c r="A3623" s="176"/>
      <c r="D3623" s="176"/>
    </row>
    <row r="3624">
      <c r="A3624" s="176"/>
      <c r="D3624" s="176"/>
    </row>
    <row r="3625">
      <c r="A3625" s="176"/>
      <c r="D3625" s="176"/>
    </row>
    <row r="3626">
      <c r="A3626" s="176"/>
      <c r="D3626" s="176"/>
    </row>
    <row r="3627">
      <c r="A3627" s="176"/>
      <c r="D3627" s="176"/>
    </row>
    <row r="3628">
      <c r="A3628" s="176"/>
      <c r="D3628" s="176"/>
    </row>
    <row r="3629">
      <c r="A3629" s="176"/>
      <c r="D3629" s="176"/>
    </row>
    <row r="3630">
      <c r="A3630" s="176"/>
      <c r="D3630" s="176"/>
    </row>
    <row r="3631">
      <c r="A3631" s="176"/>
      <c r="D3631" s="176"/>
    </row>
    <row r="3632">
      <c r="A3632" s="176"/>
      <c r="D3632" s="176"/>
    </row>
    <row r="3633">
      <c r="A3633" s="176"/>
      <c r="D3633" s="176"/>
    </row>
    <row r="3634">
      <c r="A3634" s="176"/>
      <c r="D3634" s="176"/>
    </row>
    <row r="3635">
      <c r="A3635" s="176"/>
      <c r="D3635" s="176"/>
    </row>
    <row r="3636">
      <c r="A3636" s="176"/>
      <c r="D3636" s="176"/>
    </row>
    <row r="3637">
      <c r="A3637" s="176"/>
      <c r="D3637" s="176"/>
    </row>
    <row r="3638">
      <c r="A3638" s="176"/>
      <c r="D3638" s="176"/>
    </row>
    <row r="3639">
      <c r="A3639" s="176"/>
      <c r="D3639" s="176"/>
    </row>
    <row r="3640">
      <c r="A3640" s="176"/>
      <c r="D3640" s="176"/>
    </row>
    <row r="3641">
      <c r="A3641" s="176"/>
      <c r="D3641" s="176"/>
    </row>
    <row r="3642">
      <c r="A3642" s="176"/>
      <c r="D3642" s="176"/>
    </row>
    <row r="3643">
      <c r="A3643" s="176"/>
      <c r="D3643" s="176"/>
    </row>
    <row r="3644">
      <c r="A3644" s="176"/>
      <c r="D3644" s="176"/>
    </row>
    <row r="3645">
      <c r="A3645" s="176"/>
      <c r="D3645" s="176"/>
    </row>
    <row r="3646">
      <c r="A3646" s="176"/>
      <c r="D3646" s="176"/>
    </row>
    <row r="3647">
      <c r="A3647" s="176"/>
      <c r="D3647" s="176"/>
    </row>
    <row r="3648">
      <c r="A3648" s="176"/>
      <c r="D3648" s="176"/>
    </row>
    <row r="3649">
      <c r="A3649" s="176"/>
      <c r="D3649" s="176"/>
    </row>
    <row r="3650">
      <c r="A3650" s="176"/>
      <c r="D3650" s="176"/>
    </row>
    <row r="3651">
      <c r="A3651" s="176"/>
      <c r="D3651" s="176"/>
    </row>
    <row r="3652">
      <c r="A3652" s="176"/>
      <c r="D3652" s="176"/>
    </row>
    <row r="3653">
      <c r="A3653" s="176"/>
      <c r="D3653" s="176"/>
    </row>
    <row r="3654">
      <c r="A3654" s="176"/>
      <c r="D3654" s="176"/>
    </row>
    <row r="3655">
      <c r="A3655" s="176"/>
      <c r="D3655" s="176"/>
    </row>
    <row r="3656">
      <c r="A3656" s="176"/>
      <c r="D3656" s="176"/>
    </row>
    <row r="3657">
      <c r="A3657" s="176"/>
      <c r="D3657" s="176"/>
    </row>
    <row r="3658">
      <c r="A3658" s="176"/>
      <c r="D3658" s="176"/>
    </row>
    <row r="3659">
      <c r="A3659" s="176"/>
      <c r="D3659" s="176"/>
    </row>
    <row r="3660">
      <c r="A3660" s="176"/>
      <c r="D3660" s="176"/>
    </row>
    <row r="3661">
      <c r="A3661" s="176"/>
      <c r="D3661" s="176"/>
    </row>
    <row r="3662">
      <c r="A3662" s="176"/>
      <c r="D3662" s="176"/>
    </row>
    <row r="3663">
      <c r="A3663" s="176"/>
      <c r="D3663" s="176"/>
    </row>
    <row r="3664">
      <c r="A3664" s="176"/>
      <c r="D3664" s="176"/>
    </row>
    <row r="3665">
      <c r="A3665" s="176"/>
      <c r="D3665" s="176"/>
    </row>
    <row r="3666">
      <c r="A3666" s="176"/>
      <c r="D3666" s="176"/>
    </row>
    <row r="3667">
      <c r="A3667" s="176"/>
      <c r="D3667" s="176"/>
    </row>
    <row r="3668">
      <c r="A3668" s="176"/>
      <c r="D3668" s="176"/>
    </row>
    <row r="3669">
      <c r="A3669" s="176"/>
      <c r="D3669" s="176"/>
    </row>
    <row r="3670">
      <c r="A3670" s="176"/>
      <c r="D3670" s="176"/>
    </row>
    <row r="3671">
      <c r="A3671" s="176"/>
      <c r="D3671" s="176"/>
    </row>
    <row r="3672">
      <c r="A3672" s="176"/>
      <c r="D3672" s="176"/>
    </row>
    <row r="3673">
      <c r="A3673" s="176"/>
      <c r="D3673" s="176"/>
    </row>
    <row r="3674">
      <c r="A3674" s="176"/>
      <c r="D3674" s="176"/>
    </row>
    <row r="3675">
      <c r="A3675" s="176"/>
      <c r="D3675" s="176"/>
    </row>
    <row r="3676">
      <c r="A3676" s="176"/>
      <c r="D3676" s="176"/>
    </row>
    <row r="3677">
      <c r="A3677" s="176"/>
      <c r="D3677" s="176"/>
    </row>
    <row r="3678">
      <c r="A3678" s="176"/>
      <c r="D3678" s="176"/>
    </row>
    <row r="3679">
      <c r="A3679" s="176"/>
      <c r="D3679" s="176"/>
    </row>
    <row r="3680">
      <c r="A3680" s="176"/>
      <c r="D3680" s="176"/>
    </row>
    <row r="3681">
      <c r="A3681" s="176"/>
      <c r="D3681" s="176"/>
    </row>
    <row r="3682">
      <c r="A3682" s="176"/>
      <c r="D3682" s="176"/>
    </row>
    <row r="3683">
      <c r="A3683" s="176"/>
      <c r="D3683" s="176"/>
    </row>
    <row r="3684">
      <c r="A3684" s="176"/>
      <c r="D3684" s="176"/>
    </row>
    <row r="3685">
      <c r="A3685" s="176"/>
      <c r="D3685" s="176"/>
    </row>
    <row r="3686">
      <c r="A3686" s="176"/>
      <c r="D3686" s="176"/>
    </row>
    <row r="3687">
      <c r="A3687" s="176"/>
      <c r="D3687" s="176"/>
    </row>
    <row r="3688">
      <c r="A3688" s="176"/>
      <c r="D3688" s="176"/>
    </row>
    <row r="3689">
      <c r="A3689" s="176"/>
      <c r="D3689" s="176"/>
    </row>
    <row r="3690">
      <c r="A3690" s="176"/>
      <c r="D3690" s="176"/>
    </row>
    <row r="3691">
      <c r="A3691" s="176"/>
      <c r="D3691" s="176"/>
    </row>
    <row r="3692">
      <c r="A3692" s="176"/>
      <c r="D3692" s="176"/>
    </row>
    <row r="3693">
      <c r="A3693" s="176"/>
      <c r="D3693" s="176"/>
    </row>
    <row r="3694">
      <c r="A3694" s="176"/>
      <c r="D3694" s="176"/>
    </row>
    <row r="3695">
      <c r="A3695" s="176"/>
      <c r="D3695" s="176"/>
    </row>
    <row r="3696">
      <c r="A3696" s="176"/>
      <c r="D3696" s="176"/>
    </row>
    <row r="3697">
      <c r="A3697" s="176"/>
      <c r="D3697" s="176"/>
    </row>
    <row r="3698">
      <c r="A3698" s="176"/>
      <c r="D3698" s="176"/>
    </row>
    <row r="3699">
      <c r="A3699" s="176"/>
      <c r="D3699" s="176"/>
    </row>
    <row r="3700">
      <c r="A3700" s="176"/>
      <c r="D3700" s="176"/>
    </row>
    <row r="3701">
      <c r="A3701" s="176"/>
      <c r="D3701" s="176"/>
    </row>
    <row r="3702">
      <c r="A3702" s="176"/>
      <c r="D3702" s="176"/>
    </row>
    <row r="3703">
      <c r="A3703" s="176"/>
      <c r="D3703" s="176"/>
    </row>
    <row r="3704">
      <c r="A3704" s="176"/>
      <c r="D3704" s="176"/>
    </row>
    <row r="3705">
      <c r="A3705" s="176"/>
      <c r="D3705" s="176"/>
    </row>
    <row r="3706">
      <c r="A3706" s="176"/>
      <c r="D3706" s="176"/>
    </row>
    <row r="3707">
      <c r="A3707" s="176"/>
      <c r="D3707" s="176"/>
    </row>
    <row r="3708">
      <c r="A3708" s="176"/>
      <c r="D3708" s="176"/>
    </row>
    <row r="3709">
      <c r="A3709" s="176"/>
      <c r="D3709" s="176"/>
    </row>
    <row r="3710">
      <c r="A3710" s="176"/>
      <c r="D3710" s="176"/>
    </row>
    <row r="3711">
      <c r="A3711" s="176"/>
      <c r="D3711" s="176"/>
    </row>
    <row r="3712">
      <c r="A3712" s="176"/>
      <c r="D3712" s="176"/>
    </row>
    <row r="3713">
      <c r="A3713" s="176"/>
      <c r="D3713" s="176"/>
    </row>
    <row r="3714">
      <c r="A3714" s="176"/>
      <c r="D3714" s="176"/>
    </row>
    <row r="3715">
      <c r="A3715" s="176"/>
      <c r="D3715" s="176"/>
    </row>
    <row r="3716">
      <c r="A3716" s="176"/>
      <c r="D3716" s="176"/>
    </row>
    <row r="3717">
      <c r="A3717" s="176"/>
      <c r="D3717" s="176"/>
    </row>
    <row r="3718">
      <c r="A3718" s="176"/>
      <c r="D3718" s="176"/>
    </row>
    <row r="3719">
      <c r="A3719" s="176"/>
      <c r="D3719" s="176"/>
    </row>
    <row r="3720">
      <c r="A3720" s="176"/>
      <c r="D3720" s="176"/>
    </row>
    <row r="3721">
      <c r="A3721" s="176"/>
      <c r="D3721" s="176"/>
    </row>
    <row r="3722">
      <c r="A3722" s="176"/>
      <c r="D3722" s="176"/>
    </row>
    <row r="3723">
      <c r="A3723" s="176"/>
      <c r="D3723" s="176"/>
    </row>
    <row r="3724">
      <c r="A3724" s="176"/>
      <c r="D3724" s="176"/>
    </row>
    <row r="3725">
      <c r="A3725" s="176"/>
      <c r="D3725" s="176"/>
    </row>
    <row r="3726">
      <c r="A3726" s="176"/>
      <c r="D3726" s="176"/>
    </row>
    <row r="3727">
      <c r="A3727" s="176"/>
      <c r="D3727" s="176"/>
    </row>
    <row r="3728">
      <c r="A3728" s="176"/>
      <c r="D3728" s="176"/>
    </row>
    <row r="3729">
      <c r="A3729" s="176"/>
      <c r="D3729" s="176"/>
    </row>
    <row r="3730">
      <c r="A3730" s="176"/>
      <c r="D3730" s="176"/>
    </row>
    <row r="3731">
      <c r="A3731" s="176"/>
      <c r="D3731" s="176"/>
    </row>
    <row r="3732">
      <c r="A3732" s="176"/>
      <c r="D3732" s="176"/>
    </row>
    <row r="3733">
      <c r="A3733" s="176"/>
      <c r="D3733" s="176"/>
    </row>
    <row r="3734">
      <c r="A3734" s="176"/>
      <c r="D3734" s="176"/>
    </row>
    <row r="3735">
      <c r="A3735" s="176"/>
      <c r="D3735" s="176"/>
    </row>
    <row r="3736">
      <c r="A3736" s="176"/>
      <c r="D3736" s="176"/>
    </row>
    <row r="3737">
      <c r="A3737" s="176"/>
      <c r="D3737" s="176"/>
    </row>
    <row r="3738">
      <c r="A3738" s="176"/>
      <c r="D3738" s="176"/>
    </row>
    <row r="3739">
      <c r="A3739" s="176"/>
      <c r="D3739" s="176"/>
    </row>
    <row r="3740">
      <c r="A3740" s="176"/>
      <c r="D3740" s="176"/>
    </row>
    <row r="3741">
      <c r="A3741" s="176"/>
      <c r="D3741" s="176"/>
    </row>
    <row r="3742">
      <c r="A3742" s="176"/>
      <c r="D3742" s="176"/>
    </row>
    <row r="3743">
      <c r="A3743" s="176"/>
      <c r="D3743" s="176"/>
    </row>
    <row r="3744">
      <c r="A3744" s="176"/>
      <c r="D3744" s="176"/>
    </row>
    <row r="3745">
      <c r="A3745" s="176"/>
      <c r="D3745" s="176"/>
    </row>
    <row r="3746">
      <c r="A3746" s="176"/>
      <c r="D3746" s="176"/>
    </row>
    <row r="3747">
      <c r="A3747" s="176"/>
      <c r="D3747" s="176"/>
    </row>
    <row r="3748">
      <c r="A3748" s="176"/>
      <c r="D3748" s="176"/>
    </row>
    <row r="3749">
      <c r="A3749" s="176"/>
      <c r="D3749" s="176"/>
    </row>
    <row r="3750">
      <c r="A3750" s="176"/>
      <c r="D3750" s="176"/>
    </row>
    <row r="3751">
      <c r="A3751" s="176"/>
      <c r="D3751" s="176"/>
    </row>
    <row r="3752">
      <c r="A3752" s="176"/>
      <c r="D3752" s="176"/>
    </row>
    <row r="3753">
      <c r="A3753" s="176"/>
      <c r="D3753" s="176"/>
    </row>
    <row r="3754">
      <c r="A3754" s="176"/>
      <c r="D3754" s="176"/>
    </row>
    <row r="3755">
      <c r="A3755" s="176"/>
      <c r="D3755" s="176"/>
    </row>
    <row r="3756">
      <c r="A3756" s="176"/>
      <c r="D3756" s="176"/>
    </row>
    <row r="3757">
      <c r="A3757" s="176"/>
      <c r="D3757" s="176"/>
    </row>
    <row r="3758">
      <c r="A3758" s="176"/>
      <c r="D3758" s="176"/>
    </row>
    <row r="3759">
      <c r="A3759" s="176"/>
      <c r="D3759" s="176"/>
    </row>
    <row r="3760">
      <c r="A3760" s="176"/>
      <c r="D3760" s="176"/>
    </row>
    <row r="3761">
      <c r="A3761" s="176"/>
      <c r="D3761" s="176"/>
    </row>
    <row r="3762">
      <c r="A3762" s="176"/>
      <c r="D3762" s="176"/>
    </row>
    <row r="3763">
      <c r="A3763" s="176"/>
      <c r="D3763" s="176"/>
    </row>
    <row r="3764">
      <c r="A3764" s="176"/>
      <c r="D3764" s="176"/>
    </row>
    <row r="3765">
      <c r="A3765" s="176"/>
      <c r="D3765" s="176"/>
    </row>
    <row r="3766">
      <c r="A3766" s="176"/>
      <c r="D3766" s="176"/>
    </row>
    <row r="3767">
      <c r="A3767" s="176"/>
      <c r="D3767" s="176"/>
    </row>
    <row r="3768">
      <c r="A3768" s="176"/>
      <c r="D3768" s="176"/>
    </row>
    <row r="3769">
      <c r="A3769" s="176"/>
      <c r="D3769" s="176"/>
    </row>
    <row r="3770">
      <c r="A3770" s="176"/>
      <c r="D3770" s="176"/>
    </row>
    <row r="3771">
      <c r="A3771" s="176"/>
      <c r="D3771" s="176"/>
    </row>
    <row r="3772">
      <c r="A3772" s="176"/>
      <c r="D3772" s="176"/>
    </row>
    <row r="3773">
      <c r="A3773" s="176"/>
      <c r="D3773" s="176"/>
    </row>
    <row r="3774">
      <c r="A3774" s="176"/>
      <c r="D3774" s="176"/>
    </row>
    <row r="3775">
      <c r="A3775" s="176"/>
      <c r="D3775" s="176"/>
    </row>
    <row r="3776">
      <c r="A3776" s="176"/>
      <c r="D3776" s="176"/>
    </row>
    <row r="3777">
      <c r="A3777" s="176"/>
      <c r="D3777" s="176"/>
    </row>
    <row r="3778">
      <c r="A3778" s="176"/>
      <c r="D3778" s="176"/>
    </row>
    <row r="3779">
      <c r="A3779" s="176"/>
      <c r="D3779" s="176"/>
    </row>
    <row r="3780">
      <c r="A3780" s="176"/>
      <c r="D3780" s="176"/>
    </row>
    <row r="3781">
      <c r="A3781" s="176"/>
      <c r="D3781" s="176"/>
    </row>
    <row r="3782">
      <c r="A3782" s="176"/>
      <c r="D3782" s="176"/>
    </row>
    <row r="3783">
      <c r="A3783" s="176"/>
      <c r="D3783" s="176"/>
    </row>
    <row r="3784">
      <c r="A3784" s="176"/>
      <c r="D3784" s="176"/>
    </row>
    <row r="3785">
      <c r="A3785" s="176"/>
      <c r="D3785" s="176"/>
    </row>
    <row r="3786">
      <c r="A3786" s="176"/>
      <c r="D3786" s="176"/>
    </row>
    <row r="3787">
      <c r="A3787" s="176"/>
      <c r="D3787" s="176"/>
    </row>
    <row r="3788">
      <c r="A3788" s="176"/>
      <c r="D3788" s="176"/>
    </row>
    <row r="3789">
      <c r="A3789" s="176"/>
      <c r="D3789" s="176"/>
    </row>
    <row r="3790">
      <c r="A3790" s="176"/>
      <c r="D3790" s="176"/>
    </row>
    <row r="3791">
      <c r="A3791" s="176"/>
      <c r="D3791" s="176"/>
    </row>
    <row r="3792">
      <c r="A3792" s="176"/>
      <c r="D3792" s="176"/>
    </row>
    <row r="3793">
      <c r="A3793" s="176"/>
      <c r="D3793" s="176"/>
    </row>
    <row r="3794">
      <c r="A3794" s="176"/>
      <c r="D3794" s="176"/>
    </row>
    <row r="3795">
      <c r="A3795" s="176"/>
      <c r="D3795" s="176"/>
    </row>
    <row r="3796">
      <c r="A3796" s="176"/>
      <c r="D3796" s="176"/>
    </row>
    <row r="3797">
      <c r="A3797" s="176"/>
      <c r="D3797" s="176"/>
    </row>
    <row r="3798">
      <c r="A3798" s="176"/>
      <c r="D3798" s="176"/>
    </row>
    <row r="3799">
      <c r="A3799" s="176"/>
      <c r="D3799" s="176"/>
    </row>
    <row r="3800">
      <c r="A3800" s="176"/>
      <c r="D3800" s="176"/>
    </row>
    <row r="3801">
      <c r="A3801" s="176"/>
      <c r="D3801" s="176"/>
    </row>
    <row r="3802">
      <c r="A3802" s="176"/>
      <c r="D3802" s="176"/>
    </row>
    <row r="3803">
      <c r="A3803" s="176"/>
      <c r="D3803" s="176"/>
    </row>
    <row r="3804">
      <c r="A3804" s="176"/>
      <c r="D3804" s="176"/>
    </row>
    <row r="3805">
      <c r="A3805" s="176"/>
      <c r="D3805" s="176"/>
    </row>
    <row r="3806">
      <c r="A3806" s="176"/>
      <c r="D3806" s="176"/>
    </row>
    <row r="3807">
      <c r="A3807" s="176"/>
      <c r="D3807" s="176"/>
    </row>
    <row r="3808">
      <c r="A3808" s="176"/>
      <c r="D3808" s="176"/>
    </row>
    <row r="3809">
      <c r="A3809" s="176"/>
      <c r="D3809" s="176"/>
    </row>
    <row r="3810">
      <c r="A3810" s="176"/>
      <c r="D3810" s="176"/>
    </row>
    <row r="3811">
      <c r="A3811" s="176"/>
      <c r="D3811" s="176"/>
    </row>
    <row r="3812">
      <c r="A3812" s="176"/>
      <c r="D3812" s="176"/>
    </row>
    <row r="3813">
      <c r="A3813" s="176"/>
      <c r="D3813" s="176"/>
    </row>
    <row r="3814">
      <c r="A3814" s="176"/>
      <c r="D3814" s="176"/>
    </row>
    <row r="3815">
      <c r="A3815" s="176"/>
      <c r="D3815" s="176"/>
    </row>
    <row r="3816">
      <c r="A3816" s="176"/>
      <c r="D3816" s="176"/>
    </row>
    <row r="3817">
      <c r="A3817" s="176"/>
      <c r="D3817" s="176"/>
    </row>
    <row r="3818">
      <c r="A3818" s="176"/>
      <c r="D3818" s="176"/>
    </row>
    <row r="3819">
      <c r="A3819" s="176"/>
      <c r="D3819" s="176"/>
    </row>
    <row r="3820">
      <c r="A3820" s="176"/>
      <c r="D3820" s="176"/>
    </row>
    <row r="3821">
      <c r="A3821" s="176"/>
      <c r="D3821" s="176"/>
    </row>
    <row r="3822">
      <c r="A3822" s="176"/>
      <c r="D3822" s="176"/>
    </row>
    <row r="3823">
      <c r="A3823" s="176"/>
      <c r="D3823" s="176"/>
    </row>
    <row r="3824">
      <c r="A3824" s="176"/>
      <c r="D3824" s="176"/>
    </row>
    <row r="3825">
      <c r="A3825" s="176"/>
      <c r="D3825" s="176"/>
    </row>
    <row r="3826">
      <c r="A3826" s="176"/>
      <c r="D3826" s="176"/>
    </row>
    <row r="3827">
      <c r="A3827" s="176"/>
      <c r="D3827" s="176"/>
    </row>
    <row r="3828">
      <c r="A3828" s="176"/>
      <c r="D3828" s="176"/>
    </row>
    <row r="3829">
      <c r="A3829" s="176"/>
      <c r="D3829" s="176"/>
    </row>
    <row r="3830">
      <c r="A3830" s="176"/>
      <c r="D3830" s="176"/>
    </row>
    <row r="3831">
      <c r="A3831" s="176"/>
      <c r="D3831" s="176"/>
    </row>
    <row r="3832">
      <c r="A3832" s="176"/>
      <c r="D3832" s="176"/>
    </row>
    <row r="3833">
      <c r="A3833" s="176"/>
      <c r="D3833" s="176"/>
    </row>
    <row r="3834">
      <c r="A3834" s="176"/>
      <c r="D3834" s="176"/>
    </row>
    <row r="3835">
      <c r="A3835" s="176"/>
      <c r="D3835" s="176"/>
    </row>
    <row r="3836">
      <c r="A3836" s="176"/>
      <c r="D3836" s="176"/>
    </row>
    <row r="3837">
      <c r="A3837" s="176"/>
      <c r="D3837" s="176"/>
    </row>
    <row r="3838">
      <c r="A3838" s="176"/>
      <c r="D3838" s="176"/>
    </row>
    <row r="3839">
      <c r="A3839" s="176"/>
      <c r="D3839" s="176"/>
    </row>
    <row r="3840">
      <c r="A3840" s="176"/>
      <c r="D3840" s="176"/>
    </row>
    <row r="3841">
      <c r="A3841" s="176"/>
      <c r="D3841" s="176"/>
    </row>
    <row r="3842">
      <c r="A3842" s="176"/>
      <c r="D3842" s="176"/>
    </row>
    <row r="3843">
      <c r="A3843" s="176"/>
      <c r="D3843" s="176"/>
    </row>
    <row r="3844">
      <c r="A3844" s="176"/>
      <c r="D3844" s="176"/>
    </row>
    <row r="3845">
      <c r="A3845" s="176"/>
      <c r="D3845" s="176"/>
    </row>
    <row r="3846">
      <c r="A3846" s="176"/>
      <c r="D3846" s="176"/>
    </row>
    <row r="3847">
      <c r="A3847" s="176"/>
      <c r="D3847" s="176"/>
    </row>
    <row r="3848">
      <c r="A3848" s="176"/>
      <c r="D3848" s="176"/>
    </row>
    <row r="3849">
      <c r="A3849" s="176"/>
      <c r="D3849" s="176"/>
    </row>
    <row r="3850">
      <c r="A3850" s="176"/>
      <c r="D3850" s="176"/>
    </row>
    <row r="3851">
      <c r="A3851" s="176"/>
      <c r="D3851" s="176"/>
    </row>
    <row r="3852">
      <c r="A3852" s="176"/>
      <c r="D3852" s="176"/>
    </row>
    <row r="3853">
      <c r="A3853" s="176"/>
      <c r="D3853" s="176"/>
    </row>
    <row r="3854">
      <c r="A3854" s="176"/>
      <c r="D3854" s="176"/>
    </row>
    <row r="3855">
      <c r="A3855" s="176"/>
      <c r="D3855" s="176"/>
    </row>
    <row r="3856">
      <c r="A3856" s="176"/>
      <c r="D3856" s="176"/>
    </row>
    <row r="3857">
      <c r="A3857" s="176"/>
      <c r="D3857" s="176"/>
    </row>
    <row r="3858">
      <c r="A3858" s="176"/>
      <c r="D3858" s="176"/>
    </row>
    <row r="3859">
      <c r="A3859" s="176"/>
      <c r="D3859" s="176"/>
    </row>
    <row r="3860">
      <c r="A3860" s="176"/>
      <c r="D3860" s="176"/>
    </row>
    <row r="3861">
      <c r="A3861" s="176"/>
      <c r="D3861" s="176"/>
    </row>
    <row r="3862">
      <c r="A3862" s="176"/>
      <c r="D3862" s="176"/>
    </row>
    <row r="3863">
      <c r="A3863" s="176"/>
      <c r="D3863" s="176"/>
    </row>
    <row r="3864">
      <c r="A3864" s="176"/>
      <c r="D3864" s="176"/>
    </row>
    <row r="3865">
      <c r="A3865" s="176"/>
      <c r="D3865" s="176"/>
    </row>
    <row r="3866">
      <c r="A3866" s="176"/>
      <c r="D3866" s="176"/>
    </row>
    <row r="3867">
      <c r="A3867" s="176"/>
      <c r="D3867" s="176"/>
    </row>
    <row r="3868">
      <c r="A3868" s="176"/>
      <c r="D3868" s="176"/>
    </row>
    <row r="3869">
      <c r="A3869" s="176"/>
      <c r="D3869" s="176"/>
    </row>
    <row r="3870">
      <c r="A3870" s="176"/>
      <c r="D3870" s="176"/>
    </row>
    <row r="3871">
      <c r="A3871" s="176"/>
      <c r="D3871" s="176"/>
    </row>
    <row r="3872">
      <c r="A3872" s="176"/>
      <c r="D3872" s="176"/>
    </row>
    <row r="3873">
      <c r="A3873" s="176"/>
      <c r="D3873" s="176"/>
    </row>
    <row r="3874">
      <c r="A3874" s="176"/>
      <c r="D3874" s="176"/>
    </row>
    <row r="3875">
      <c r="A3875" s="176"/>
      <c r="D3875" s="176"/>
    </row>
    <row r="3876">
      <c r="A3876" s="176"/>
      <c r="D3876" s="176"/>
    </row>
    <row r="3877">
      <c r="A3877" s="176"/>
      <c r="D3877" s="176"/>
    </row>
    <row r="3878">
      <c r="A3878" s="176"/>
      <c r="D3878" s="176"/>
    </row>
    <row r="3879">
      <c r="A3879" s="176"/>
      <c r="D3879" s="176"/>
    </row>
    <row r="3880">
      <c r="A3880" s="176"/>
      <c r="D3880" s="176"/>
    </row>
    <row r="3881">
      <c r="A3881" s="176"/>
      <c r="D3881" s="176"/>
    </row>
    <row r="3882">
      <c r="A3882" s="176"/>
      <c r="D3882" s="176"/>
    </row>
    <row r="3883">
      <c r="A3883" s="176"/>
      <c r="D3883" s="176"/>
    </row>
    <row r="3884">
      <c r="A3884" s="176"/>
      <c r="D3884" s="176"/>
    </row>
    <row r="3885">
      <c r="A3885" s="176"/>
      <c r="D3885" s="176"/>
    </row>
    <row r="3886">
      <c r="A3886" s="176"/>
      <c r="D3886" s="176"/>
    </row>
    <row r="3887">
      <c r="A3887" s="176"/>
      <c r="D3887" s="176"/>
    </row>
    <row r="3888">
      <c r="A3888" s="176"/>
      <c r="D3888" s="176"/>
    </row>
    <row r="3889">
      <c r="A3889" s="176"/>
      <c r="D3889" s="176"/>
    </row>
    <row r="3890">
      <c r="A3890" s="176"/>
      <c r="D3890" s="176"/>
    </row>
    <row r="3891">
      <c r="A3891" s="176"/>
      <c r="D3891" s="176"/>
    </row>
    <row r="3892">
      <c r="A3892" s="176"/>
      <c r="D3892" s="176"/>
    </row>
    <row r="3893">
      <c r="A3893" s="176"/>
      <c r="D3893" s="176"/>
    </row>
    <row r="3894">
      <c r="A3894" s="176"/>
      <c r="D3894" s="176"/>
    </row>
    <row r="3895">
      <c r="A3895" s="176"/>
      <c r="D3895" s="176"/>
    </row>
    <row r="3896">
      <c r="A3896" s="176"/>
      <c r="D3896" s="176"/>
    </row>
    <row r="3897">
      <c r="A3897" s="176"/>
      <c r="D3897" s="176"/>
    </row>
    <row r="3898">
      <c r="A3898" s="176"/>
      <c r="D3898" s="176"/>
    </row>
    <row r="3899">
      <c r="A3899" s="176"/>
      <c r="D3899" s="176"/>
    </row>
    <row r="3900">
      <c r="A3900" s="176"/>
      <c r="D3900" s="176"/>
    </row>
    <row r="3901">
      <c r="A3901" s="176"/>
      <c r="D3901" s="176"/>
    </row>
    <row r="3902">
      <c r="A3902" s="176"/>
      <c r="D3902" s="176"/>
    </row>
    <row r="3903">
      <c r="A3903" s="176"/>
      <c r="D3903" s="176"/>
    </row>
    <row r="3904">
      <c r="A3904" s="176"/>
      <c r="D3904" s="176"/>
    </row>
    <row r="3905">
      <c r="A3905" s="176"/>
      <c r="D3905" s="176"/>
    </row>
    <row r="3906">
      <c r="A3906" s="176"/>
      <c r="D3906" s="176"/>
    </row>
    <row r="3907">
      <c r="A3907" s="176"/>
      <c r="D3907" s="176"/>
    </row>
    <row r="3908">
      <c r="A3908" s="176"/>
      <c r="D3908" s="176"/>
    </row>
    <row r="3909">
      <c r="A3909" s="176"/>
      <c r="D3909" s="176"/>
    </row>
    <row r="3910">
      <c r="A3910" s="176"/>
      <c r="D3910" s="176"/>
    </row>
    <row r="3911">
      <c r="A3911" s="176"/>
      <c r="D3911" s="176"/>
    </row>
    <row r="3912">
      <c r="A3912" s="176"/>
      <c r="D3912" s="176"/>
    </row>
    <row r="3913">
      <c r="A3913" s="176"/>
      <c r="D3913" s="176"/>
    </row>
    <row r="3914">
      <c r="A3914" s="176"/>
      <c r="D3914" s="176"/>
    </row>
    <row r="3915">
      <c r="A3915" s="176"/>
      <c r="D3915" s="176"/>
    </row>
    <row r="3916">
      <c r="A3916" s="176"/>
      <c r="D3916" s="176"/>
    </row>
    <row r="3917">
      <c r="A3917" s="176"/>
      <c r="D3917" s="176"/>
    </row>
    <row r="3918">
      <c r="A3918" s="176"/>
      <c r="D3918" s="176"/>
    </row>
    <row r="3919">
      <c r="A3919" s="176"/>
      <c r="D3919" s="176"/>
    </row>
    <row r="3920">
      <c r="A3920" s="176"/>
      <c r="D3920" s="176"/>
    </row>
    <row r="3921">
      <c r="A3921" s="176"/>
      <c r="D3921" s="176"/>
    </row>
    <row r="3922">
      <c r="A3922" s="176"/>
      <c r="D3922" s="176"/>
    </row>
    <row r="3923">
      <c r="A3923" s="176"/>
      <c r="D3923" s="176"/>
    </row>
    <row r="3924">
      <c r="A3924" s="176"/>
      <c r="D3924" s="176"/>
    </row>
    <row r="3925">
      <c r="A3925" s="176"/>
      <c r="D3925" s="176"/>
    </row>
    <row r="3926">
      <c r="A3926" s="176"/>
      <c r="D3926" s="176"/>
    </row>
    <row r="3927">
      <c r="A3927" s="176"/>
      <c r="D3927" s="176"/>
    </row>
    <row r="3928">
      <c r="A3928" s="176"/>
      <c r="D3928" s="176"/>
    </row>
    <row r="3929">
      <c r="A3929" s="176"/>
      <c r="D3929" s="176"/>
    </row>
    <row r="3930">
      <c r="A3930" s="176"/>
      <c r="D3930" s="176"/>
    </row>
    <row r="3931">
      <c r="A3931" s="176"/>
      <c r="D3931" s="176"/>
    </row>
    <row r="3932">
      <c r="A3932" s="176"/>
      <c r="D3932" s="176"/>
    </row>
    <row r="3933">
      <c r="A3933" s="176"/>
      <c r="D3933" s="176"/>
    </row>
    <row r="3934">
      <c r="A3934" s="176"/>
      <c r="D3934" s="176"/>
    </row>
    <row r="3935">
      <c r="A3935" s="176"/>
      <c r="D3935" s="176"/>
    </row>
    <row r="3936">
      <c r="A3936" s="176"/>
      <c r="D3936" s="176"/>
    </row>
    <row r="3937">
      <c r="A3937" s="176"/>
      <c r="D3937" s="176"/>
    </row>
    <row r="3938">
      <c r="A3938" s="176"/>
      <c r="D3938" s="176"/>
    </row>
    <row r="3939">
      <c r="A3939" s="176"/>
      <c r="D3939" s="176"/>
    </row>
    <row r="3940">
      <c r="A3940" s="176"/>
      <c r="D3940" s="176"/>
    </row>
    <row r="3941">
      <c r="A3941" s="176"/>
      <c r="D3941" s="176"/>
    </row>
    <row r="3942">
      <c r="A3942" s="176"/>
      <c r="D3942" s="176"/>
    </row>
    <row r="3943">
      <c r="A3943" s="176"/>
      <c r="D3943" s="176"/>
    </row>
    <row r="3944">
      <c r="A3944" s="176"/>
      <c r="D3944" s="176"/>
    </row>
    <row r="3945">
      <c r="A3945" s="176"/>
      <c r="D3945" s="176"/>
    </row>
    <row r="3946">
      <c r="A3946" s="176"/>
      <c r="D3946" s="176"/>
    </row>
    <row r="3947">
      <c r="A3947" s="176"/>
      <c r="D3947" s="176"/>
    </row>
    <row r="3948">
      <c r="A3948" s="176"/>
      <c r="D3948" s="176"/>
    </row>
    <row r="3949">
      <c r="A3949" s="176"/>
      <c r="D3949" s="176"/>
    </row>
    <row r="3950">
      <c r="A3950" s="176"/>
      <c r="D3950" s="176"/>
    </row>
    <row r="3951">
      <c r="A3951" s="176"/>
      <c r="D3951" s="176"/>
    </row>
    <row r="3952">
      <c r="A3952" s="176"/>
      <c r="D3952" s="176"/>
    </row>
    <row r="3953">
      <c r="A3953" s="176"/>
      <c r="D3953" s="176"/>
    </row>
    <row r="3954">
      <c r="A3954" s="176"/>
      <c r="D3954" s="176"/>
    </row>
    <row r="3955">
      <c r="A3955" s="176"/>
      <c r="D3955" s="176"/>
    </row>
    <row r="3956">
      <c r="A3956" s="176"/>
      <c r="D3956" s="176"/>
    </row>
    <row r="3957">
      <c r="A3957" s="176"/>
      <c r="D3957" s="176"/>
    </row>
    <row r="3958">
      <c r="A3958" s="176"/>
      <c r="D3958" s="176"/>
    </row>
    <row r="3959">
      <c r="A3959" s="176"/>
      <c r="D3959" s="176"/>
    </row>
    <row r="3960">
      <c r="A3960" s="176"/>
      <c r="D3960" s="176"/>
    </row>
    <row r="3961">
      <c r="A3961" s="176"/>
      <c r="D3961" s="176"/>
    </row>
    <row r="3962">
      <c r="A3962" s="176"/>
      <c r="D3962" s="176"/>
    </row>
    <row r="3963">
      <c r="A3963" s="176"/>
      <c r="D3963" s="176"/>
    </row>
    <row r="3964">
      <c r="A3964" s="176"/>
      <c r="D3964" s="176"/>
    </row>
    <row r="3965">
      <c r="A3965" s="176"/>
      <c r="D3965" s="176"/>
    </row>
    <row r="3966">
      <c r="A3966" s="176"/>
      <c r="D3966" s="176"/>
    </row>
    <row r="3967">
      <c r="A3967" s="176"/>
      <c r="D3967" s="176"/>
    </row>
    <row r="3968">
      <c r="A3968" s="176"/>
      <c r="D3968" s="176"/>
    </row>
    <row r="3969">
      <c r="A3969" s="176"/>
      <c r="D3969" s="176"/>
    </row>
    <row r="3970">
      <c r="A3970" s="176"/>
      <c r="D3970" s="176"/>
    </row>
    <row r="3971">
      <c r="A3971" s="176"/>
      <c r="D3971" s="176"/>
    </row>
    <row r="3972">
      <c r="A3972" s="176"/>
      <c r="D3972" s="176"/>
    </row>
    <row r="3973">
      <c r="A3973" s="176"/>
      <c r="D3973" s="176"/>
    </row>
    <row r="3974">
      <c r="A3974" s="176"/>
      <c r="D3974" s="176"/>
    </row>
    <row r="3975">
      <c r="A3975" s="176"/>
      <c r="D3975" s="176"/>
    </row>
    <row r="3976">
      <c r="A3976" s="176"/>
      <c r="D3976" s="176"/>
    </row>
    <row r="3977">
      <c r="A3977" s="176"/>
      <c r="D3977" s="176"/>
    </row>
    <row r="3978">
      <c r="A3978" s="176"/>
      <c r="D3978" s="176"/>
    </row>
    <row r="3979">
      <c r="A3979" s="176"/>
      <c r="D3979" s="176"/>
    </row>
    <row r="3980">
      <c r="A3980" s="176"/>
      <c r="D3980" s="176"/>
    </row>
    <row r="3981">
      <c r="A3981" s="176"/>
      <c r="D3981" s="176"/>
    </row>
    <row r="3982">
      <c r="A3982" s="176"/>
      <c r="D3982" s="176"/>
    </row>
    <row r="3983">
      <c r="A3983" s="176"/>
      <c r="D3983" s="176"/>
    </row>
    <row r="3984">
      <c r="A3984" s="176"/>
      <c r="D3984" s="176"/>
    </row>
    <row r="3985">
      <c r="A3985" s="176"/>
      <c r="D3985" s="176"/>
    </row>
    <row r="3986">
      <c r="A3986" s="176"/>
      <c r="D3986" s="176"/>
    </row>
    <row r="3987">
      <c r="A3987" s="176"/>
      <c r="D3987" s="176"/>
    </row>
    <row r="3988">
      <c r="A3988" s="176"/>
      <c r="D3988" s="176"/>
    </row>
    <row r="3989">
      <c r="A3989" s="176"/>
      <c r="D3989" s="176"/>
    </row>
    <row r="3990">
      <c r="A3990" s="176"/>
      <c r="D3990" s="176"/>
    </row>
    <row r="3991">
      <c r="A3991" s="176"/>
      <c r="D3991" s="176"/>
    </row>
    <row r="3992">
      <c r="A3992" s="176"/>
      <c r="D3992" s="176"/>
    </row>
    <row r="3993">
      <c r="A3993" s="176"/>
      <c r="D3993" s="176"/>
    </row>
    <row r="3994">
      <c r="A3994" s="176"/>
      <c r="D3994" s="176"/>
    </row>
    <row r="3995">
      <c r="A3995" s="176"/>
      <c r="D3995" s="176"/>
    </row>
    <row r="3996">
      <c r="A3996" s="176"/>
      <c r="D3996" s="176"/>
    </row>
    <row r="3997">
      <c r="A3997" s="176"/>
      <c r="D3997" s="176"/>
    </row>
    <row r="3998">
      <c r="A3998" s="176"/>
      <c r="D3998" s="176"/>
    </row>
    <row r="3999">
      <c r="A3999" s="176"/>
      <c r="D3999" s="176"/>
    </row>
    <row r="4000">
      <c r="A4000" s="176"/>
      <c r="D4000" s="176"/>
    </row>
    <row r="4001">
      <c r="A4001" s="176"/>
      <c r="D4001" s="176"/>
    </row>
    <row r="4002">
      <c r="A4002" s="176"/>
      <c r="D4002" s="176"/>
    </row>
    <row r="4003">
      <c r="A4003" s="176"/>
      <c r="D4003" s="176"/>
    </row>
    <row r="4004">
      <c r="A4004" s="176"/>
      <c r="D4004" s="176"/>
    </row>
    <row r="4005">
      <c r="A4005" s="176"/>
      <c r="D4005" s="176"/>
    </row>
    <row r="4006">
      <c r="A4006" s="176"/>
      <c r="D4006" s="176"/>
    </row>
    <row r="4007">
      <c r="A4007" s="176"/>
      <c r="D4007" s="176"/>
    </row>
    <row r="4008">
      <c r="A4008" s="176"/>
      <c r="D4008" s="176"/>
    </row>
    <row r="4009">
      <c r="A4009" s="176"/>
      <c r="D4009" s="176"/>
    </row>
    <row r="4010">
      <c r="A4010" s="176"/>
      <c r="D4010" s="176"/>
    </row>
    <row r="4011">
      <c r="A4011" s="176"/>
      <c r="D4011" s="176"/>
    </row>
    <row r="4012">
      <c r="A4012" s="176"/>
      <c r="D4012" s="176"/>
    </row>
    <row r="4013">
      <c r="A4013" s="176"/>
      <c r="D4013" s="176"/>
    </row>
    <row r="4014">
      <c r="A4014" s="176"/>
      <c r="D4014" s="176"/>
    </row>
    <row r="4015">
      <c r="A4015" s="176"/>
      <c r="D4015" s="176"/>
    </row>
    <row r="4016">
      <c r="A4016" s="176"/>
      <c r="D4016" s="176"/>
    </row>
    <row r="4017">
      <c r="A4017" s="176"/>
      <c r="D4017" s="176"/>
    </row>
    <row r="4018">
      <c r="A4018" s="176"/>
      <c r="D4018" s="176"/>
    </row>
    <row r="4019">
      <c r="A4019" s="176"/>
      <c r="D4019" s="176"/>
    </row>
    <row r="4020">
      <c r="A4020" s="176"/>
      <c r="D4020" s="176"/>
    </row>
    <row r="4021">
      <c r="A4021" s="176"/>
      <c r="D4021" s="176"/>
    </row>
    <row r="4022">
      <c r="A4022" s="176"/>
      <c r="D4022" s="176"/>
    </row>
    <row r="4023">
      <c r="A4023" s="176"/>
      <c r="D4023" s="176"/>
    </row>
    <row r="4024">
      <c r="A4024" s="176"/>
      <c r="D4024" s="176"/>
    </row>
    <row r="4025">
      <c r="A4025" s="176"/>
      <c r="D4025" s="176"/>
    </row>
    <row r="4026">
      <c r="A4026" s="176"/>
      <c r="D4026" s="176"/>
    </row>
    <row r="4027">
      <c r="A4027" s="176"/>
      <c r="D4027" s="176"/>
    </row>
    <row r="4028">
      <c r="A4028" s="176"/>
      <c r="D4028" s="176"/>
    </row>
    <row r="4029">
      <c r="A4029" s="176"/>
      <c r="D4029" s="176"/>
    </row>
    <row r="4030">
      <c r="A4030" s="176"/>
      <c r="D4030" s="176"/>
    </row>
    <row r="4031">
      <c r="A4031" s="176"/>
      <c r="D4031" s="176"/>
    </row>
    <row r="4032">
      <c r="A4032" s="176"/>
      <c r="D4032" s="176"/>
    </row>
    <row r="4033">
      <c r="A4033" s="176"/>
      <c r="D4033" s="176"/>
    </row>
    <row r="4034">
      <c r="A4034" s="176"/>
      <c r="D4034" s="176"/>
    </row>
    <row r="4035">
      <c r="A4035" s="176"/>
      <c r="D4035" s="176"/>
    </row>
    <row r="4036">
      <c r="A4036" s="176"/>
      <c r="D4036" s="176"/>
    </row>
    <row r="4037">
      <c r="A4037" s="176"/>
      <c r="D4037" s="176"/>
    </row>
    <row r="4038">
      <c r="A4038" s="176"/>
      <c r="D4038" s="176"/>
    </row>
    <row r="4039">
      <c r="A4039" s="176"/>
      <c r="D4039" s="176"/>
    </row>
    <row r="4040">
      <c r="A4040" s="176"/>
      <c r="D4040" s="176"/>
    </row>
    <row r="4041">
      <c r="A4041" s="176"/>
      <c r="D4041" s="176"/>
    </row>
    <row r="4042">
      <c r="A4042" s="176"/>
      <c r="D4042" s="176"/>
    </row>
    <row r="4043">
      <c r="A4043" s="176"/>
      <c r="D4043" s="176"/>
    </row>
    <row r="4044">
      <c r="A4044" s="176"/>
      <c r="D4044" s="176"/>
    </row>
    <row r="4045">
      <c r="A4045" s="176"/>
      <c r="D4045" s="176"/>
    </row>
    <row r="4046">
      <c r="A4046" s="176"/>
      <c r="D4046" s="176"/>
    </row>
    <row r="4047">
      <c r="A4047" s="176"/>
      <c r="D4047" s="176"/>
    </row>
    <row r="4048">
      <c r="A4048" s="176"/>
      <c r="D4048" s="176"/>
    </row>
    <row r="4049">
      <c r="A4049" s="176"/>
      <c r="D4049" s="176"/>
    </row>
    <row r="4050">
      <c r="A4050" s="176"/>
      <c r="D4050" s="176"/>
    </row>
    <row r="4051">
      <c r="A4051" s="176"/>
      <c r="D4051" s="176"/>
    </row>
    <row r="4052">
      <c r="A4052" s="176"/>
      <c r="D4052" s="176"/>
    </row>
    <row r="4053">
      <c r="A4053" s="176"/>
      <c r="D4053" s="176"/>
    </row>
    <row r="4054">
      <c r="A4054" s="176"/>
      <c r="D4054" s="176"/>
    </row>
    <row r="4055">
      <c r="A4055" s="176"/>
      <c r="D4055" s="176"/>
    </row>
    <row r="4056">
      <c r="A4056" s="176"/>
      <c r="D4056" s="176"/>
    </row>
    <row r="4057">
      <c r="A4057" s="176"/>
      <c r="D4057" s="176"/>
    </row>
    <row r="4058">
      <c r="A4058" s="176"/>
      <c r="D4058" s="176"/>
    </row>
    <row r="4059">
      <c r="A4059" s="176"/>
      <c r="D4059" s="176"/>
    </row>
    <row r="4060">
      <c r="A4060" s="176"/>
      <c r="D4060" s="176"/>
    </row>
    <row r="4061">
      <c r="A4061" s="176"/>
      <c r="D4061" s="176"/>
    </row>
    <row r="4062">
      <c r="A4062" s="176"/>
      <c r="D4062" s="176"/>
    </row>
    <row r="4063">
      <c r="A4063" s="176"/>
      <c r="D4063" s="176"/>
    </row>
    <row r="4064">
      <c r="A4064" s="176"/>
      <c r="D4064" s="176"/>
    </row>
    <row r="4065">
      <c r="A4065" s="176"/>
      <c r="D4065" s="176"/>
    </row>
    <row r="4066">
      <c r="A4066" s="176"/>
      <c r="D4066" s="176"/>
    </row>
    <row r="4067">
      <c r="A4067" s="176"/>
      <c r="D4067" s="176"/>
    </row>
    <row r="4068">
      <c r="A4068" s="176"/>
      <c r="D4068" s="176"/>
    </row>
    <row r="4069">
      <c r="A4069" s="176"/>
      <c r="D4069" s="176"/>
    </row>
    <row r="4070">
      <c r="A4070" s="176"/>
      <c r="D4070" s="176"/>
    </row>
    <row r="4071">
      <c r="A4071" s="176"/>
      <c r="D4071" s="176"/>
    </row>
    <row r="4072">
      <c r="A4072" s="176"/>
      <c r="D4072" s="176"/>
    </row>
    <row r="4073">
      <c r="A4073" s="176"/>
      <c r="D4073" s="176"/>
    </row>
    <row r="4074">
      <c r="A4074" s="176"/>
      <c r="D4074" s="176"/>
    </row>
    <row r="4075">
      <c r="A4075" s="176"/>
      <c r="D4075" s="176"/>
    </row>
    <row r="4076">
      <c r="A4076" s="176"/>
      <c r="D4076" s="176"/>
    </row>
    <row r="4077">
      <c r="A4077" s="176"/>
      <c r="D4077" s="176"/>
    </row>
    <row r="4078">
      <c r="A4078" s="176"/>
      <c r="D4078" s="176"/>
    </row>
    <row r="4079">
      <c r="A4079" s="176"/>
      <c r="D4079" s="176"/>
    </row>
    <row r="4080">
      <c r="A4080" s="176"/>
      <c r="D4080" s="176"/>
    </row>
    <row r="4081">
      <c r="A4081" s="176"/>
      <c r="D4081" s="176"/>
    </row>
    <row r="4082">
      <c r="A4082" s="176"/>
      <c r="D4082" s="176"/>
    </row>
    <row r="4083">
      <c r="A4083" s="176"/>
      <c r="D4083" s="176"/>
    </row>
    <row r="4084">
      <c r="A4084" s="176"/>
      <c r="D4084" s="176"/>
    </row>
    <row r="4085">
      <c r="A4085" s="176"/>
      <c r="D4085" s="176"/>
    </row>
    <row r="4086">
      <c r="A4086" s="176"/>
      <c r="D4086" s="176"/>
    </row>
    <row r="4087">
      <c r="A4087" s="176"/>
      <c r="D4087" s="176"/>
    </row>
    <row r="4088">
      <c r="A4088" s="176"/>
      <c r="D4088" s="176"/>
    </row>
    <row r="4089">
      <c r="A4089" s="176"/>
      <c r="D4089" s="176"/>
    </row>
    <row r="4090">
      <c r="A4090" s="176"/>
      <c r="D4090" s="176"/>
    </row>
    <row r="4091">
      <c r="A4091" s="176"/>
      <c r="D4091" s="176"/>
    </row>
    <row r="4092">
      <c r="A4092" s="176"/>
      <c r="D4092" s="176"/>
    </row>
    <row r="4093">
      <c r="A4093" s="176"/>
      <c r="D4093" s="176"/>
    </row>
    <row r="4094">
      <c r="A4094" s="176"/>
      <c r="D4094" s="176"/>
    </row>
    <row r="4095">
      <c r="A4095" s="176"/>
      <c r="D4095" s="176"/>
    </row>
    <row r="4096">
      <c r="A4096" s="176"/>
      <c r="D4096" s="176"/>
    </row>
    <row r="4097">
      <c r="A4097" s="176"/>
      <c r="D4097" s="176"/>
    </row>
    <row r="4098">
      <c r="A4098" s="176"/>
      <c r="D4098" s="176"/>
    </row>
    <row r="4099">
      <c r="A4099" s="176"/>
      <c r="D4099" s="176"/>
    </row>
    <row r="4100">
      <c r="A4100" s="176"/>
      <c r="D4100" s="176"/>
    </row>
    <row r="4101">
      <c r="A4101" s="176"/>
      <c r="D4101" s="176"/>
    </row>
    <row r="4102">
      <c r="A4102" s="176"/>
      <c r="D4102" s="176"/>
    </row>
    <row r="4103">
      <c r="A4103" s="176"/>
      <c r="D4103" s="176"/>
    </row>
    <row r="4104">
      <c r="A4104" s="176"/>
      <c r="D4104" s="176"/>
    </row>
    <row r="4105">
      <c r="A4105" s="176"/>
      <c r="D4105" s="176"/>
    </row>
    <row r="4106">
      <c r="A4106" s="176"/>
      <c r="D4106" s="176"/>
    </row>
    <row r="4107">
      <c r="A4107" s="176"/>
      <c r="D4107" s="176"/>
    </row>
    <row r="4108">
      <c r="A4108" s="176"/>
      <c r="D4108" s="176"/>
    </row>
    <row r="4109">
      <c r="A4109" s="176"/>
      <c r="D4109" s="176"/>
    </row>
    <row r="4110">
      <c r="A4110" s="176"/>
      <c r="D4110" s="176"/>
    </row>
    <row r="4111">
      <c r="A4111" s="176"/>
      <c r="D4111" s="176"/>
    </row>
    <row r="4112">
      <c r="A4112" s="176"/>
      <c r="D4112" s="176"/>
    </row>
    <row r="4113">
      <c r="A4113" s="176"/>
      <c r="D4113" s="176"/>
    </row>
    <row r="4114">
      <c r="A4114" s="176"/>
      <c r="D4114" s="176"/>
    </row>
    <row r="4115">
      <c r="A4115" s="176"/>
      <c r="D4115" s="176"/>
    </row>
    <row r="4116">
      <c r="A4116" s="176"/>
      <c r="D4116" s="176"/>
    </row>
    <row r="4117">
      <c r="A4117" s="176"/>
      <c r="D4117" s="176"/>
    </row>
  </sheetData>
  <drawing r:id="rId1"/>
</worksheet>
</file>